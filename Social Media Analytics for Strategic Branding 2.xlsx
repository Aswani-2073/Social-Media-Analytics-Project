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1-1 cleaned" sheetId="1" r:id="rId4"/>
    <sheet state="visible" name="Task1-2 cleaned" sheetId="2" r:id="rId5"/>
    <sheet state="visible" name="Task1-3 cleaned" sheetId="3" r:id="rId6"/>
    <sheet state="visible" name="Task2-1 Engagement Analysis" sheetId="4" r:id="rId7"/>
    <sheet state="visible" name="Task2 Pivot Table1" sheetId="5" r:id="rId8"/>
    <sheet state="visible" name="Task2 Pivot Table2" sheetId="6" r:id="rId9"/>
    <sheet state="visible" name="Task3-1 Social Media Platform a" sheetId="7" r:id="rId10"/>
    <sheet state="visible" name="Task3-1 Pivot Table" sheetId="8" r:id="rId11"/>
    <sheet state="visible" name="Task3-2 " sheetId="9" r:id="rId12"/>
    <sheet state="visible" name="Task3-2 Pivot Table" sheetId="10" r:id="rId13"/>
    <sheet state="visible" name="Task3-3 Pivot Table" sheetId="11" r:id="rId14"/>
    <sheet state="visible" name="Task4 Hashtag &amp; Content Strateg" sheetId="12" r:id="rId15"/>
    <sheet state="visible" name="Task4 Pivot Table1" sheetId="13" r:id="rId16"/>
    <sheet state="visible" name="Task5-1 Pivot Table 1" sheetId="14" r:id="rId17"/>
    <sheet state="visible" name="Task4 Pivvot Table2" sheetId="15" r:id="rId18"/>
    <sheet state="visible" name="Task 5-1  Campaign Effectivenes" sheetId="16" r:id="rId19"/>
    <sheet state="visible" name="Task5-1 Pivot table 2" sheetId="17" r:id="rId20"/>
    <sheet state="visible" name="Task5-1 pivot Tbale 3" sheetId="18" r:id="rId21"/>
    <sheet state="visible" name="Task5-2" sheetId="19" r:id="rId22"/>
    <sheet state="visible" name="Task5-2-1" sheetId="20" r:id="rId23"/>
    <sheet state="visible" name="Task 6 Follower Retention &amp; Aud" sheetId="21" r:id="rId24"/>
    <sheet state="visible" name="Task6 Pivot Table 1" sheetId="22" r:id="rId25"/>
    <sheet state="visible" name="Task6 Pivot Table2" sheetId="23" r:id="rId26"/>
    <sheet state="visible" name="Task7" sheetId="24" r:id="rId27"/>
  </sheets>
  <definedNames>
    <definedName hidden="1" localSheetId="0" name="_xlnm._FilterDatabase">'Task1-1 cleaned'!$A$1:$Z$1000</definedName>
  </definedNames>
  <calcPr/>
</workbook>
</file>

<file path=xl/sharedStrings.xml><?xml version="1.0" encoding="utf-8"?>
<sst xmlns="http://schemas.openxmlformats.org/spreadsheetml/2006/main" count="8956" uniqueCount="470">
  <si>
    <t>Post ID</t>
  </si>
  <si>
    <t>Platform</t>
  </si>
  <si>
    <t>Date</t>
  </si>
  <si>
    <t>Content Type</t>
  </si>
  <si>
    <t>Post Text</t>
  </si>
  <si>
    <t>Likes</t>
  </si>
  <si>
    <t>Shares</t>
  </si>
  <si>
    <t>Comments</t>
  </si>
  <si>
    <t>Impressions</t>
  </si>
  <si>
    <t>Reach</t>
  </si>
  <si>
    <t>Clicks</t>
  </si>
  <si>
    <t>Hashtags Used</t>
  </si>
  <si>
    <t>P001</t>
  </si>
  <si>
    <t>Twitter</t>
  </si>
  <si>
    <t>Reel</t>
  </si>
  <si>
    <t>Check out our latest reel on twitter!</t>
  </si>
  <si>
    <t>#LiveForNow</t>
  </si>
  <si>
    <t>#AnytimeIsPepsiTime</t>
  </si>
  <si>
    <t>P002</t>
  </si>
  <si>
    <t>Text</t>
  </si>
  <si>
    <t>Check out our latest text on twitter!</t>
  </si>
  <si>
    <t>#PepsiCoRefresh</t>
  </si>
  <si>
    <t>#BetterWithPepsi</t>
  </si>
  <si>
    <t>P003</t>
  </si>
  <si>
    <t>YouTube</t>
  </si>
  <si>
    <t>Check out our latest reel on youtube!</t>
  </si>
  <si>
    <t>P004</t>
  </si>
  <si>
    <t>Instagram</t>
  </si>
  <si>
    <t>Story</t>
  </si>
  <si>
    <t>Check out our latest story on instagram!</t>
  </si>
  <si>
    <t>#ThirstyForMore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</si>
  <si>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</si>
  <si>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</si>
  <si>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</si>
  <si>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</si>
  <si>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</si>
  <si>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</si>
  <si>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</si>
  <si>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</si>
  <si>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</si>
  <si>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</si>
  <si>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</si>
  <si>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</si>
  <si>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</si>
  <si>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</si>
  <si>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</si>
  <si>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</si>
  <si>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</si>
  <si>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</si>
  <si>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</si>
  <si>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</si>
  <si>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</si>
  <si>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</si>
  <si>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</si>
  <si>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</si>
  <si>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</si>
  <si>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</si>
  <si>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</si>
  <si>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</si>
  <si>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</si>
  <si>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</si>
  <si>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</si>
  <si>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</si>
  <si>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</si>
  <si>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</si>
  <si>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</si>
  <si>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</si>
  <si>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</si>
  <si>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</si>
  <si>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</si>
  <si>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</si>
  <si>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</si>
  <si>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</si>
  <si>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</si>
  <si>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</si>
  <si>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</si>
  <si>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</si>
  <si>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</si>
  <si>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</si>
  <si>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</si>
  <si>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</si>
  <si>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</si>
  <si>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</si>
  <si>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</si>
  <si>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</si>
  <si>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</si>
  <si>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</si>
  <si>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</si>
  <si>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</si>
  <si>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</si>
  <si>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</si>
  <si>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</si>
  <si>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</si>
  <si>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</si>
  <si>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</si>
  <si>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</si>
  <si>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</si>
  <si>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</si>
  <si>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</si>
  <si>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</si>
  <si>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</si>
  <si>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</si>
  <si>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</si>
  <si>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</si>
  <si>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</si>
  <si>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</si>
  <si>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</si>
  <si>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</si>
  <si>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</si>
  <si>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</si>
  <si>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</si>
  <si>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</si>
  <si>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</si>
  <si>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</si>
  <si>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</si>
  <si>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</si>
  <si>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</si>
  <si>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</si>
  <si>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</si>
  <si>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</si>
  <si>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</si>
  <si>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</si>
  <si>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</si>
  <si>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</si>
  <si>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</si>
  <si>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</si>
  <si>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</si>
  <si>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</si>
  <si>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</si>
  <si>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</si>
  <si>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</si>
  <si>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</si>
  <si>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</si>
  <si>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</si>
  <si>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</si>
  <si>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</si>
  <si>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</si>
  <si>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</si>
  <si>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</si>
  <si>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</si>
  <si>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</si>
  <si>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</si>
  <si>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</si>
  <si>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</si>
  <si>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</si>
  <si>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</si>
  <si>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</si>
  <si>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</si>
  <si>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</si>
  <si>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</si>
  <si>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</si>
  <si>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</si>
  <si>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</si>
  <si>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</si>
  <si>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</si>
  <si>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</si>
  <si>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</si>
  <si>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</si>
  <si>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</si>
  <si>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</si>
  <si>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</si>
  <si>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</si>
  <si>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</si>
  <si>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</si>
  <si>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</si>
  <si>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</si>
  <si>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</si>
  <si>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</si>
  <si>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</si>
  <si>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</si>
  <si>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</si>
  <si>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</si>
  <si>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</si>
  <si>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</si>
  <si>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</si>
  <si>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</si>
  <si>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</si>
  <si>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</si>
  <si>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</si>
  <si>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</si>
  <si>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</si>
  <si>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</si>
  <si>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</si>
  <si>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</si>
  <si>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</si>
  <si>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</si>
  <si>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</si>
  <si>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</si>
  <si>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</si>
  <si>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</si>
  <si>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</si>
  <si>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#SmoothLikeNitroPepsi</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</si>
  <si>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</si>
  <si>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</si>
  <si>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</si>
  <si>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</si>
  <si>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</si>
  <si>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</si>
  <si>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</si>
  <si>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</si>
  <si>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</si>
  <si>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</si>
  <si>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</si>
  <si>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</si>
  <si>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</si>
  <si>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</si>
  <si>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</si>
  <si>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</si>
  <si>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</si>
  <si>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</si>
  <si>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</si>
  <si>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</si>
  <si>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</si>
  <si>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</si>
  <si>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</si>
  <si>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</si>
  <si>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</si>
  <si>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</si>
  <si>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</si>
  <si>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</si>
  <si>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</si>
  <si>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</si>
  <si>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</si>
  <si>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</si>
  <si>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</si>
  <si>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</si>
  <si>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</si>
  <si>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</si>
  <si>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</si>
  <si>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</si>
  <si>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</si>
  <si>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</si>
  <si>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</si>
  <si>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</si>
  <si>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</si>
  <si>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</si>
  <si>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</si>
  <si>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</si>
  <si>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</si>
  <si>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</si>
  <si>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</si>
  <si>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</si>
  <si>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</si>
  <si>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</si>
  <si>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</si>
  <si>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</si>
  <si>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</si>
  <si>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</si>
  <si>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</si>
  <si>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</si>
  <si>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</si>
  <si>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</si>
  <si>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</si>
  <si>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</si>
  <si>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</si>
  <si>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</si>
  <si>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</si>
  <si>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</si>
  <si>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</si>
  <si>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</si>
  <si>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</si>
  <si>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</si>
  <si>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</si>
  <si>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</si>
  <si>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</si>
  <si>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</si>
  <si>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</si>
  <si>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</si>
  <si>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</si>
  <si>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</si>
  <si>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</si>
  <si>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</si>
  <si>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</si>
  <si>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</si>
  <si>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</si>
  <si>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</si>
  <si>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</si>
  <si>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</si>
  <si>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</si>
  <si>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</si>
  <si>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</si>
  <si>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</si>
  <si>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</si>
  <si>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</si>
  <si>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</si>
  <si>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</si>
  <si>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</si>
  <si>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</si>
  <si>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</si>
  <si>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</si>
  <si>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</si>
  <si>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</si>
  <si>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</si>
  <si>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</si>
  <si>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</si>
  <si>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</si>
  <si>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</si>
  <si>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</si>
  <si>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</si>
  <si>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</si>
  <si>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</si>
  <si>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</si>
  <si>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</si>
  <si>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</si>
  <si>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</si>
  <si>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</si>
  <si>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</si>
  <si>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</si>
  <si>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</si>
  <si>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</si>
  <si>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</si>
  <si>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</si>
  <si>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</si>
  <si>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</si>
  <si>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</si>
  <si>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</si>
  <si>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</si>
  <si>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</si>
  <si>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</si>
  <si>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</si>
  <si>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</si>
  <si>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</si>
  <si>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</si>
  <si>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</si>
  <si>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</si>
  <si>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</si>
  <si>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</si>
  <si>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</si>
  <si>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</si>
  <si>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</si>
  <si>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</si>
  <si>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</si>
  <si>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</si>
  <si>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</si>
  <si>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</si>
  <si>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</si>
  <si>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</si>
  <si>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</si>
  <si>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</si>
  <si>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</si>
  <si>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</si>
  <si>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</si>
  <si>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</si>
  <si>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</si>
  <si>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</si>
  <si>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</si>
  <si>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</si>
  <si>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</si>
  <si>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</si>
  <si>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</si>
  <si>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</si>
  <si>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</si>
  <si>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</si>
  <si>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</si>
  <si>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</si>
  <si>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</si>
  <si>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</si>
  <si>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</si>
  <si>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Campaign_Name</t>
  </si>
  <si>
    <t>Start_Date</t>
  </si>
  <si>
    <t>End_Date</t>
  </si>
  <si>
    <t>Objective</t>
  </si>
  <si>
    <t>Total_Budget</t>
  </si>
  <si>
    <t>Target_Platforms</t>
  </si>
  <si>
    <t>Primary_Hashtags</t>
  </si>
  <si>
    <t>SummerSplash</t>
  </si>
  <si>
    <t>Brand Awareness</t>
  </si>
  <si>
    <t>Instagram,Facebook</t>
  </si>
  <si>
    <t>FestiveRadiance</t>
  </si>
  <si>
    <t>Engagement</t>
  </si>
  <si>
    <t>Instagram,YouTube</t>
  </si>
  <si>
    <t/>
  </si>
  <si>
    <t>NewYearRefresh</t>
  </si>
  <si>
    <t>Product Launch</t>
  </si>
  <si>
    <t>Facebook,Twitter</t>
  </si>
  <si>
    <t>DailyWellness</t>
  </si>
  <si>
    <t>Traffic</t>
  </si>
  <si>
    <t>Instagram,Twitter</t>
  </si>
  <si>
    <t>.</t>
  </si>
  <si>
    <t>Engagement Rate</t>
  </si>
  <si>
    <t>SUM of Likes</t>
  </si>
  <si>
    <t>SUM of Shares</t>
  </si>
  <si>
    <t>SUM of Comments</t>
  </si>
  <si>
    <t>Facebook Total</t>
  </si>
  <si>
    <t>Instagram Total</t>
  </si>
  <si>
    <t>Twitter Total</t>
  </si>
  <si>
    <t>YouTube Total</t>
  </si>
  <si>
    <t>Grand Total</t>
  </si>
  <si>
    <t>AVERAGE of Clicks</t>
  </si>
  <si>
    <t>Rank</t>
  </si>
  <si>
    <t>SUM of Engagement Rate</t>
  </si>
  <si>
    <r>
      <rPr>
        <rFont val="Arial"/>
        <b/>
        <color theme="1"/>
        <sz val="11.0"/>
      </rPr>
      <t>Top 10 Posts by Engagement Rate</t>
    </r>
  </si>
  <si>
    <t>Total Engagement = Likes + Shares + Comments</t>
  </si>
  <si>
    <t>SUM of Total Engagement = Likes + Shares + Comments</t>
  </si>
  <si>
    <r>
      <rPr>
        <rFont val="Arial"/>
        <b/>
        <color theme="1"/>
        <sz val="12.0"/>
      </rPr>
      <t>Insights:</t>
    </r>
    <r>
      <rPr>
        <rFont val="Arial"/>
        <color theme="1"/>
        <sz val="13.0"/>
      </rPr>
      <t xml:space="preserve">Based on the pie chart visualization of total engagement (likes + shares + comments), Facebook emerged as the top-performing platform with over 305,000 total engagements, followed by Instagram (263,579) and Twitter (256,005). YouTube had the lowest total engagement at 212,941. This suggests that Facebook is highly effective in driving interactions and user engagement, making it a strong platform for brand visibility and community engagement efforts. However, Instagram and Twitter are not far behind and also contribute significantly to overall engagement.
</t>
    </r>
  </si>
  <si>
    <t>Growth Rate %</t>
  </si>
  <si>
    <r>
      <rPr>
        <rFont val="Arial"/>
        <b/>
        <color theme="1"/>
      </rPr>
      <t>Engagement per Rupee</t>
    </r>
  </si>
  <si>
    <t>AVERAGE of Growth Rate %</t>
  </si>
  <si>
    <t>AVERAGE of Engagement per Rupee</t>
  </si>
  <si>
    <t>Campaign Name</t>
  </si>
  <si>
    <t>Budget Split</t>
  </si>
  <si>
    <t>Total Budget</t>
  </si>
  <si>
    <r>
      <rPr>
        <rFont val="Arial"/>
        <b/>
        <color theme="1"/>
        <sz val="12.0"/>
      </rPr>
      <t>Insight:</t>
    </r>
    <r>
      <rPr>
        <rFont val="Arial"/>
        <color theme="1"/>
        <sz val="12.0"/>
      </rPr>
      <t xml:space="preserve">
Instagram received the largest portion of the budget (₹285,000), indicating it's a primary focus platform. Twitter and Facebook followed. Based on this allocation, Instagram should remain a core platform while others can be optimized based on performance.</t>
    </r>
  </si>
  <si>
    <t>Post Id</t>
  </si>
  <si>
    <t>Hashtags Summary</t>
  </si>
  <si>
    <t>Total Engagement</t>
  </si>
  <si>
    <t>AVERAGE of Total Engagement</t>
  </si>
  <si>
    <r>
      <rPr>
        <rFont val="Arial"/>
        <b/>
        <color theme="1"/>
        <sz val="12.0"/>
      </rPr>
      <t>Recommended Content Types by Platform</t>
    </r>
    <r>
      <rPr>
        <rFont val="Arial"/>
        <color theme="1"/>
        <sz val="12.0"/>
      </rPr>
      <t xml:space="preserve">
</t>
    </r>
    <r>
      <rPr>
        <rFont val="Arial"/>
        <b/>
        <color theme="1"/>
        <sz val="12.0"/>
      </rPr>
      <t>1.Facebook</t>
    </r>
    <r>
      <rPr>
        <rFont val="Arial"/>
        <color theme="1"/>
        <sz val="12.0"/>
      </rPr>
      <t xml:space="preserve">
Top performer: Reels (3611) and Videos (3467.78)
Recommendation: Focus on short-form video content like Reels and Videos. Carousels also perform well and can be used to complement these formats.
</t>
    </r>
    <r>
      <rPr>
        <rFont val="Arial"/>
        <b/>
        <color theme="1"/>
        <sz val="12.0"/>
      </rPr>
      <t>2.Instagram</t>
    </r>
    <r>
      <rPr>
        <rFont val="Arial"/>
        <color theme="1"/>
        <sz val="12.0"/>
      </rPr>
      <t xml:space="preserve">
Top performer: Images (3685.70) followed by Text (2751.3) and Carousels (2814.00)
Recommendation: Prioritize high-quality static images and carousel posts with creative storytelling. Avoid video-heavy strategy here.
</t>
    </r>
    <r>
      <rPr>
        <rFont val="Arial"/>
        <b/>
        <color theme="1"/>
        <sz val="12.0"/>
      </rPr>
      <t>3.Twitter</t>
    </r>
    <r>
      <rPr>
        <rFont val="Arial"/>
        <color theme="1"/>
        <sz val="12.0"/>
      </rPr>
      <t xml:space="preserve">
Top performer: Text (3255.36) and Carousel (3073.88)
Recommendation: Use text-driven tweets with engaging captions, and use carousels for campaign messaging and visual storytelling.
</t>
    </r>
    <r>
      <rPr>
        <rFont val="Arial"/>
        <b/>
        <color theme="1"/>
        <sz val="12.0"/>
      </rPr>
      <t>4.YouTube</t>
    </r>
    <r>
      <rPr>
        <rFont val="Arial"/>
        <color theme="1"/>
        <sz val="12.0"/>
      </rPr>
      <t xml:space="preserve">
Top performer: Stories (3775.56) and Text (3514.88)
Recommendation: Focus on YouTube Shorts (story-like) and strong captions/descriptions in text format. Support with videos, which also perform well.
</t>
    </r>
  </si>
  <si>
    <t>Campaign_Period</t>
  </si>
  <si>
    <t>Values</t>
  </si>
  <si>
    <t>After Campaign</t>
  </si>
  <si>
    <t>Before Campaign</t>
  </si>
  <si>
    <t>During Campaign</t>
  </si>
  <si>
    <t>SUM of Impressions</t>
  </si>
  <si>
    <t>SUM of Clicks</t>
  </si>
  <si>
    <t>Likes Uplift %</t>
  </si>
  <si>
    <t>Shares Uplift%</t>
  </si>
  <si>
    <t>Impressions Uplift%</t>
  </si>
  <si>
    <t>Comments Uplift%</t>
  </si>
  <si>
    <t>Clicks Uplift%</t>
  </si>
  <si>
    <t>All campaigns showed huge increases in engagement during their periods, especially DailyWellness with the highest uplift in Likes and Shares. Impressions dropped, indicating a smaller but more engaged audience. Clicks and Comments also rose significantly, with SummerSplash leading in clicks. DailyWellness had the best ROI, while NewYearRefresh lagged slightly. Overall, campaigns boosted quality engagement despite fewer impressions, suggesting a need to focus on optimizing reach while maintaining strong interaction.</t>
  </si>
  <si>
    <t>#LiveForNow#AnytimeIsPepsiTime</t>
  </si>
  <si>
    <t>#LiveForNow#AnytimeIsPepsiTime#ThirstyForMore</t>
  </si>
  <si>
    <t>#LiveForNow#PepsiCoRefresh#AnytimeIsPepsiTime</t>
  </si>
  <si>
    <t>#LiveForNow#SmoothLikeNitroPepsi</t>
  </si>
  <si>
    <t>#LiveForNow#ThirstyForMore#BetterWithPepsi</t>
  </si>
  <si>
    <t>#PepsiCoRefresh#AnytimeIsPepsiTime</t>
  </si>
  <si>
    <t>#PepsiCoRefresh#BetterWithPepsi</t>
  </si>
  <si>
    <t>#PepsiCoRefresh#SmoothLikeNitroPepsi</t>
  </si>
  <si>
    <t>#PepsiCoRefresh#ThirstyForMore#BetterWithPepsi</t>
  </si>
  <si>
    <t>#ThirstyForMore#AnytimeIsPepsiTime</t>
  </si>
  <si>
    <t>#ThirstyForMore#BetterWithPepsi</t>
  </si>
  <si>
    <t>#ThirstyForMore#PepsiCoRefresh</t>
  </si>
  <si>
    <t>#ThirstyForMore#PepsiCoRefresh#AnytimeIsPepsiTime</t>
  </si>
  <si>
    <t>#ThirstyForMore#SmoothLikeNitroPepsi</t>
  </si>
  <si>
    <t>#ThirstyForMore#ThirstyForMore#BetterWithPepsi</t>
  </si>
  <si>
    <t>COUNTA of Hashtags Summary</t>
  </si>
  <si>
    <t>Most frequently used hashtags (based on COUNTA of Hashtags Summary) are:
#LiveForNow → 95 uses
#PepsiCoRefresh → 89 uses
#ThirstyForMore → 88 uses
These three are clearly the top hashtags, each used far more often than the rest, which are combinations or less frequent tags.</t>
  </si>
  <si>
    <t>Campaign_Start_Date</t>
  </si>
  <si>
    <t>Campaign_End_Date</t>
  </si>
  <si>
    <t>AVERAGE of Likes</t>
  </si>
  <si>
    <t>AVERAGE of Comments</t>
  </si>
  <si>
    <t>AVERAGE of Shares</t>
  </si>
  <si>
    <t>AVERAGE of Impressions</t>
  </si>
  <si>
    <t xml:space="preserve"> Total</t>
  </si>
  <si>
    <t>DailyWellness Total</t>
  </si>
  <si>
    <t>FestiveRadiance Total</t>
  </si>
  <si>
    <t>NewYearRefresh Total</t>
  </si>
  <si>
    <t>SummerSplash Total</t>
  </si>
  <si>
    <t xml:space="preserve"> Budgets</t>
  </si>
  <si>
    <t>ROI</t>
  </si>
  <si>
    <t xml:space="preserve">
</t>
  </si>
  <si>
    <r>
      <rPr>
        <rFont val="Arial"/>
        <b/>
        <color theme="1"/>
      </rPr>
      <t>DailyWellness achieved the highest ROI at 1.3954, meaning it generated the most engagement per unit of budget spent, making it the most cost-effective campaign. It also recorded the highest total engagement (251,172) among all campaigns, showing strong audience interest.
In terms of follower growth impact, DailyWellness again stands out due to its high clicks (10,689) and overall engagement, which are strong indicators of audience conversion and retention. NewYearRefresh came close in total engagement (242,853) but had a lower ROI (0.97), indicating slightly lower cost efficiency. SummerSplash showed a solid ROI (1.20) despite having lower engagement than the top campaigns, making it another strong performer from a cost-effectiveness perspective.</t>
    </r>
    <r>
      <rPr>
        <rFont val="Arial"/>
        <color theme="1"/>
      </rPr>
      <t xml:space="preserve">
</t>
    </r>
  </si>
  <si>
    <t xml:space="preserve">Followers_Start        </t>
  </si>
  <si>
    <t>Followers_End</t>
  </si>
  <si>
    <t>Net_Follower_Growth</t>
  </si>
  <si>
    <t>Insights:</t>
  </si>
  <si>
    <t>NewYearRefresh recorded the strongest follower growth, gaining 185,587 new followers during its campaign period, indicating the highest audience acquisition impact.</t>
  </si>
  <si>
    <t>SUM of Unfollows</t>
  </si>
  <si>
    <t>SUM of New_Followers</t>
  </si>
  <si>
    <t>Net Follower Gain</t>
  </si>
  <si>
    <t xml:space="preserve">Insights :This Pivot Table was taken from task5-2 data set </t>
  </si>
  <si>
    <t>correlation</t>
  </si>
  <si>
    <t>Weekly New Followers by Platform.</t>
  </si>
  <si>
    <t>maximum net follower gain</t>
  </si>
  <si>
    <t xml:space="preserve">corresponding week </t>
  </si>
  <si>
    <t>Average</t>
  </si>
  <si>
    <t>Intagram</t>
  </si>
  <si>
    <t>Youtube</t>
  </si>
  <si>
    <t>Task7 Video Analysis : https://drive.google.com/file/d/1HfseYdM79Hok6fx7063L9QCSfL6Ci9sS/view?usp=sharing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</si>
</sst>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d/yyyy"/>
  </numFmts>
  <fonts count="28">
    <font>
      <sz val="10.0"/>
      <color rgb="FF000000"/>
      <name val="Arial"/>
      <scheme val="minor"/>
    </font>
    <font>
      <b/>
      <sz val="11.0"/>
      <color theme="1"/>
      <name val="Calibri"/>
    </font>
    <font>
      <color theme="1"/>
      <name val="Arial"/>
      <scheme val="minor"/>
    </font>
    <font>
      <color theme="1"/>
      <name val="Arial"/>
    </font>
    <font>
      <sz val="11.0"/>
      <color theme="1"/>
      <name val="Calibri"/>
    </font>
    <font>
      <b/>
      <color theme="1"/>
      <name val="Arial"/>
    </font>
    <font>
      <i/>
      <color theme="1"/>
      <name val="Arial"/>
    </font>
    <font>
      <color rgb="FFFFFFFF"/>
      <name val="Arial"/>
    </font>
    <font>
      <sz val="11.0"/>
      <color theme="1"/>
      <name val="Arial"/>
    </font>
    <font>
      <i/>
      <color rgb="FFF3F3F3"/>
      <name val="Arial"/>
    </font>
    <font>
      <b/>
      <sz val="11.0"/>
      <color theme="1"/>
      <name val="Arial"/>
    </font>
    <font>
      <sz val="11.0"/>
      <color rgb="FFFFFFFF"/>
      <name val="Arial"/>
    </font>
    <font>
      <b/>
      <i/>
      <color theme="1"/>
      <name val="Arial"/>
    </font>
    <font>
      <b/>
      <sz val="11.0"/>
      <color theme="1"/>
      <name val="Arial"/>
      <scheme val="minor"/>
    </font>
    <font>
      <color rgb="FFF3F3F3"/>
      <name val="Arial"/>
    </font>
    <font>
      <color rgb="FFEFEFEF"/>
      <name val="Arial"/>
    </font>
    <font>
      <color rgb="FFCCCCCC"/>
      <name val="Arial"/>
    </font>
    <font>
      <b/>
      <color theme="1"/>
      <name val="Arial"/>
      <scheme val="minor"/>
    </font>
    <font>
      <b/>
      <sz val="12.0"/>
      <color theme="1"/>
      <name val="Arial"/>
      <scheme val="minor"/>
    </font>
    <font>
      <b/>
      <sz val="18.0"/>
      <color theme="1"/>
      <name val="Arial"/>
      <scheme val="minor"/>
    </font>
    <font>
      <b/>
      <sz val="14.0"/>
      <color theme="1"/>
      <name val="Arial"/>
      <scheme val="minor"/>
    </font>
    <font>
      <b/>
      <sz val="18.0"/>
      <color theme="1"/>
      <name val="Arial"/>
    </font>
    <font>
      <b/>
      <sz val="15.0"/>
      <color theme="1"/>
      <name val="Arial"/>
    </font>
    <font>
      <sz val="15.0"/>
      <color theme="1"/>
      <name val="Arial"/>
    </font>
    <font>
      <sz val="17.0"/>
      <color theme="1"/>
      <name val="Arial"/>
    </font>
    <font>
      <sz val="16.0"/>
      <color theme="1"/>
      <name val="Arial"/>
    </font>
    <font>
      <sz val="14.0"/>
      <color theme="1"/>
      <name val="Arial"/>
    </font>
    <font>
      <b/>
      <sz val="15.0"/>
      <color theme="1"/>
      <name val="Arial"/>
      <scheme val="minor"/>
    </font>
  </fonts>
  <fills count="14">
    <fill>
      <patternFill patternType="none"/>
    </fill>
    <fill>
      <patternFill patternType="lightGray"/>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FFFF"/>
        <bgColor rgb="FFFFFFFF"/>
      </patternFill>
    </fill>
    <fill>
      <patternFill patternType="solid">
        <fgColor rgb="FFB7E1CD"/>
        <bgColor rgb="FFB7E1CD"/>
      </patternFill>
    </fill>
    <fill>
      <patternFill patternType="solid">
        <fgColor rgb="FFFF9900"/>
        <bgColor rgb="FFFF9900"/>
      </patternFill>
    </fill>
    <fill>
      <patternFill patternType="solid">
        <fgColor rgb="FF000000"/>
        <bgColor rgb="FF000000"/>
      </patternFill>
    </fill>
    <fill>
      <patternFill patternType="solid">
        <fgColor rgb="FFF6B26B"/>
        <bgColor rgb="FFF6B26B"/>
      </patternFill>
    </fill>
    <fill>
      <patternFill patternType="solid">
        <fgColor rgb="FFFF0000"/>
        <bgColor rgb="FFFF0000"/>
      </patternFill>
    </fill>
    <fill>
      <patternFill patternType="solid">
        <fgColor rgb="FFA3B2CC"/>
        <bgColor rgb="FFA3B2CC"/>
      </patternFill>
    </fill>
    <fill>
      <patternFill patternType="solid">
        <fgColor rgb="FF999999"/>
        <bgColor rgb="FF999999"/>
      </patternFill>
    </fill>
    <fill>
      <patternFill patternType="solid">
        <fgColor rgb="FF666666"/>
        <bgColor rgb="FF666666"/>
      </patternFill>
    </fill>
  </fills>
  <borders count="8">
    <border/>
    <border>
      <left style="thin">
        <color rgb="FF000000"/>
      </left>
      <right style="thin">
        <color rgb="FF000000"/>
      </right>
      <top style="thin">
        <color rgb="FF000000"/>
      </top>
      <bottom style="thin">
        <color rgb="FF000000"/>
      </bottom>
    </border>
    <border>
      <bottom style="thick">
        <color rgb="FF8093B3"/>
      </bottom>
    </border>
    <border>
      <left style="thin">
        <color rgb="FFFFFFFF"/>
      </left>
      <right style="thin">
        <color rgb="FFFFFFFF"/>
      </right>
    </border>
    <border>
      <top style="thin">
        <color rgb="FFFFFFFF"/>
      </top>
    </border>
    <border>
      <top style="double">
        <color rgb="FF000000"/>
      </top>
    </border>
    <border>
      <right style="thin">
        <color rgb="FFFFFFFF"/>
      </right>
    </border>
    <border>
      <top style="thin">
        <color rgb="FFFFFFFF"/>
      </top>
      <bottom style="thick">
        <color rgb="FF8093B3"/>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0" fontId="1" numFmtId="4" xfId="0" applyAlignment="1" applyBorder="1" applyFont="1" applyNumberFormat="1">
      <alignment horizontal="center" vertical="top"/>
    </xf>
    <xf borderId="1" fillId="0" fontId="1" numFmtId="4" xfId="0" applyAlignment="1" applyBorder="1" applyFont="1" applyNumberFormat="1">
      <alignment horizontal="center" shrinkToFit="0" vertical="top" wrapText="1"/>
    </xf>
    <xf borderId="1" fillId="0" fontId="1" numFmtId="164" xfId="0" applyAlignment="1" applyBorder="1" applyFont="1" applyNumberFormat="1">
      <alignment horizontal="center" vertical="top"/>
    </xf>
    <xf borderId="1" fillId="0" fontId="1" numFmtId="0" xfId="0" applyAlignment="1" applyBorder="1" applyFont="1">
      <alignment horizontal="center" vertical="top"/>
    </xf>
    <xf borderId="0" fillId="0" fontId="2" numFmtId="4" xfId="0" applyFont="1" applyNumberFormat="1"/>
    <xf borderId="0" fillId="0" fontId="2" numFmtId="164" xfId="0" applyFont="1" applyNumberFormat="1"/>
    <xf borderId="0" fillId="0" fontId="3" numFmtId="0" xfId="0" applyAlignment="1" applyFont="1">
      <alignment readingOrder="0" vertical="bottom"/>
    </xf>
    <xf borderId="0" fillId="0" fontId="3" numFmtId="4" xfId="0" applyAlignment="1" applyFont="1" applyNumberFormat="1">
      <alignment readingOrder="0" vertical="bottom"/>
    </xf>
    <xf borderId="0" fillId="0" fontId="3" numFmtId="0" xfId="0" applyAlignment="1" applyFont="1">
      <alignment vertical="bottom"/>
    </xf>
    <xf borderId="0" fillId="0" fontId="3" numFmtId="4" xfId="0" applyAlignment="1" applyFont="1" applyNumberFormat="1">
      <alignment vertical="bottom"/>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4" numFmtId="164" xfId="0" applyAlignment="1" applyFont="1" applyNumberFormat="1">
      <alignment horizontal="right" vertical="bottom"/>
    </xf>
    <xf borderId="0" fillId="0" fontId="4" numFmtId="0" xfId="0" applyAlignment="1" applyFont="1">
      <alignment vertical="bottom"/>
    </xf>
    <xf borderId="0" fillId="0" fontId="4" numFmtId="0" xfId="0" applyAlignment="1" applyFont="1">
      <alignment horizontal="right" vertical="bottom"/>
    </xf>
    <xf borderId="1" fillId="0" fontId="1" numFmtId="164" xfId="0" applyAlignment="1" applyBorder="1" applyFont="1" applyNumberFormat="1">
      <alignment horizontal="center" shrinkToFit="0" vertical="top" wrapText="1"/>
    </xf>
    <xf borderId="1" fillId="0" fontId="3" numFmtId="4" xfId="0" applyAlignment="1" applyBorder="1" applyFont="1" applyNumberFormat="1">
      <alignment vertical="top"/>
    </xf>
    <xf borderId="1" fillId="0" fontId="4" numFmtId="4" xfId="0" applyAlignment="1" applyBorder="1" applyFont="1" applyNumberFormat="1">
      <alignment vertical="bottom"/>
    </xf>
    <xf borderId="1" fillId="0" fontId="4" numFmtId="164" xfId="0" applyAlignment="1" applyBorder="1" applyFont="1" applyNumberFormat="1">
      <alignment horizontal="right" shrinkToFit="0" vertical="bottom" wrapText="1"/>
    </xf>
    <xf borderId="1" fillId="0" fontId="4" numFmtId="164" xfId="0" applyAlignment="1" applyBorder="1" applyFont="1" applyNumberFormat="1">
      <alignment horizontal="right" vertical="bottom"/>
    </xf>
    <xf borderId="1" fillId="0" fontId="4" numFmtId="4" xfId="0" applyAlignment="1" applyBorder="1" applyFont="1" applyNumberFormat="1">
      <alignment horizontal="right" shrinkToFit="0" vertical="bottom" wrapText="1"/>
    </xf>
    <xf borderId="1" fillId="0" fontId="4" numFmtId="0" xfId="0" applyAlignment="1" applyBorder="1" applyFont="1">
      <alignment shrinkToFit="0" vertical="bottom" wrapText="1"/>
    </xf>
    <xf borderId="1" fillId="0" fontId="3" numFmtId="4" xfId="0" applyAlignment="1" applyBorder="1" applyFont="1" applyNumberFormat="1">
      <alignment vertical="bottom"/>
    </xf>
    <xf borderId="0" fillId="0" fontId="2" numFmtId="0" xfId="0" applyAlignment="1" applyFont="1">
      <alignment readingOrder="0"/>
    </xf>
    <xf borderId="0" fillId="0" fontId="5" numFmtId="0" xfId="0" applyAlignment="1" applyFont="1">
      <alignment vertical="bottom"/>
    </xf>
    <xf borderId="0" fillId="0" fontId="3" numFmtId="164" xfId="0" applyAlignment="1" applyFont="1" applyNumberFormat="1">
      <alignment horizontal="right" vertical="bottom"/>
    </xf>
    <xf borderId="0" fillId="0" fontId="3" numFmtId="4" xfId="0" applyAlignment="1" applyFont="1" applyNumberFormat="1">
      <alignment horizontal="right" vertical="bottom"/>
    </xf>
    <xf borderId="0" fillId="0" fontId="3" numFmtId="0" xfId="0" applyAlignment="1" applyFont="1">
      <alignment vertical="bottom"/>
    </xf>
    <xf borderId="0" fillId="0" fontId="3" numFmtId="0" xfId="0" applyAlignment="1" applyFont="1">
      <alignment horizontal="right" vertical="bottom"/>
    </xf>
    <xf borderId="2" fillId="2" fontId="6" numFmtId="4" xfId="0" applyAlignment="1" applyBorder="1" applyFill="1" applyFont="1" applyNumberFormat="1">
      <alignment vertical="bottom"/>
    </xf>
    <xf borderId="2" fillId="3" fontId="7" numFmtId="0" xfId="0" applyAlignment="1" applyBorder="1" applyFill="1" applyFont="1">
      <alignment vertical="bottom"/>
    </xf>
    <xf borderId="0" fillId="4" fontId="3" numFmtId="4" xfId="0" applyAlignment="1" applyFill="1" applyFont="1" applyNumberFormat="1">
      <alignment vertical="bottom"/>
    </xf>
    <xf borderId="3" fillId="4" fontId="3" numFmtId="4" xfId="0" applyAlignment="1" applyBorder="1" applyFont="1" applyNumberFormat="1">
      <alignment vertical="bottom"/>
    </xf>
    <xf borderId="0" fillId="5" fontId="3" numFmtId="4" xfId="0" applyAlignment="1" applyFill="1" applyFont="1" applyNumberFormat="1">
      <alignment horizontal="right" vertical="bottom"/>
    </xf>
    <xf borderId="0" fillId="4" fontId="3" numFmtId="0" xfId="0" applyAlignment="1" applyFont="1">
      <alignment vertical="bottom"/>
    </xf>
    <xf borderId="4" fillId="2" fontId="3" numFmtId="0" xfId="0" applyAlignment="1" applyBorder="1" applyFont="1">
      <alignment vertical="bottom"/>
    </xf>
    <xf borderId="4" fillId="2" fontId="3" numFmtId="4" xfId="0" applyAlignment="1" applyBorder="1" applyFont="1" applyNumberFormat="1">
      <alignment horizontal="right" vertical="bottom"/>
    </xf>
    <xf borderId="5" fillId="2" fontId="5" numFmtId="0" xfId="0" applyAlignment="1" applyBorder="1" applyFont="1">
      <alignment vertical="bottom"/>
    </xf>
    <xf borderId="5" fillId="2" fontId="3" numFmtId="0" xfId="0" applyAlignment="1" applyBorder="1" applyFont="1">
      <alignment vertical="bottom"/>
    </xf>
    <xf borderId="5" fillId="2" fontId="5" numFmtId="4" xfId="0" applyAlignment="1" applyBorder="1" applyFont="1" applyNumberFormat="1">
      <alignment horizontal="right" vertical="bottom"/>
    </xf>
    <xf borderId="2" fillId="2" fontId="6" numFmtId="0" xfId="0" applyAlignment="1" applyBorder="1" applyFont="1">
      <alignment vertical="bottom"/>
    </xf>
    <xf borderId="6" fillId="4" fontId="3" numFmtId="0" xfId="0" applyAlignment="1" applyBorder="1" applyFont="1">
      <alignment vertical="bottom"/>
    </xf>
    <xf borderId="0" fillId="6" fontId="3" numFmtId="0" xfId="0" applyAlignment="1" applyFill="1" applyFont="1">
      <alignment horizontal="right" vertical="bottom"/>
    </xf>
    <xf borderId="6" fillId="4" fontId="3" numFmtId="4" xfId="0" applyAlignment="1" applyBorder="1" applyFont="1" applyNumberFormat="1">
      <alignment vertical="bottom"/>
    </xf>
    <xf borderId="0" fillId="5" fontId="3" numFmtId="0" xfId="0" applyAlignment="1" applyFont="1">
      <alignment horizontal="right" vertical="bottom"/>
    </xf>
    <xf borderId="5" fillId="2" fontId="5" numFmtId="0" xfId="0" applyAlignment="1" applyBorder="1" applyFont="1">
      <alignment horizontal="right" vertical="bottom"/>
    </xf>
    <xf borderId="0" fillId="0" fontId="8" numFmtId="0" xfId="0" applyAlignment="1" applyFont="1">
      <alignment horizontal="right" vertical="bottom"/>
    </xf>
    <xf borderId="2" fillId="7" fontId="6" numFmtId="4" xfId="0" applyAlignment="1" applyBorder="1" applyFill="1" applyFont="1" applyNumberFormat="1">
      <alignment vertical="bottom"/>
    </xf>
    <xf borderId="2" fillId="7" fontId="3" numFmtId="0" xfId="0" applyAlignment="1" applyBorder="1" applyFont="1">
      <alignment vertical="bottom"/>
    </xf>
    <xf borderId="0" fillId="7" fontId="3" numFmtId="0" xfId="0" applyAlignment="1" applyFont="1">
      <alignment vertical="bottom"/>
    </xf>
    <xf borderId="0" fillId="0" fontId="3" numFmtId="0" xfId="0" applyAlignment="1" applyFont="1">
      <alignment shrinkToFit="0" vertical="bottom" wrapText="1"/>
    </xf>
    <xf borderId="0" fillId="0" fontId="5" numFmtId="10" xfId="0" applyAlignment="1" applyFont="1" applyNumberFormat="1">
      <alignment vertical="bottom"/>
    </xf>
    <xf borderId="0" fillId="0" fontId="3" numFmtId="10" xfId="0" applyAlignment="1" applyFont="1" applyNumberFormat="1">
      <alignment horizontal="right" vertical="bottom"/>
    </xf>
    <xf borderId="0" fillId="0" fontId="2" numFmtId="10" xfId="0" applyFont="1" applyNumberFormat="1"/>
    <xf borderId="2" fillId="8" fontId="9" numFmtId="0" xfId="0" applyAlignment="1" applyBorder="1" applyFill="1" applyFont="1">
      <alignment vertical="bottom"/>
    </xf>
    <xf borderId="2" fillId="8" fontId="7" numFmtId="0" xfId="0" applyAlignment="1" applyBorder="1" applyFont="1">
      <alignment vertical="bottom"/>
    </xf>
    <xf borderId="2" fillId="9" fontId="3" numFmtId="0" xfId="0" applyAlignment="1" applyBorder="1" applyFill="1" applyFont="1">
      <alignment vertical="bottom"/>
    </xf>
    <xf borderId="0" fillId="5" fontId="3" numFmtId="0" xfId="0" applyAlignment="1" applyFont="1">
      <alignment horizontal="center" vertical="bottom"/>
    </xf>
    <xf borderId="0" fillId="10" fontId="5" numFmtId="0" xfId="0" applyAlignment="1" applyFill="1" applyFont="1">
      <alignment horizontal="center" vertical="bottom"/>
    </xf>
    <xf borderId="0" fillId="0" fontId="3" numFmtId="0" xfId="0" applyAlignment="1" applyFont="1">
      <alignment horizontal="right" readingOrder="0" vertical="bottom"/>
    </xf>
    <xf borderId="0" fillId="0" fontId="10" numFmtId="0" xfId="0" applyAlignment="1" applyFont="1">
      <alignment vertical="bottom"/>
    </xf>
    <xf borderId="0" fillId="2" fontId="6" numFmtId="0" xfId="0" applyAlignment="1" applyFont="1">
      <alignment vertical="bottom"/>
    </xf>
    <xf borderId="0" fillId="2" fontId="6" numFmtId="4" xfId="0" applyAlignment="1" applyFont="1" applyNumberFormat="1">
      <alignment vertical="bottom"/>
    </xf>
    <xf borderId="0" fillId="2" fontId="3" numFmtId="0" xfId="0" applyAlignment="1" applyFont="1">
      <alignment vertical="bottom"/>
    </xf>
    <xf borderId="2" fillId="3" fontId="7" numFmtId="4" xfId="0" applyAlignment="1" applyBorder="1" applyFont="1" applyNumberFormat="1">
      <alignment vertical="bottom"/>
    </xf>
    <xf borderId="0" fillId="0" fontId="2" numFmtId="0" xfId="0" applyAlignment="1" applyFont="1">
      <alignment horizontal="left" readingOrder="0"/>
    </xf>
    <xf borderId="0" fillId="2" fontId="3" numFmtId="4" xfId="0" applyAlignment="1" applyFont="1" applyNumberFormat="1">
      <alignment vertical="bottom"/>
    </xf>
    <xf borderId="0" fillId="2" fontId="6" numFmtId="164" xfId="0" applyAlignment="1" applyFont="1" applyNumberFormat="1">
      <alignment vertical="bottom"/>
    </xf>
    <xf borderId="0" fillId="2" fontId="3" numFmtId="164" xfId="0" applyAlignment="1" applyFont="1" applyNumberFormat="1">
      <alignment vertical="bottom"/>
    </xf>
    <xf borderId="0" fillId="0" fontId="3" numFmtId="10" xfId="0" applyAlignment="1" applyFont="1" applyNumberFormat="1">
      <alignment vertical="bottom"/>
    </xf>
    <xf borderId="0" fillId="3" fontId="7" numFmtId="4" xfId="0" applyAlignment="1" applyFont="1" applyNumberFormat="1">
      <alignment vertical="bottom"/>
    </xf>
    <xf borderId="0" fillId="3" fontId="3" numFmtId="164" xfId="0" applyAlignment="1" applyFont="1" applyNumberFormat="1">
      <alignment vertical="bottom"/>
    </xf>
    <xf borderId="0" fillId="3" fontId="3" numFmtId="4" xfId="0" applyAlignment="1" applyFont="1" applyNumberFormat="1">
      <alignment vertical="bottom"/>
    </xf>
    <xf borderId="0" fillId="3" fontId="7" numFmtId="0" xfId="0" applyAlignment="1" applyFont="1">
      <alignment vertical="bottom"/>
    </xf>
    <xf borderId="0" fillId="3" fontId="3" numFmtId="0" xfId="0" applyAlignment="1" applyFont="1">
      <alignment vertical="bottom"/>
    </xf>
    <xf borderId="0" fillId="3" fontId="7" numFmtId="164" xfId="0" applyAlignment="1" applyFont="1" applyNumberFormat="1">
      <alignment vertical="bottom"/>
    </xf>
    <xf borderId="7" fillId="3" fontId="7" numFmtId="4" xfId="0" applyAlignment="1" applyBorder="1" applyFont="1" applyNumberFormat="1">
      <alignment vertical="bottom"/>
    </xf>
    <xf borderId="7" fillId="3" fontId="7" numFmtId="164" xfId="0" applyAlignment="1" applyBorder="1" applyFont="1" applyNumberFormat="1">
      <alignment vertical="bottom"/>
    </xf>
    <xf borderId="7" fillId="3" fontId="7" numFmtId="0" xfId="0" applyAlignment="1" applyBorder="1" applyFont="1">
      <alignment vertical="bottom"/>
    </xf>
    <xf borderId="7" fillId="3" fontId="11" numFmtId="4" xfId="0" applyAlignment="1" applyBorder="1" applyFont="1" applyNumberFormat="1">
      <alignment vertical="bottom"/>
    </xf>
    <xf borderId="0" fillId="0" fontId="8" numFmtId="10" xfId="0" applyAlignment="1" applyFont="1" applyNumberFormat="1">
      <alignment vertical="bottom"/>
    </xf>
    <xf borderId="0" fillId="5" fontId="3" numFmtId="0" xfId="0" applyAlignment="1" applyFont="1">
      <alignment vertical="bottom"/>
    </xf>
    <xf borderId="0" fillId="5" fontId="3" numFmtId="4" xfId="0" applyAlignment="1" applyFont="1" applyNumberFormat="1">
      <alignment vertical="bottom"/>
    </xf>
    <xf borderId="0" fillId="5" fontId="3" numFmtId="164" xfId="0" applyAlignment="1" applyFont="1" applyNumberFormat="1">
      <alignment vertical="bottom"/>
    </xf>
    <xf borderId="5" fillId="2" fontId="5" numFmtId="4" xfId="0" applyAlignment="1" applyBorder="1" applyFont="1" applyNumberFormat="1">
      <alignment vertical="bottom"/>
    </xf>
    <xf borderId="0" fillId="0" fontId="3" numFmtId="164" xfId="0" applyAlignment="1" applyFont="1" applyNumberFormat="1">
      <alignment horizontal="center" vertical="bottom"/>
    </xf>
    <xf borderId="0" fillId="0" fontId="3" numFmtId="4" xfId="0" applyAlignment="1" applyFont="1" applyNumberFormat="1">
      <alignment readingOrder="0" shrinkToFit="0" vertical="bottom" wrapText="1"/>
    </xf>
    <xf borderId="2" fillId="2" fontId="12" numFmtId="0" xfId="0" applyAlignment="1" applyBorder="1" applyFont="1">
      <alignment vertical="bottom"/>
    </xf>
    <xf borderId="0" fillId="0" fontId="13" numFmtId="0" xfId="0" applyAlignment="1" applyFont="1">
      <alignment readingOrder="0"/>
    </xf>
    <xf borderId="0" fillId="0" fontId="10" numFmtId="164" xfId="0" applyAlignment="1" applyFont="1" applyNumberFormat="1">
      <alignment vertical="bottom"/>
    </xf>
    <xf borderId="0" fillId="0" fontId="5" numFmtId="164" xfId="0" applyAlignment="1" applyFont="1" applyNumberFormat="1">
      <alignment vertical="bottom"/>
    </xf>
    <xf borderId="3" fillId="4" fontId="3" numFmtId="0" xfId="0" applyAlignment="1" applyBorder="1" applyFont="1">
      <alignment vertical="bottom"/>
    </xf>
    <xf borderId="0" fillId="11" fontId="14" numFmtId="0" xfId="0" applyAlignment="1" applyFill="1" applyFont="1">
      <alignment vertical="bottom"/>
    </xf>
    <xf borderId="0" fillId="12" fontId="15" numFmtId="0" xfId="0" applyAlignment="1" applyFill="1" applyFont="1">
      <alignment vertical="bottom"/>
    </xf>
    <xf borderId="0" fillId="13" fontId="16" numFmtId="0" xfId="0" applyAlignment="1" applyFill="1" applyFont="1">
      <alignment vertical="bottom"/>
    </xf>
    <xf borderId="0" fillId="11" fontId="3" numFmtId="4" xfId="0" applyAlignment="1" applyFont="1" applyNumberFormat="1">
      <alignment horizontal="right" vertical="bottom"/>
    </xf>
    <xf borderId="0" fillId="0" fontId="2" numFmtId="0" xfId="0" applyAlignment="1" applyFont="1">
      <alignment readingOrder="0" shrinkToFit="0" wrapText="1"/>
    </xf>
    <xf borderId="1" fillId="0" fontId="1" numFmtId="165" xfId="0" applyAlignment="1" applyBorder="1" applyFont="1" applyNumberFormat="1">
      <alignment horizontal="center" vertical="top"/>
    </xf>
    <xf borderId="0" fillId="0" fontId="8" numFmtId="0" xfId="0" applyAlignment="1" applyFont="1">
      <alignment vertical="bottom"/>
    </xf>
    <xf borderId="0" fillId="0" fontId="4" numFmtId="165" xfId="0" applyAlignment="1" applyFont="1" applyNumberFormat="1">
      <alignment horizontal="right" vertical="bottom"/>
    </xf>
    <xf borderId="1" fillId="0" fontId="1" numFmtId="165" xfId="0" applyAlignment="1" applyBorder="1" applyFont="1" applyNumberFormat="1">
      <alignment horizontal="center" shrinkToFit="0" vertical="top" wrapText="1"/>
    </xf>
    <xf borderId="1" fillId="0" fontId="4" numFmtId="165" xfId="0" applyAlignment="1" applyBorder="1" applyFont="1" applyNumberFormat="1">
      <alignment horizontal="right" vertical="bottom"/>
    </xf>
    <xf borderId="1" fillId="0" fontId="4" numFmtId="165" xfId="0" applyAlignment="1" applyBorder="1" applyFont="1" applyNumberFormat="1">
      <alignment horizontal="right" shrinkToFit="0" vertical="bottom" wrapText="1"/>
    </xf>
    <xf borderId="1" fillId="0" fontId="3" numFmtId="165" xfId="0" applyAlignment="1" applyBorder="1" applyFont="1" applyNumberFormat="1">
      <alignment vertical="bottom"/>
    </xf>
    <xf borderId="0" fillId="0" fontId="17" numFmtId="0" xfId="0" applyAlignment="1" applyFont="1">
      <alignment readingOrder="0"/>
    </xf>
    <xf borderId="0" fillId="0" fontId="17" numFmtId="0" xfId="0" applyAlignment="1" applyFont="1">
      <alignment readingOrder="0" shrinkToFit="0" wrapText="1"/>
    </xf>
    <xf borderId="2" fillId="2" fontId="6" numFmtId="164" xfId="0" applyAlignment="1" applyBorder="1" applyFont="1" applyNumberFormat="1">
      <alignment vertical="bottom"/>
    </xf>
    <xf borderId="6" fillId="4" fontId="3" numFmtId="164" xfId="0" applyAlignment="1" applyBorder="1" applyFont="1" applyNumberFormat="1">
      <alignment horizontal="right" vertical="bottom"/>
    </xf>
    <xf borderId="0" fillId="0" fontId="18" numFmtId="0" xfId="0" applyAlignment="1" applyFont="1">
      <alignment readingOrder="0"/>
    </xf>
    <xf borderId="5" fillId="2" fontId="5" numFmtId="164" xfId="0" applyAlignment="1" applyBorder="1" applyFont="1" applyNumberFormat="1">
      <alignment vertical="bottom"/>
    </xf>
    <xf borderId="0" fillId="0" fontId="19" numFmtId="0" xfId="0" applyAlignment="1" applyFont="1">
      <alignment horizontal="center" readingOrder="0"/>
    </xf>
    <xf borderId="0" fillId="0" fontId="20" numFmtId="0" xfId="0" applyAlignment="1" applyFont="1">
      <alignment horizontal="center"/>
    </xf>
    <xf borderId="0" fillId="0" fontId="21" numFmtId="0" xfId="0" applyAlignment="1" applyFont="1">
      <alignment vertical="bottom"/>
    </xf>
    <xf borderId="0" fillId="0" fontId="22" numFmtId="0" xfId="0" applyAlignment="1" applyFont="1">
      <alignment vertical="bottom"/>
    </xf>
    <xf borderId="0" fillId="0" fontId="23" numFmtId="0" xfId="0" applyAlignment="1" applyFont="1">
      <alignment horizontal="right" vertical="bottom"/>
    </xf>
    <xf borderId="0" fillId="0" fontId="24" numFmtId="0" xfId="0" applyAlignment="1" applyFont="1">
      <alignment vertical="bottom"/>
    </xf>
    <xf borderId="0" fillId="0" fontId="25" numFmtId="0" xfId="0" applyAlignment="1" applyFont="1">
      <alignment horizontal="right" vertical="bottom"/>
    </xf>
    <xf borderId="0" fillId="0" fontId="26" numFmtId="164" xfId="0" applyAlignment="1" applyFont="1" applyNumberFormat="1">
      <alignment horizontal="right" vertical="bottom"/>
    </xf>
    <xf borderId="0" fillId="0" fontId="23" numFmtId="164" xfId="0" applyAlignment="1" applyFont="1" applyNumberFormat="1">
      <alignment horizontal="right" vertical="bottom"/>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Engagement = Likes + Shares + Comments</a:t>
            </a:r>
          </a:p>
        </c:rich>
      </c:tx>
      <c:overlay val="0"/>
    </c:title>
    <c:plotArea>
      <c:layout/>
      <c:pieChart>
        <c:varyColors val="1"/>
        <c:ser>
          <c:idx val="0"/>
          <c:order val="0"/>
          <c:tx>
            <c:strRef>
              <c:f>'Task3-1 Pivot Table'!$B$1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'Task3-1 Pivot Table'!$A$2:$A$6</c:f>
            </c:strRef>
          </c:cat>
          <c:val>
            <c:numRef>
              <c:f>'Task3-1 Pivot Table'!$B$2:$B$6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 Engagement = Likes + Shares + Comments vs. Platform</a:t>
            </a:r>
          </a:p>
        </c:rich>
      </c:tx>
      <c:overlay val="0"/>
    </c:title>
    <c:plotArea>
      <c:layout/>
      <c:barChart>
        <c:barDir val="col"/>
        <c:ser>
          <c:idx val="0"/>
          <c:order val="0"/>
          <c:tx>
            <c:strRef>
              <c:f>'Task3-1 Pivot Table'!$B$1</c:f>
            </c:strRef>
          </c:tx>
          <c:spPr>
            <a:solidFill>
              <a:schemeClr val="accent1"/>
            </a:solidFill>
            <a:ln cmpd="sng">
              <a:solidFill>
                <a:srgbClr val="000000"/>
              </a:solidFill>
            </a:ln>
          </c:spPr>
          <c:cat>
            <c:strRef>
              <c:f>'Task3-1 Pivot Table'!$A$2:$A$6</c:f>
            </c:strRef>
          </c:cat>
          <c:val>
            <c:numRef>
              <c:f>'Task3-1 Pivot Table'!$B$2:$B$6</c:f>
              <c:numCache/>
            </c:numRef>
          </c:val>
        </c:ser>
        <c:axId val="1546368901"/>
        <c:axId val="745222664"/>
      </c:barChart>
      <c:catAx>
        <c:axId val="1546368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Platform</a:t>
                </a:r>
              </a:p>
            </c:rich>
          </c:tx>
          <c:overlay val="0"/>
        </c:title>
        <c:numFmt formatCode="General" sourceLinked="1"/>
        <c:majorTickMark val="none"/>
        <c:minorTickMark val="none"/>
        <c:spPr/>
        <c:txPr>
          <a:bodyPr/>
          <a:lstStyle/>
          <a:p>
            <a:pPr lvl="0">
              <a:defRPr b="0">
                <a:solidFill>
                  <a:srgbClr val="000000"/>
                </a:solidFill>
                <a:latin typeface="+mn-lt"/>
              </a:defRPr>
            </a:pPr>
          </a:p>
        </c:txPr>
        <c:crossAx val="745222664"/>
      </c:catAx>
      <c:valAx>
        <c:axId val="745222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 Engagement = Likes + Shares + Comments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36890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Growth Rate %</a:t>
            </a:r>
          </a:p>
        </c:rich>
      </c:tx>
      <c:overlay val="0"/>
    </c:title>
    <c:plotArea>
      <c:layout/>
      <c:barChart>
        <c:barDir val="col"/>
        <c:ser>
          <c:idx val="0"/>
          <c:order val="0"/>
          <c:spPr>
            <a:solidFill>
              <a:schemeClr val="accent1"/>
            </a:solidFill>
            <a:ln cmpd="sng">
              <a:solidFill>
                <a:srgbClr val="000000"/>
              </a:solidFill>
            </a:ln>
          </c:spPr>
          <c:cat>
            <c:strRef>
              <c:f>'Task3-2 Pivot Table'!$A$3:$A$7</c:f>
            </c:strRef>
          </c:cat>
          <c:val>
            <c:numRef>
              <c:f>'Task3-2 Pivot Table'!$B$3:$B$7</c:f>
              <c:numCache/>
            </c:numRef>
          </c:val>
        </c:ser>
        <c:axId val="927392088"/>
        <c:axId val="154253452"/>
      </c:barChart>
      <c:catAx>
        <c:axId val="9273920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253452"/>
      </c:catAx>
      <c:valAx>
        <c:axId val="154253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739208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Engagement per Rupee</a:t>
            </a:r>
          </a:p>
        </c:rich>
      </c:tx>
      <c:overlay val="0"/>
    </c:title>
    <c:plotArea>
      <c:layout/>
      <c:areaChart>
        <c:grouping val="stacked"/>
        <c:ser>
          <c:idx val="0"/>
          <c:order val="0"/>
          <c:spPr>
            <a:solidFill>
              <a:srgbClr val="4285F4">
                <a:alpha val="30000"/>
              </a:srgbClr>
            </a:solidFill>
            <a:ln cmpd="sng">
              <a:solidFill>
                <a:srgbClr val="4285F4"/>
              </a:solidFill>
            </a:ln>
          </c:spPr>
          <c:cat>
            <c:strRef>
              <c:f>'Task3-2 Pivot Table'!$A$3:$A$7</c:f>
            </c:strRef>
          </c:cat>
          <c:val>
            <c:numRef>
              <c:f>'Task3-2 Pivot Table'!$B$3:$B$7</c:f>
              <c:numCache/>
            </c:numRef>
          </c:val>
        </c:ser>
        <c:ser>
          <c:idx val="1"/>
          <c:order val="1"/>
          <c:spPr>
            <a:solidFill>
              <a:srgbClr val="EA4335">
                <a:alpha val="30000"/>
              </a:srgbClr>
            </a:solidFill>
            <a:ln cmpd="sng">
              <a:solidFill>
                <a:srgbClr val="EA4335"/>
              </a:solidFill>
            </a:ln>
          </c:spPr>
          <c:cat>
            <c:strRef>
              <c:f>'Task3-2 Pivot Table'!$A$3:$A$7</c:f>
            </c:strRef>
          </c:cat>
          <c:val>
            <c:numRef>
              <c:f>'Task3-2 Pivot Table'!$C$3:$C$7</c:f>
              <c:numCache/>
            </c:numRef>
          </c:val>
        </c:ser>
        <c:axId val="34892776"/>
        <c:axId val="1808133122"/>
      </c:areaChart>
      <c:catAx>
        <c:axId val="34892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8133122"/>
      </c:catAx>
      <c:valAx>
        <c:axId val="1808133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89277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'Task3-3 Pivot Table'!$B$1</c:f>
            </c:strRef>
          </c:tx>
          <c:spPr>
            <a:solidFill>
              <a:schemeClr val="accent1"/>
            </a:solidFill>
            <a:ln cmpd="sng">
              <a:solidFill>
                <a:srgbClr val="000000"/>
              </a:solidFill>
            </a:ln>
          </c:spPr>
          <c:cat>
            <c:strRef>
              <c:f>'Task3-3 Pivot Table'!$A$2:$A$10</c:f>
            </c:strRef>
          </c:cat>
          <c:val>
            <c:numRef>
              <c:f>'Task3-3 Pivot Table'!$B$2:$B$10</c:f>
              <c:numCache/>
            </c:numRef>
          </c:val>
        </c:ser>
        <c:ser>
          <c:idx val="1"/>
          <c:order val="1"/>
          <c:tx>
            <c:strRef>
              <c:f>'Task3-3 Pivot Table'!$C$1</c:f>
            </c:strRef>
          </c:tx>
          <c:cat>
            <c:strRef>
              <c:f>'Task3-3 Pivot Table'!$A$2:$A$10</c:f>
            </c:strRef>
          </c:cat>
          <c:val>
            <c:numRef>
              <c:f>'Task3-3 Pivot Table'!$C$2:$C$10</c:f>
              <c:numCache/>
            </c:numRef>
          </c:val>
        </c:ser>
        <c:axId val="2052732688"/>
        <c:axId val="1560900265"/>
      </c:barChart>
      <c:catAx>
        <c:axId val="20527326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60900265"/>
      </c:catAx>
      <c:valAx>
        <c:axId val="1560900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273268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'Task3-3 Pivot Table'!$B$1</c:f>
            </c:strRef>
          </c:tx>
          <c:spPr>
            <a:ln cmpd="sng">
              <a:solidFill>
                <a:srgbClr val="4285F4"/>
              </a:solidFill>
            </a:ln>
          </c:spPr>
          <c:marker>
            <c:symbol val="none"/>
          </c:marker>
          <c:cat>
            <c:strRef>
              <c:f>'Task3-3 Pivot Table'!$A$2:$A$10</c:f>
            </c:strRef>
          </c:cat>
          <c:val>
            <c:numRef>
              <c:f>'Task3-3 Pivot Table'!$B$2:$B$10</c:f>
              <c:numCache/>
            </c:numRef>
          </c:val>
          <c:smooth val="1"/>
        </c:ser>
        <c:axId val="500685817"/>
        <c:axId val="221812393"/>
      </c:lineChart>
      <c:catAx>
        <c:axId val="5006858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1812393"/>
      </c:catAx>
      <c:valAx>
        <c:axId val="2218123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068581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Carousel, Image, Reel, Story, Text…</a:t>
            </a:r>
          </a:p>
        </c:rich>
      </c:tx>
      <c:overlay val="0"/>
    </c:title>
    <c:plotArea>
      <c:layout/>
      <c:barChart>
        <c:barDir val="col"/>
        <c:ser>
          <c:idx val="0"/>
          <c:order val="0"/>
          <c:tx>
            <c:strRef>
              <c:f>'Task4 Pivot Table1'!$B$1:$B$2</c:f>
            </c:strRef>
          </c:tx>
          <c:spPr>
            <a:solidFill>
              <a:schemeClr val="accent1"/>
            </a:solidFill>
            <a:ln cmpd="sng">
              <a:solidFill>
                <a:srgbClr val="000000"/>
              </a:solidFill>
            </a:ln>
          </c:spPr>
          <c:cat>
            <c:strRef>
              <c:f>'Task4 Pivot Table1'!$A$3:$A$7</c:f>
            </c:strRef>
          </c:cat>
          <c:val>
            <c:numRef>
              <c:f>'Task4 Pivot Table1'!$B$3:$B$7</c:f>
              <c:numCache/>
            </c:numRef>
          </c:val>
        </c:ser>
        <c:ser>
          <c:idx val="1"/>
          <c:order val="1"/>
          <c:tx>
            <c:strRef>
              <c:f>'Task4 Pivot Table1'!$C$1:$C$2</c:f>
            </c:strRef>
          </c:tx>
          <c:spPr>
            <a:solidFill>
              <a:schemeClr val="accent2"/>
            </a:solidFill>
            <a:ln cmpd="sng">
              <a:solidFill>
                <a:srgbClr val="000000"/>
              </a:solidFill>
            </a:ln>
          </c:spPr>
          <c:cat>
            <c:strRef>
              <c:f>'Task4 Pivot Table1'!$A$3:$A$7</c:f>
            </c:strRef>
          </c:cat>
          <c:val>
            <c:numRef>
              <c:f>'Task4 Pivot Table1'!$C$3:$C$7</c:f>
              <c:numCache/>
            </c:numRef>
          </c:val>
        </c:ser>
        <c:ser>
          <c:idx val="2"/>
          <c:order val="2"/>
          <c:tx>
            <c:strRef>
              <c:f>'Task4 Pivot Table1'!$D$1:$D$2</c:f>
            </c:strRef>
          </c:tx>
          <c:spPr>
            <a:solidFill>
              <a:schemeClr val="accent3"/>
            </a:solidFill>
            <a:ln cmpd="sng">
              <a:solidFill>
                <a:srgbClr val="000000"/>
              </a:solidFill>
            </a:ln>
          </c:spPr>
          <c:cat>
            <c:strRef>
              <c:f>'Task4 Pivot Table1'!$A$3:$A$7</c:f>
            </c:strRef>
          </c:cat>
          <c:val>
            <c:numRef>
              <c:f>'Task4 Pivot Table1'!$D$3:$D$7</c:f>
              <c:numCache/>
            </c:numRef>
          </c:val>
        </c:ser>
        <c:ser>
          <c:idx val="3"/>
          <c:order val="3"/>
          <c:tx>
            <c:strRef>
              <c:f>'Task4 Pivot Table1'!$E$1:$E$2</c:f>
            </c:strRef>
          </c:tx>
          <c:spPr>
            <a:solidFill>
              <a:schemeClr val="accent4"/>
            </a:solidFill>
            <a:ln cmpd="sng">
              <a:solidFill>
                <a:srgbClr val="000000"/>
              </a:solidFill>
            </a:ln>
          </c:spPr>
          <c:cat>
            <c:strRef>
              <c:f>'Task4 Pivot Table1'!$A$3:$A$7</c:f>
            </c:strRef>
          </c:cat>
          <c:val>
            <c:numRef>
              <c:f>'Task4 Pivot Table1'!$E$3:$E$7</c:f>
              <c:numCache/>
            </c:numRef>
          </c:val>
        </c:ser>
        <c:ser>
          <c:idx val="4"/>
          <c:order val="4"/>
          <c:tx>
            <c:strRef>
              <c:f>'Task4 Pivot Table1'!$F$1:$F$2</c:f>
            </c:strRef>
          </c:tx>
          <c:spPr>
            <a:solidFill>
              <a:schemeClr val="accent5"/>
            </a:solidFill>
            <a:ln cmpd="sng">
              <a:solidFill>
                <a:srgbClr val="000000"/>
              </a:solidFill>
            </a:ln>
          </c:spPr>
          <c:cat>
            <c:strRef>
              <c:f>'Task4 Pivot Table1'!$A$3:$A$7</c:f>
            </c:strRef>
          </c:cat>
          <c:val>
            <c:numRef>
              <c:f>'Task4 Pivot Table1'!$F$3:$F$7</c:f>
              <c:numCache/>
            </c:numRef>
          </c:val>
        </c:ser>
        <c:ser>
          <c:idx val="5"/>
          <c:order val="5"/>
          <c:tx>
            <c:strRef>
              <c:f>'Task4 Pivot Table1'!$G$1:$G$2</c:f>
            </c:strRef>
          </c:tx>
          <c:spPr>
            <a:solidFill>
              <a:schemeClr val="accent6"/>
            </a:solidFill>
            <a:ln cmpd="sng">
              <a:solidFill>
                <a:srgbClr val="000000"/>
              </a:solidFill>
            </a:ln>
          </c:spPr>
          <c:cat>
            <c:strRef>
              <c:f>'Task4 Pivot Table1'!$A$3:$A$7</c:f>
            </c:strRef>
          </c:cat>
          <c:val>
            <c:numRef>
              <c:f>'Task4 Pivot Table1'!$G$3:$G$7</c:f>
              <c:numCache/>
            </c:numRef>
          </c:val>
        </c:ser>
        <c:ser>
          <c:idx val="6"/>
          <c:order val="6"/>
          <c:tx>
            <c:strRef>
              <c:f>'Task4 Pivot Table1'!$H$1:$H$2</c:f>
            </c:strRef>
          </c:tx>
          <c:spPr>
            <a:solidFill>
              <a:schemeClr val="accent1">
                <a:lumOff val="30000"/>
              </a:schemeClr>
            </a:solidFill>
            <a:ln cmpd="sng">
              <a:solidFill>
                <a:srgbClr val="000000"/>
              </a:solidFill>
            </a:ln>
          </c:spPr>
          <c:cat>
            <c:strRef>
              <c:f>'Task4 Pivot Table1'!$A$3:$A$7</c:f>
            </c:strRef>
          </c:cat>
          <c:val>
            <c:numRef>
              <c:f>'Task4 Pivot Table1'!$H$3:$H$7</c:f>
              <c:numCache/>
            </c:numRef>
          </c:val>
        </c:ser>
        <c:axId val="317096854"/>
        <c:axId val="1612288146"/>
      </c:barChart>
      <c:catAx>
        <c:axId val="317096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Platform</a:t>
                </a:r>
              </a:p>
            </c:rich>
          </c:tx>
          <c:overlay val="0"/>
        </c:title>
        <c:numFmt formatCode="General" sourceLinked="1"/>
        <c:majorTickMark val="none"/>
        <c:minorTickMark val="none"/>
        <c:spPr/>
        <c:txPr>
          <a:bodyPr/>
          <a:lstStyle/>
          <a:p>
            <a:pPr lvl="0">
              <a:defRPr b="0">
                <a:solidFill>
                  <a:srgbClr val="000000"/>
                </a:solidFill>
                <a:latin typeface="+mn-lt"/>
              </a:defRPr>
            </a:pPr>
          </a:p>
        </c:txPr>
        <c:crossAx val="1612288146"/>
      </c:catAx>
      <c:valAx>
        <c:axId val="1612288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709685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'Task5-1 Pivot Table 1'!$B$1:$B$3</c:f>
            </c:strRef>
          </c:tx>
          <c:spPr>
            <a:solidFill>
              <a:schemeClr val="accent1"/>
            </a:solidFill>
            <a:ln cmpd="sng">
              <a:solidFill>
                <a:srgbClr val="000000"/>
              </a:solidFill>
            </a:ln>
          </c:spPr>
          <c:cat>
            <c:strRef>
              <c:f>'Task5-1 Pivot Table 1'!$A$4:$A$1000</c:f>
            </c:strRef>
          </c:cat>
          <c:val>
            <c:numRef>
              <c:f>'Task5-1 Pivot Table 1'!$B$4:$B$1000</c:f>
              <c:numCache/>
            </c:numRef>
          </c:val>
        </c:ser>
        <c:ser>
          <c:idx val="1"/>
          <c:order val="1"/>
          <c:tx>
            <c:strRef>
              <c:f>'Task5-1 Pivot Table 1'!$C$1:$C$3</c:f>
            </c:strRef>
          </c:tx>
          <c:spPr>
            <a:solidFill>
              <a:schemeClr val="accent2"/>
            </a:solidFill>
            <a:ln cmpd="sng">
              <a:solidFill>
                <a:srgbClr val="000000"/>
              </a:solidFill>
            </a:ln>
          </c:spPr>
          <c:cat>
            <c:strRef>
              <c:f>'Task5-1 Pivot Table 1'!$A$4:$A$1000</c:f>
            </c:strRef>
          </c:cat>
          <c:val>
            <c:numRef>
              <c:f>'Task5-1 Pivot Table 1'!$C$4:$C$1000</c:f>
              <c:numCache/>
            </c:numRef>
          </c:val>
        </c:ser>
        <c:ser>
          <c:idx val="2"/>
          <c:order val="2"/>
          <c:tx>
            <c:strRef>
              <c:f>'Task5-1 Pivot Table 1'!$D$1:$D$3</c:f>
            </c:strRef>
          </c:tx>
          <c:spPr>
            <a:solidFill>
              <a:schemeClr val="accent3"/>
            </a:solidFill>
            <a:ln cmpd="sng">
              <a:solidFill>
                <a:srgbClr val="000000"/>
              </a:solidFill>
            </a:ln>
          </c:spPr>
          <c:cat>
            <c:strRef>
              <c:f>'Task5-1 Pivot Table 1'!$A$4:$A$1000</c:f>
            </c:strRef>
          </c:cat>
          <c:val>
            <c:numRef>
              <c:f>'Task5-1 Pivot Table 1'!$D$4:$D$1000</c:f>
              <c:numCache/>
            </c:numRef>
          </c:val>
        </c:ser>
        <c:ser>
          <c:idx val="3"/>
          <c:order val="3"/>
          <c:tx>
            <c:strRef>
              <c:f>'Task5-1 Pivot Table 1'!$E$1:$E$3</c:f>
            </c:strRef>
          </c:tx>
          <c:spPr>
            <a:solidFill>
              <a:schemeClr val="accent4"/>
            </a:solidFill>
            <a:ln cmpd="sng">
              <a:solidFill>
                <a:srgbClr val="000000"/>
              </a:solidFill>
            </a:ln>
          </c:spPr>
          <c:cat>
            <c:strRef>
              <c:f>'Task5-1 Pivot Table 1'!$A$4:$A$1000</c:f>
            </c:strRef>
          </c:cat>
          <c:val>
            <c:numRef>
              <c:f>'Task5-1 Pivot Table 1'!$E$4:$E$1000</c:f>
              <c:numCache/>
            </c:numRef>
          </c:val>
        </c:ser>
        <c:ser>
          <c:idx val="4"/>
          <c:order val="4"/>
          <c:tx>
            <c:strRef>
              <c:f>'Task5-1 Pivot Table 1'!$F$1:$F$3</c:f>
            </c:strRef>
          </c:tx>
          <c:spPr>
            <a:solidFill>
              <a:schemeClr val="accent5"/>
            </a:solidFill>
            <a:ln cmpd="sng">
              <a:solidFill>
                <a:srgbClr val="000000"/>
              </a:solidFill>
            </a:ln>
          </c:spPr>
          <c:cat>
            <c:strRef>
              <c:f>'Task5-1 Pivot Table 1'!$A$4:$A$1000</c:f>
            </c:strRef>
          </c:cat>
          <c:val>
            <c:numRef>
              <c:f>'Task5-1 Pivot Table 1'!$F$4:$F$1000</c:f>
              <c:numCache/>
            </c:numRef>
          </c:val>
        </c:ser>
        <c:ser>
          <c:idx val="5"/>
          <c:order val="5"/>
          <c:tx>
            <c:strRef>
              <c:f>'Task5-1 Pivot Table 1'!$G$1:$G$3</c:f>
            </c:strRef>
          </c:tx>
          <c:spPr>
            <a:solidFill>
              <a:schemeClr val="accent6"/>
            </a:solidFill>
            <a:ln cmpd="sng">
              <a:solidFill>
                <a:srgbClr val="000000"/>
              </a:solidFill>
            </a:ln>
          </c:spPr>
          <c:cat>
            <c:strRef>
              <c:f>'Task5-1 Pivot Table 1'!$A$4:$A$1000</c:f>
            </c:strRef>
          </c:cat>
          <c:val>
            <c:numRef>
              <c:f>'Task5-1 Pivot Table 1'!$G$4:$G$1000</c:f>
              <c:numCache/>
            </c:numRef>
          </c:val>
        </c:ser>
        <c:ser>
          <c:idx val="6"/>
          <c:order val="6"/>
          <c:tx>
            <c:strRef>
              <c:f>'Task5-1 Pivot Table 1'!$H$1:$H$3</c:f>
            </c:strRef>
          </c:tx>
          <c:spPr>
            <a:solidFill>
              <a:schemeClr val="accent1">
                <a:lumOff val="30000"/>
              </a:schemeClr>
            </a:solidFill>
            <a:ln cmpd="sng">
              <a:solidFill>
                <a:srgbClr val="000000"/>
              </a:solidFill>
            </a:ln>
          </c:spPr>
          <c:cat>
            <c:strRef>
              <c:f>'Task5-1 Pivot Table 1'!$A$4:$A$1000</c:f>
            </c:strRef>
          </c:cat>
          <c:val>
            <c:numRef>
              <c:f>'Task5-1 Pivot Table 1'!$H$4:$H$1000</c:f>
              <c:numCache/>
            </c:numRef>
          </c:val>
        </c:ser>
        <c:ser>
          <c:idx val="7"/>
          <c:order val="7"/>
          <c:tx>
            <c:strRef>
              <c:f>'Task5-1 Pivot Table 1'!$I$1:$I$3</c:f>
            </c:strRef>
          </c:tx>
          <c:spPr>
            <a:solidFill>
              <a:schemeClr val="accent2">
                <a:lumOff val="30000"/>
              </a:schemeClr>
            </a:solidFill>
            <a:ln cmpd="sng">
              <a:solidFill>
                <a:srgbClr val="000000"/>
              </a:solidFill>
            </a:ln>
          </c:spPr>
          <c:cat>
            <c:strRef>
              <c:f>'Task5-1 Pivot Table 1'!$A$4:$A$1000</c:f>
            </c:strRef>
          </c:cat>
          <c:val>
            <c:numRef>
              <c:f>'Task5-1 Pivot Table 1'!$I$4:$I$1000</c:f>
              <c:numCache/>
            </c:numRef>
          </c:val>
        </c:ser>
        <c:ser>
          <c:idx val="8"/>
          <c:order val="8"/>
          <c:tx>
            <c:strRef>
              <c:f>'Task5-1 Pivot Table 1'!$J$1:$J$3</c:f>
            </c:strRef>
          </c:tx>
          <c:spPr>
            <a:solidFill>
              <a:schemeClr val="accent3">
                <a:lumOff val="30000"/>
              </a:schemeClr>
            </a:solidFill>
            <a:ln cmpd="sng">
              <a:solidFill>
                <a:srgbClr val="000000"/>
              </a:solidFill>
            </a:ln>
          </c:spPr>
          <c:cat>
            <c:strRef>
              <c:f>'Task5-1 Pivot Table 1'!$A$4:$A$1000</c:f>
            </c:strRef>
          </c:cat>
          <c:val>
            <c:numRef>
              <c:f>'Task5-1 Pivot Table 1'!$J$4:$J$1000</c:f>
              <c:numCache/>
            </c:numRef>
          </c:val>
        </c:ser>
        <c:ser>
          <c:idx val="9"/>
          <c:order val="9"/>
          <c:tx>
            <c:strRef>
              <c:f>'Task5-1 Pivot Table 1'!$K$1:$K$3</c:f>
            </c:strRef>
          </c:tx>
          <c:spPr>
            <a:solidFill>
              <a:schemeClr val="accent4">
                <a:lumOff val="30000"/>
              </a:schemeClr>
            </a:solidFill>
            <a:ln cmpd="sng">
              <a:solidFill>
                <a:srgbClr val="000000"/>
              </a:solidFill>
            </a:ln>
          </c:spPr>
          <c:cat>
            <c:strRef>
              <c:f>'Task5-1 Pivot Table 1'!$A$4:$A$1000</c:f>
            </c:strRef>
          </c:cat>
          <c:val>
            <c:numRef>
              <c:f>'Task5-1 Pivot Table 1'!$K$4:$K$1000</c:f>
              <c:numCache/>
            </c:numRef>
          </c:val>
        </c:ser>
        <c:ser>
          <c:idx val="10"/>
          <c:order val="10"/>
          <c:tx>
            <c:strRef>
              <c:f>'Task5-1 Pivot Table 1'!$L$1:$L$3</c:f>
            </c:strRef>
          </c:tx>
          <c:spPr>
            <a:solidFill>
              <a:schemeClr val="accent5">
                <a:lumOff val="30000"/>
              </a:schemeClr>
            </a:solidFill>
            <a:ln cmpd="sng">
              <a:solidFill>
                <a:srgbClr val="000000"/>
              </a:solidFill>
            </a:ln>
          </c:spPr>
          <c:cat>
            <c:strRef>
              <c:f>'Task5-1 Pivot Table 1'!$A$4:$A$1000</c:f>
            </c:strRef>
          </c:cat>
          <c:val>
            <c:numRef>
              <c:f>'Task5-1 Pivot Table 1'!$L$4:$L$1000</c:f>
              <c:numCache/>
            </c:numRef>
          </c:val>
        </c:ser>
        <c:ser>
          <c:idx val="11"/>
          <c:order val="11"/>
          <c:tx>
            <c:strRef>
              <c:f>'Task5-1 Pivot Table 1'!$M$1:$M$3</c:f>
            </c:strRef>
          </c:tx>
          <c:spPr>
            <a:solidFill>
              <a:schemeClr val="accent6">
                <a:lumOff val="30000"/>
              </a:schemeClr>
            </a:solidFill>
            <a:ln cmpd="sng">
              <a:solidFill>
                <a:srgbClr val="000000"/>
              </a:solidFill>
            </a:ln>
          </c:spPr>
          <c:cat>
            <c:strRef>
              <c:f>'Task5-1 Pivot Table 1'!$A$4:$A$1000</c:f>
            </c:strRef>
          </c:cat>
          <c:val>
            <c:numRef>
              <c:f>'Task5-1 Pivot Table 1'!$M$4:$M$1000</c:f>
              <c:numCache/>
            </c:numRef>
          </c:val>
        </c:ser>
        <c:ser>
          <c:idx val="12"/>
          <c:order val="12"/>
          <c:tx>
            <c:strRef>
              <c:f>'Task5-1 Pivot Table 1'!$N$1:$N$3</c:f>
            </c:strRef>
          </c:tx>
          <c:spPr>
            <a:solidFill>
              <a:schemeClr val="accent1">
                <a:lumOff val="60000"/>
              </a:schemeClr>
            </a:solidFill>
            <a:ln cmpd="sng">
              <a:solidFill>
                <a:srgbClr val="000000"/>
              </a:solidFill>
            </a:ln>
          </c:spPr>
          <c:cat>
            <c:strRef>
              <c:f>'Task5-1 Pivot Table 1'!$A$4:$A$1000</c:f>
            </c:strRef>
          </c:cat>
          <c:val>
            <c:numRef>
              <c:f>'Task5-1 Pivot Table 1'!$N$4:$N$1000</c:f>
              <c:numCache/>
            </c:numRef>
          </c:val>
        </c:ser>
        <c:ser>
          <c:idx val="13"/>
          <c:order val="13"/>
          <c:tx>
            <c:strRef>
              <c:f>'Task5-1 Pivot Table 1'!$O$1:$O$3</c:f>
            </c:strRef>
          </c:tx>
          <c:spPr>
            <a:solidFill>
              <a:schemeClr val="accent2">
                <a:lumOff val="60000"/>
              </a:schemeClr>
            </a:solidFill>
            <a:ln cmpd="sng">
              <a:solidFill>
                <a:srgbClr val="000000"/>
              </a:solidFill>
            </a:ln>
          </c:spPr>
          <c:cat>
            <c:strRef>
              <c:f>'Task5-1 Pivot Table 1'!$A$4:$A$1000</c:f>
            </c:strRef>
          </c:cat>
          <c:val>
            <c:numRef>
              <c:f>'Task5-1 Pivot Table 1'!$O$4:$O$1000</c:f>
              <c:numCache/>
            </c:numRef>
          </c:val>
        </c:ser>
        <c:ser>
          <c:idx val="14"/>
          <c:order val="14"/>
          <c:tx>
            <c:strRef>
              <c:f>'Task5-1 Pivot Table 1'!$P$1:$P$3</c:f>
            </c:strRef>
          </c:tx>
          <c:spPr>
            <a:solidFill>
              <a:schemeClr val="accent3">
                <a:lumOff val="60000"/>
              </a:schemeClr>
            </a:solidFill>
            <a:ln cmpd="sng">
              <a:solidFill>
                <a:srgbClr val="000000"/>
              </a:solidFill>
            </a:ln>
          </c:spPr>
          <c:cat>
            <c:strRef>
              <c:f>'Task5-1 Pivot Table 1'!$A$4:$A$1000</c:f>
            </c:strRef>
          </c:cat>
          <c:val>
            <c:numRef>
              <c:f>'Task5-1 Pivot Table 1'!$P$4:$P$1000</c:f>
              <c:numCache/>
            </c:numRef>
          </c:val>
        </c:ser>
        <c:ser>
          <c:idx val="15"/>
          <c:order val="15"/>
          <c:tx>
            <c:strRef>
              <c:f>'Task5-1 Pivot Table 1'!$Q$1:$Q$3</c:f>
            </c:strRef>
          </c:tx>
          <c:spPr>
            <a:solidFill>
              <a:schemeClr val="accent4">
                <a:lumOff val="60000"/>
              </a:schemeClr>
            </a:solidFill>
            <a:ln cmpd="sng">
              <a:solidFill>
                <a:srgbClr val="000000"/>
              </a:solidFill>
            </a:ln>
          </c:spPr>
          <c:cat>
            <c:strRef>
              <c:f>'Task5-1 Pivot Table 1'!$A$4:$A$1000</c:f>
            </c:strRef>
          </c:cat>
          <c:val>
            <c:numRef>
              <c:f>'Task5-1 Pivot Table 1'!$Q$4:$Q$1000</c:f>
              <c:numCache/>
            </c:numRef>
          </c:val>
        </c:ser>
        <c:ser>
          <c:idx val="16"/>
          <c:order val="16"/>
          <c:tx>
            <c:strRef>
              <c:f>'Task5-1 Pivot Table 1'!$R$1:$R$3</c:f>
            </c:strRef>
          </c:tx>
          <c:spPr>
            <a:solidFill>
              <a:schemeClr val="accent5">
                <a:lumOff val="60000"/>
              </a:schemeClr>
            </a:solidFill>
            <a:ln cmpd="sng">
              <a:solidFill>
                <a:srgbClr val="000000"/>
              </a:solidFill>
            </a:ln>
          </c:spPr>
          <c:cat>
            <c:strRef>
              <c:f>'Task5-1 Pivot Table 1'!$A$4:$A$1000</c:f>
            </c:strRef>
          </c:cat>
          <c:val>
            <c:numRef>
              <c:f>'Task5-1 Pivot Table 1'!$R$4:$R$1000</c:f>
              <c:numCache/>
            </c:numRef>
          </c:val>
        </c:ser>
        <c:ser>
          <c:idx val="17"/>
          <c:order val="17"/>
          <c:tx>
            <c:strRef>
              <c:f>'Task5-1 Pivot Table 1'!$S$1:$S$3</c:f>
            </c:strRef>
          </c:tx>
          <c:spPr>
            <a:solidFill>
              <a:schemeClr val="accent6">
                <a:lumOff val="60000"/>
              </a:schemeClr>
            </a:solidFill>
            <a:ln cmpd="sng">
              <a:solidFill>
                <a:srgbClr val="000000"/>
              </a:solidFill>
            </a:ln>
          </c:spPr>
          <c:cat>
            <c:strRef>
              <c:f>'Task5-1 Pivot Table 1'!$A$4:$A$1000</c:f>
            </c:strRef>
          </c:cat>
          <c:val>
            <c:numRef>
              <c:f>'Task5-1 Pivot Table 1'!$S$4:$S$1000</c:f>
              <c:numCache/>
            </c:numRef>
          </c:val>
        </c:ser>
        <c:ser>
          <c:idx val="18"/>
          <c:order val="18"/>
          <c:tx>
            <c:strRef>
              <c:f>'Task5-1 Pivot Table 1'!$T$1:$T$3</c:f>
            </c:strRef>
          </c:tx>
          <c:spPr>
            <a:solidFill>
              <a:schemeClr val="accent1">
                <a:lumOff val="90000"/>
              </a:schemeClr>
            </a:solidFill>
            <a:ln cmpd="sng">
              <a:solidFill>
                <a:srgbClr val="000000"/>
              </a:solidFill>
            </a:ln>
          </c:spPr>
          <c:cat>
            <c:strRef>
              <c:f>'Task5-1 Pivot Table 1'!$A$4:$A$1000</c:f>
            </c:strRef>
          </c:cat>
          <c:val>
            <c:numRef>
              <c:f>'Task5-1 Pivot Table 1'!$T$4:$T$1000</c:f>
              <c:numCache/>
            </c:numRef>
          </c:val>
        </c:ser>
        <c:ser>
          <c:idx val="19"/>
          <c:order val="19"/>
          <c:tx>
            <c:strRef>
              <c:f>'Task5-1 Pivot Table 1'!$U$1:$U$3</c:f>
            </c:strRef>
          </c:tx>
          <c:spPr>
            <a:solidFill>
              <a:schemeClr val="accent2">
                <a:lumOff val="90000"/>
              </a:schemeClr>
            </a:solidFill>
            <a:ln cmpd="sng">
              <a:solidFill>
                <a:srgbClr val="000000"/>
              </a:solidFill>
            </a:ln>
          </c:spPr>
          <c:cat>
            <c:strRef>
              <c:f>'Task5-1 Pivot Table 1'!$A$4:$A$1000</c:f>
            </c:strRef>
          </c:cat>
          <c:val>
            <c:numRef>
              <c:f>'Task5-1 Pivot Table 1'!$U$4:$U$1000</c:f>
              <c:numCache/>
            </c:numRef>
          </c:val>
        </c:ser>
        <c:ser>
          <c:idx val="20"/>
          <c:order val="20"/>
          <c:tx>
            <c:strRef>
              <c:f>'Task5-1 Pivot Table 1'!$V$1:$V$3</c:f>
            </c:strRef>
          </c:tx>
          <c:spPr>
            <a:solidFill>
              <a:schemeClr val="accent3">
                <a:lumOff val="90000"/>
              </a:schemeClr>
            </a:solidFill>
            <a:ln cmpd="sng">
              <a:solidFill>
                <a:srgbClr val="000000"/>
              </a:solidFill>
            </a:ln>
          </c:spPr>
          <c:cat>
            <c:strRef>
              <c:f>'Task5-1 Pivot Table 1'!$A$4:$A$1000</c:f>
            </c:strRef>
          </c:cat>
          <c:val>
            <c:numRef>
              <c:f>'Task5-1 Pivot Table 1'!$V$4:$V$1000</c:f>
              <c:numCache/>
            </c:numRef>
          </c:val>
        </c:ser>
        <c:ser>
          <c:idx val="21"/>
          <c:order val="21"/>
          <c:tx>
            <c:strRef>
              <c:f>'Task5-1 Pivot Table 1'!$W$1:$W$3</c:f>
            </c:strRef>
          </c:tx>
          <c:spPr>
            <a:solidFill>
              <a:schemeClr val="accent4">
                <a:lumOff val="90000"/>
              </a:schemeClr>
            </a:solidFill>
            <a:ln cmpd="sng">
              <a:solidFill>
                <a:srgbClr val="000000"/>
              </a:solidFill>
            </a:ln>
          </c:spPr>
          <c:cat>
            <c:strRef>
              <c:f>'Task5-1 Pivot Table 1'!$A$4:$A$1000</c:f>
            </c:strRef>
          </c:cat>
          <c:val>
            <c:numRef>
              <c:f>'Task5-1 Pivot Table 1'!$W$4:$W$1000</c:f>
              <c:numCache/>
            </c:numRef>
          </c:val>
        </c:ser>
        <c:ser>
          <c:idx val="22"/>
          <c:order val="22"/>
          <c:tx>
            <c:strRef>
              <c:f>'Task5-1 Pivot Table 1'!$X$1:$X$3</c:f>
            </c:strRef>
          </c:tx>
          <c:spPr>
            <a:solidFill>
              <a:schemeClr val="accent5">
                <a:lumOff val="90000"/>
              </a:schemeClr>
            </a:solidFill>
            <a:ln cmpd="sng">
              <a:solidFill>
                <a:srgbClr val="000000"/>
              </a:solidFill>
            </a:ln>
          </c:spPr>
          <c:cat>
            <c:strRef>
              <c:f>'Task5-1 Pivot Table 1'!$A$4:$A$1000</c:f>
            </c:strRef>
          </c:cat>
          <c:val>
            <c:numRef>
              <c:f>'Task5-1 Pivot Table 1'!$X$4:$X$1000</c:f>
              <c:numCache/>
            </c:numRef>
          </c:val>
        </c:ser>
        <c:ser>
          <c:idx val="23"/>
          <c:order val="23"/>
          <c:tx>
            <c:strRef>
              <c:f>'Task5-1 Pivot Table 1'!$Y$1:$Y$3</c:f>
            </c:strRef>
          </c:tx>
          <c:spPr>
            <a:solidFill>
              <a:schemeClr val="accent6">
                <a:lumOff val="90000"/>
              </a:schemeClr>
            </a:solidFill>
            <a:ln cmpd="sng">
              <a:solidFill>
                <a:srgbClr val="000000"/>
              </a:solidFill>
            </a:ln>
          </c:spPr>
          <c:cat>
            <c:strRef>
              <c:f>'Task5-1 Pivot Table 1'!$A$4:$A$1000</c:f>
            </c:strRef>
          </c:cat>
          <c:val>
            <c:numRef>
              <c:f>'Task5-1 Pivot Table 1'!$Y$4:$Y$1000</c:f>
              <c:numCache/>
            </c:numRef>
          </c:val>
        </c:ser>
        <c:ser>
          <c:idx val="24"/>
          <c:order val="24"/>
          <c:tx>
            <c:strRef>
              <c:f>'Task5-1 Pivot Table 1'!$Z$1:$Z$3</c:f>
            </c:strRef>
          </c:tx>
          <c:spPr>
            <a:solidFill>
              <a:schemeClr val="accent1">
                <a:lumOff val="120000"/>
              </a:schemeClr>
            </a:solidFill>
            <a:ln cmpd="sng">
              <a:solidFill>
                <a:srgbClr val="000000"/>
              </a:solidFill>
            </a:ln>
          </c:spPr>
          <c:cat>
            <c:strRef>
              <c:f>'Task5-1 Pivot Table 1'!$A$4:$A$1000</c:f>
            </c:strRef>
          </c:cat>
          <c:val>
            <c:numRef>
              <c:f>'Task5-1 Pivot Table 1'!$Z$4:$Z$1000</c:f>
              <c:numCache/>
            </c:numRef>
          </c:val>
        </c:ser>
        <c:axId val="1419308091"/>
        <c:axId val="383414326"/>
      </c:barChart>
      <c:catAx>
        <c:axId val="1419308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3414326"/>
      </c:catAx>
      <c:valAx>
        <c:axId val="383414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9308091"/>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'Task5-1 Pivot Table 1'!$B$1:$B$3</c:f>
            </c:strRef>
          </c:tx>
          <c:spPr>
            <a:solidFill>
              <a:schemeClr val="accent1"/>
            </a:solidFill>
            <a:ln cmpd="sng">
              <a:solidFill>
                <a:srgbClr val="000000"/>
              </a:solidFill>
            </a:ln>
          </c:spPr>
          <c:cat>
            <c:strRef>
              <c:f>'Task5-1 Pivot Table 1'!$A$4:$A$1000</c:f>
            </c:strRef>
          </c:cat>
          <c:val>
            <c:numRef>
              <c:f>'Task5-1 Pivot Table 1'!$B$4:$B$1000</c:f>
              <c:numCache/>
            </c:numRef>
          </c:val>
        </c:ser>
        <c:ser>
          <c:idx val="1"/>
          <c:order val="1"/>
          <c:tx>
            <c:strRef>
              <c:f>'Task5-1 Pivot Table 1'!$C$1:$C$3</c:f>
            </c:strRef>
          </c:tx>
          <c:spPr>
            <a:solidFill>
              <a:schemeClr val="accent2"/>
            </a:solidFill>
            <a:ln cmpd="sng">
              <a:solidFill>
                <a:srgbClr val="000000"/>
              </a:solidFill>
            </a:ln>
          </c:spPr>
          <c:cat>
            <c:strRef>
              <c:f>'Task5-1 Pivot Table 1'!$A$4:$A$1000</c:f>
            </c:strRef>
          </c:cat>
          <c:val>
            <c:numRef>
              <c:f>'Task5-1 Pivot Table 1'!$C$4:$C$1000</c:f>
              <c:numCache/>
            </c:numRef>
          </c:val>
        </c:ser>
        <c:ser>
          <c:idx val="2"/>
          <c:order val="2"/>
          <c:tx>
            <c:strRef>
              <c:f>'Task5-1 Pivot Table 1'!$D$1:$D$3</c:f>
            </c:strRef>
          </c:tx>
          <c:spPr>
            <a:solidFill>
              <a:schemeClr val="accent3"/>
            </a:solidFill>
            <a:ln cmpd="sng">
              <a:solidFill>
                <a:srgbClr val="000000"/>
              </a:solidFill>
            </a:ln>
          </c:spPr>
          <c:cat>
            <c:strRef>
              <c:f>'Task5-1 Pivot Table 1'!$A$4:$A$1000</c:f>
            </c:strRef>
          </c:cat>
          <c:val>
            <c:numRef>
              <c:f>'Task5-1 Pivot Table 1'!$D$4:$D$1000</c:f>
              <c:numCache/>
            </c:numRef>
          </c:val>
        </c:ser>
        <c:ser>
          <c:idx val="3"/>
          <c:order val="3"/>
          <c:tx>
            <c:strRef>
              <c:f>'Task5-1 Pivot Table 1'!$E$1:$E$3</c:f>
            </c:strRef>
          </c:tx>
          <c:spPr>
            <a:solidFill>
              <a:schemeClr val="accent4"/>
            </a:solidFill>
            <a:ln cmpd="sng">
              <a:solidFill>
                <a:srgbClr val="000000"/>
              </a:solidFill>
            </a:ln>
          </c:spPr>
          <c:cat>
            <c:strRef>
              <c:f>'Task5-1 Pivot Table 1'!$A$4:$A$1000</c:f>
            </c:strRef>
          </c:cat>
          <c:val>
            <c:numRef>
              <c:f>'Task5-1 Pivot Table 1'!$E$4:$E$1000</c:f>
              <c:numCache/>
            </c:numRef>
          </c:val>
        </c:ser>
        <c:ser>
          <c:idx val="4"/>
          <c:order val="4"/>
          <c:tx>
            <c:strRef>
              <c:f>'Task5-1 Pivot Table 1'!$F$1:$F$3</c:f>
            </c:strRef>
          </c:tx>
          <c:spPr>
            <a:solidFill>
              <a:schemeClr val="accent5"/>
            </a:solidFill>
            <a:ln cmpd="sng">
              <a:solidFill>
                <a:srgbClr val="000000"/>
              </a:solidFill>
            </a:ln>
          </c:spPr>
          <c:cat>
            <c:strRef>
              <c:f>'Task5-1 Pivot Table 1'!$A$4:$A$1000</c:f>
            </c:strRef>
          </c:cat>
          <c:val>
            <c:numRef>
              <c:f>'Task5-1 Pivot Table 1'!$F$4:$F$1000</c:f>
              <c:numCache/>
            </c:numRef>
          </c:val>
        </c:ser>
        <c:ser>
          <c:idx val="5"/>
          <c:order val="5"/>
          <c:tx>
            <c:strRef>
              <c:f>'Task5-1 Pivot Table 1'!$G$1:$G$3</c:f>
            </c:strRef>
          </c:tx>
          <c:spPr>
            <a:solidFill>
              <a:schemeClr val="accent6"/>
            </a:solidFill>
            <a:ln cmpd="sng">
              <a:solidFill>
                <a:srgbClr val="000000"/>
              </a:solidFill>
            </a:ln>
          </c:spPr>
          <c:cat>
            <c:strRef>
              <c:f>'Task5-1 Pivot Table 1'!$A$4:$A$1000</c:f>
            </c:strRef>
          </c:cat>
          <c:val>
            <c:numRef>
              <c:f>'Task5-1 Pivot Table 1'!$G$4:$G$1000</c:f>
              <c:numCache/>
            </c:numRef>
          </c:val>
        </c:ser>
        <c:ser>
          <c:idx val="6"/>
          <c:order val="6"/>
          <c:tx>
            <c:strRef>
              <c:f>'Task5-1 Pivot Table 1'!$H$1:$H$3</c:f>
            </c:strRef>
          </c:tx>
          <c:spPr>
            <a:solidFill>
              <a:schemeClr val="accent1">
                <a:lumOff val="30000"/>
              </a:schemeClr>
            </a:solidFill>
            <a:ln cmpd="sng">
              <a:solidFill>
                <a:srgbClr val="000000"/>
              </a:solidFill>
            </a:ln>
          </c:spPr>
          <c:cat>
            <c:strRef>
              <c:f>'Task5-1 Pivot Table 1'!$A$4:$A$1000</c:f>
            </c:strRef>
          </c:cat>
          <c:val>
            <c:numRef>
              <c:f>'Task5-1 Pivot Table 1'!$H$4:$H$1000</c:f>
              <c:numCache/>
            </c:numRef>
          </c:val>
        </c:ser>
        <c:ser>
          <c:idx val="7"/>
          <c:order val="7"/>
          <c:tx>
            <c:strRef>
              <c:f>'Task5-1 Pivot Table 1'!$I$1:$I$3</c:f>
            </c:strRef>
          </c:tx>
          <c:spPr>
            <a:solidFill>
              <a:schemeClr val="accent2">
                <a:lumOff val="30000"/>
              </a:schemeClr>
            </a:solidFill>
            <a:ln cmpd="sng">
              <a:solidFill>
                <a:srgbClr val="000000"/>
              </a:solidFill>
            </a:ln>
          </c:spPr>
          <c:cat>
            <c:strRef>
              <c:f>'Task5-1 Pivot Table 1'!$A$4:$A$1000</c:f>
            </c:strRef>
          </c:cat>
          <c:val>
            <c:numRef>
              <c:f>'Task5-1 Pivot Table 1'!$I$4:$I$1000</c:f>
              <c:numCache/>
            </c:numRef>
          </c:val>
        </c:ser>
        <c:ser>
          <c:idx val="8"/>
          <c:order val="8"/>
          <c:tx>
            <c:strRef>
              <c:f>'Task5-1 Pivot Table 1'!$J$1:$J$3</c:f>
            </c:strRef>
          </c:tx>
          <c:spPr>
            <a:solidFill>
              <a:schemeClr val="accent3">
                <a:lumOff val="30000"/>
              </a:schemeClr>
            </a:solidFill>
            <a:ln cmpd="sng">
              <a:solidFill>
                <a:srgbClr val="000000"/>
              </a:solidFill>
            </a:ln>
          </c:spPr>
          <c:cat>
            <c:strRef>
              <c:f>'Task5-1 Pivot Table 1'!$A$4:$A$1000</c:f>
            </c:strRef>
          </c:cat>
          <c:val>
            <c:numRef>
              <c:f>'Task5-1 Pivot Table 1'!$J$4:$J$1000</c:f>
              <c:numCache/>
            </c:numRef>
          </c:val>
        </c:ser>
        <c:ser>
          <c:idx val="9"/>
          <c:order val="9"/>
          <c:tx>
            <c:strRef>
              <c:f>'Task5-1 Pivot Table 1'!$K$1:$K$3</c:f>
            </c:strRef>
          </c:tx>
          <c:spPr>
            <a:solidFill>
              <a:schemeClr val="accent4">
                <a:lumOff val="30000"/>
              </a:schemeClr>
            </a:solidFill>
            <a:ln cmpd="sng">
              <a:solidFill>
                <a:srgbClr val="000000"/>
              </a:solidFill>
            </a:ln>
          </c:spPr>
          <c:cat>
            <c:strRef>
              <c:f>'Task5-1 Pivot Table 1'!$A$4:$A$1000</c:f>
            </c:strRef>
          </c:cat>
          <c:val>
            <c:numRef>
              <c:f>'Task5-1 Pivot Table 1'!$K$4:$K$1000</c:f>
              <c:numCache/>
            </c:numRef>
          </c:val>
        </c:ser>
        <c:ser>
          <c:idx val="10"/>
          <c:order val="10"/>
          <c:tx>
            <c:strRef>
              <c:f>'Task5-1 Pivot Table 1'!$L$1:$L$3</c:f>
            </c:strRef>
          </c:tx>
          <c:spPr>
            <a:solidFill>
              <a:schemeClr val="accent5">
                <a:lumOff val="30000"/>
              </a:schemeClr>
            </a:solidFill>
            <a:ln cmpd="sng">
              <a:solidFill>
                <a:srgbClr val="000000"/>
              </a:solidFill>
            </a:ln>
          </c:spPr>
          <c:cat>
            <c:strRef>
              <c:f>'Task5-1 Pivot Table 1'!$A$4:$A$1000</c:f>
            </c:strRef>
          </c:cat>
          <c:val>
            <c:numRef>
              <c:f>'Task5-1 Pivot Table 1'!$L$4:$L$1000</c:f>
              <c:numCache/>
            </c:numRef>
          </c:val>
        </c:ser>
        <c:ser>
          <c:idx val="11"/>
          <c:order val="11"/>
          <c:tx>
            <c:strRef>
              <c:f>'Task5-1 Pivot Table 1'!$M$1:$M$3</c:f>
            </c:strRef>
          </c:tx>
          <c:spPr>
            <a:solidFill>
              <a:schemeClr val="accent6">
                <a:lumOff val="30000"/>
              </a:schemeClr>
            </a:solidFill>
            <a:ln cmpd="sng">
              <a:solidFill>
                <a:srgbClr val="000000"/>
              </a:solidFill>
            </a:ln>
          </c:spPr>
          <c:cat>
            <c:strRef>
              <c:f>'Task5-1 Pivot Table 1'!$A$4:$A$1000</c:f>
            </c:strRef>
          </c:cat>
          <c:val>
            <c:numRef>
              <c:f>'Task5-1 Pivot Table 1'!$M$4:$M$1000</c:f>
              <c:numCache/>
            </c:numRef>
          </c:val>
        </c:ser>
        <c:ser>
          <c:idx val="12"/>
          <c:order val="12"/>
          <c:tx>
            <c:strRef>
              <c:f>'Task5-1 Pivot Table 1'!$N$1:$N$3</c:f>
            </c:strRef>
          </c:tx>
          <c:spPr>
            <a:solidFill>
              <a:schemeClr val="accent1">
                <a:lumOff val="60000"/>
              </a:schemeClr>
            </a:solidFill>
            <a:ln cmpd="sng">
              <a:solidFill>
                <a:srgbClr val="000000"/>
              </a:solidFill>
            </a:ln>
          </c:spPr>
          <c:cat>
            <c:strRef>
              <c:f>'Task5-1 Pivot Table 1'!$A$4:$A$1000</c:f>
            </c:strRef>
          </c:cat>
          <c:val>
            <c:numRef>
              <c:f>'Task5-1 Pivot Table 1'!$N$4:$N$1000</c:f>
              <c:numCache/>
            </c:numRef>
          </c:val>
        </c:ser>
        <c:ser>
          <c:idx val="13"/>
          <c:order val="13"/>
          <c:tx>
            <c:strRef>
              <c:f>'Task5-1 Pivot Table 1'!$O$1:$O$3</c:f>
            </c:strRef>
          </c:tx>
          <c:spPr>
            <a:solidFill>
              <a:schemeClr val="accent2">
                <a:lumOff val="60000"/>
              </a:schemeClr>
            </a:solidFill>
            <a:ln cmpd="sng">
              <a:solidFill>
                <a:srgbClr val="000000"/>
              </a:solidFill>
            </a:ln>
          </c:spPr>
          <c:cat>
            <c:strRef>
              <c:f>'Task5-1 Pivot Table 1'!$A$4:$A$1000</c:f>
            </c:strRef>
          </c:cat>
          <c:val>
            <c:numRef>
              <c:f>'Task5-1 Pivot Table 1'!$O$4:$O$1000</c:f>
              <c:numCache/>
            </c:numRef>
          </c:val>
        </c:ser>
        <c:ser>
          <c:idx val="14"/>
          <c:order val="14"/>
          <c:tx>
            <c:strRef>
              <c:f>'Task5-1 Pivot Table 1'!$P$1:$P$3</c:f>
            </c:strRef>
          </c:tx>
          <c:spPr>
            <a:solidFill>
              <a:schemeClr val="accent3">
                <a:lumOff val="60000"/>
              </a:schemeClr>
            </a:solidFill>
            <a:ln cmpd="sng">
              <a:solidFill>
                <a:srgbClr val="000000"/>
              </a:solidFill>
            </a:ln>
          </c:spPr>
          <c:cat>
            <c:strRef>
              <c:f>'Task5-1 Pivot Table 1'!$A$4:$A$1000</c:f>
            </c:strRef>
          </c:cat>
          <c:val>
            <c:numRef>
              <c:f>'Task5-1 Pivot Table 1'!$P$4:$P$1000</c:f>
              <c:numCache/>
            </c:numRef>
          </c:val>
        </c:ser>
        <c:ser>
          <c:idx val="15"/>
          <c:order val="15"/>
          <c:tx>
            <c:strRef>
              <c:f>'Task5-1 Pivot Table 1'!$Q$1:$Q$3</c:f>
            </c:strRef>
          </c:tx>
          <c:spPr>
            <a:solidFill>
              <a:schemeClr val="accent4">
                <a:lumOff val="60000"/>
              </a:schemeClr>
            </a:solidFill>
            <a:ln cmpd="sng">
              <a:solidFill>
                <a:srgbClr val="000000"/>
              </a:solidFill>
            </a:ln>
          </c:spPr>
          <c:cat>
            <c:strRef>
              <c:f>'Task5-1 Pivot Table 1'!$A$4:$A$1000</c:f>
            </c:strRef>
          </c:cat>
          <c:val>
            <c:numRef>
              <c:f>'Task5-1 Pivot Table 1'!$Q$4:$Q$1000</c:f>
              <c:numCache/>
            </c:numRef>
          </c:val>
        </c:ser>
        <c:ser>
          <c:idx val="16"/>
          <c:order val="16"/>
          <c:tx>
            <c:strRef>
              <c:f>'Task5-1 Pivot Table 1'!$R$1:$R$3</c:f>
            </c:strRef>
          </c:tx>
          <c:spPr>
            <a:solidFill>
              <a:schemeClr val="accent5">
                <a:lumOff val="60000"/>
              </a:schemeClr>
            </a:solidFill>
            <a:ln cmpd="sng">
              <a:solidFill>
                <a:srgbClr val="000000"/>
              </a:solidFill>
            </a:ln>
          </c:spPr>
          <c:cat>
            <c:strRef>
              <c:f>'Task5-1 Pivot Table 1'!$A$4:$A$1000</c:f>
            </c:strRef>
          </c:cat>
          <c:val>
            <c:numRef>
              <c:f>'Task5-1 Pivot Table 1'!$R$4:$R$1000</c:f>
              <c:numCache/>
            </c:numRef>
          </c:val>
        </c:ser>
        <c:ser>
          <c:idx val="17"/>
          <c:order val="17"/>
          <c:tx>
            <c:strRef>
              <c:f>'Task5-1 Pivot Table 1'!$S$1:$S$3</c:f>
            </c:strRef>
          </c:tx>
          <c:spPr>
            <a:solidFill>
              <a:schemeClr val="accent6">
                <a:lumOff val="60000"/>
              </a:schemeClr>
            </a:solidFill>
            <a:ln cmpd="sng">
              <a:solidFill>
                <a:srgbClr val="000000"/>
              </a:solidFill>
            </a:ln>
          </c:spPr>
          <c:cat>
            <c:strRef>
              <c:f>'Task5-1 Pivot Table 1'!$A$4:$A$1000</c:f>
            </c:strRef>
          </c:cat>
          <c:val>
            <c:numRef>
              <c:f>'Task5-1 Pivot Table 1'!$S$4:$S$1000</c:f>
              <c:numCache/>
            </c:numRef>
          </c:val>
        </c:ser>
        <c:ser>
          <c:idx val="18"/>
          <c:order val="18"/>
          <c:tx>
            <c:strRef>
              <c:f>'Task5-1 Pivot Table 1'!$T$1:$T$3</c:f>
            </c:strRef>
          </c:tx>
          <c:spPr>
            <a:solidFill>
              <a:schemeClr val="accent1">
                <a:lumOff val="90000"/>
              </a:schemeClr>
            </a:solidFill>
            <a:ln cmpd="sng">
              <a:solidFill>
                <a:srgbClr val="000000"/>
              </a:solidFill>
            </a:ln>
          </c:spPr>
          <c:cat>
            <c:strRef>
              <c:f>'Task5-1 Pivot Table 1'!$A$4:$A$1000</c:f>
            </c:strRef>
          </c:cat>
          <c:val>
            <c:numRef>
              <c:f>'Task5-1 Pivot Table 1'!$T$4:$T$1000</c:f>
              <c:numCache/>
            </c:numRef>
          </c:val>
        </c:ser>
        <c:ser>
          <c:idx val="19"/>
          <c:order val="19"/>
          <c:tx>
            <c:strRef>
              <c:f>'Task5-1 Pivot Table 1'!$U$1:$U$3</c:f>
            </c:strRef>
          </c:tx>
          <c:spPr>
            <a:solidFill>
              <a:schemeClr val="accent2">
                <a:lumOff val="90000"/>
              </a:schemeClr>
            </a:solidFill>
            <a:ln cmpd="sng">
              <a:solidFill>
                <a:srgbClr val="000000"/>
              </a:solidFill>
            </a:ln>
          </c:spPr>
          <c:cat>
            <c:strRef>
              <c:f>'Task5-1 Pivot Table 1'!$A$4:$A$1000</c:f>
            </c:strRef>
          </c:cat>
          <c:val>
            <c:numRef>
              <c:f>'Task5-1 Pivot Table 1'!$U$4:$U$1000</c:f>
              <c:numCache/>
            </c:numRef>
          </c:val>
        </c:ser>
        <c:ser>
          <c:idx val="20"/>
          <c:order val="20"/>
          <c:tx>
            <c:strRef>
              <c:f>'Task5-1 Pivot Table 1'!$V$1:$V$3</c:f>
            </c:strRef>
          </c:tx>
          <c:spPr>
            <a:solidFill>
              <a:schemeClr val="accent3">
                <a:lumOff val="90000"/>
              </a:schemeClr>
            </a:solidFill>
            <a:ln cmpd="sng">
              <a:solidFill>
                <a:srgbClr val="000000"/>
              </a:solidFill>
            </a:ln>
          </c:spPr>
          <c:cat>
            <c:strRef>
              <c:f>'Task5-1 Pivot Table 1'!$A$4:$A$1000</c:f>
            </c:strRef>
          </c:cat>
          <c:val>
            <c:numRef>
              <c:f>'Task5-1 Pivot Table 1'!$V$4:$V$1000</c:f>
              <c:numCache/>
            </c:numRef>
          </c:val>
        </c:ser>
        <c:ser>
          <c:idx val="21"/>
          <c:order val="21"/>
          <c:tx>
            <c:strRef>
              <c:f>'Task5-1 Pivot Table 1'!$W$1:$W$3</c:f>
            </c:strRef>
          </c:tx>
          <c:spPr>
            <a:solidFill>
              <a:schemeClr val="accent4">
                <a:lumOff val="90000"/>
              </a:schemeClr>
            </a:solidFill>
            <a:ln cmpd="sng">
              <a:solidFill>
                <a:srgbClr val="000000"/>
              </a:solidFill>
            </a:ln>
          </c:spPr>
          <c:cat>
            <c:strRef>
              <c:f>'Task5-1 Pivot Table 1'!$A$4:$A$1000</c:f>
            </c:strRef>
          </c:cat>
          <c:val>
            <c:numRef>
              <c:f>'Task5-1 Pivot Table 1'!$W$4:$W$1000</c:f>
              <c:numCache/>
            </c:numRef>
          </c:val>
        </c:ser>
        <c:ser>
          <c:idx val="22"/>
          <c:order val="22"/>
          <c:tx>
            <c:strRef>
              <c:f>'Task5-1 Pivot Table 1'!$X$1:$X$3</c:f>
            </c:strRef>
          </c:tx>
          <c:spPr>
            <a:solidFill>
              <a:schemeClr val="accent5">
                <a:lumOff val="90000"/>
              </a:schemeClr>
            </a:solidFill>
            <a:ln cmpd="sng">
              <a:solidFill>
                <a:srgbClr val="000000"/>
              </a:solidFill>
            </a:ln>
          </c:spPr>
          <c:cat>
            <c:strRef>
              <c:f>'Task5-1 Pivot Table 1'!$A$4:$A$1000</c:f>
            </c:strRef>
          </c:cat>
          <c:val>
            <c:numRef>
              <c:f>'Task5-1 Pivot Table 1'!$X$4:$X$1000</c:f>
              <c:numCache/>
            </c:numRef>
          </c:val>
        </c:ser>
        <c:ser>
          <c:idx val="23"/>
          <c:order val="23"/>
          <c:tx>
            <c:strRef>
              <c:f>'Task5-1 Pivot Table 1'!$Y$1:$Y$3</c:f>
            </c:strRef>
          </c:tx>
          <c:spPr>
            <a:solidFill>
              <a:schemeClr val="accent6">
                <a:lumOff val="90000"/>
              </a:schemeClr>
            </a:solidFill>
            <a:ln cmpd="sng">
              <a:solidFill>
                <a:srgbClr val="000000"/>
              </a:solidFill>
            </a:ln>
          </c:spPr>
          <c:cat>
            <c:strRef>
              <c:f>'Task5-1 Pivot Table 1'!$A$4:$A$1000</c:f>
            </c:strRef>
          </c:cat>
          <c:val>
            <c:numRef>
              <c:f>'Task5-1 Pivot Table 1'!$Y$4:$Y$1000</c:f>
              <c:numCache/>
            </c:numRef>
          </c:val>
        </c:ser>
        <c:ser>
          <c:idx val="24"/>
          <c:order val="24"/>
          <c:tx>
            <c:strRef>
              <c:f>'Task5-1 Pivot Table 1'!$Z$1:$Z$3</c:f>
            </c:strRef>
          </c:tx>
          <c:spPr>
            <a:solidFill>
              <a:schemeClr val="accent1">
                <a:lumOff val="120000"/>
              </a:schemeClr>
            </a:solidFill>
            <a:ln cmpd="sng">
              <a:solidFill>
                <a:srgbClr val="000000"/>
              </a:solidFill>
            </a:ln>
          </c:spPr>
          <c:cat>
            <c:strRef>
              <c:f>'Task5-1 Pivot Table 1'!$A$4:$A$1000</c:f>
            </c:strRef>
          </c:cat>
          <c:val>
            <c:numRef>
              <c:f>'Task5-1 Pivot Table 1'!$Z$4:$Z$1000</c:f>
              <c:numCache/>
            </c:numRef>
          </c:val>
        </c:ser>
        <c:overlap val="100"/>
        <c:axId val="1946960537"/>
        <c:axId val="266351656"/>
      </c:barChart>
      <c:catAx>
        <c:axId val="19469605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6351656"/>
      </c:catAx>
      <c:valAx>
        <c:axId val="266351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696053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'Task5-1 Pivot Table 1'!$B$1:$B$3</c:f>
            </c:strRef>
          </c:tx>
          <c:spPr>
            <a:solidFill>
              <a:srgbClr val="4285F4">
                <a:alpha val="30000"/>
              </a:srgbClr>
            </a:solidFill>
            <a:ln cmpd="sng">
              <a:solidFill>
                <a:srgbClr val="4285F4"/>
              </a:solidFill>
            </a:ln>
          </c:spPr>
          <c:cat>
            <c:strRef>
              <c:f>'Task5-1 Pivot Table 1'!$A$4:$A$1000</c:f>
            </c:strRef>
          </c:cat>
          <c:val>
            <c:numRef>
              <c:f>'Task5-1 Pivot Table 1'!$B$4:$B$1000</c:f>
              <c:numCache/>
            </c:numRef>
          </c:val>
        </c:ser>
        <c:ser>
          <c:idx val="1"/>
          <c:order val="1"/>
          <c:tx>
            <c:strRef>
              <c:f>'Task5-1 Pivot Table 1'!$C$1:$C$3</c:f>
            </c:strRef>
          </c:tx>
          <c:spPr>
            <a:solidFill>
              <a:srgbClr val="EA4335">
                <a:alpha val="30000"/>
              </a:srgbClr>
            </a:solidFill>
            <a:ln cmpd="sng">
              <a:solidFill>
                <a:srgbClr val="EA4335"/>
              </a:solidFill>
            </a:ln>
          </c:spPr>
          <c:cat>
            <c:strRef>
              <c:f>'Task5-1 Pivot Table 1'!$A$4:$A$1000</c:f>
            </c:strRef>
          </c:cat>
          <c:val>
            <c:numRef>
              <c:f>'Task5-1 Pivot Table 1'!$C$4:$C$1000</c:f>
              <c:numCache/>
            </c:numRef>
          </c:val>
        </c:ser>
        <c:ser>
          <c:idx val="2"/>
          <c:order val="2"/>
          <c:tx>
            <c:strRef>
              <c:f>'Task5-1 Pivot Table 1'!$D$1:$D$3</c:f>
            </c:strRef>
          </c:tx>
          <c:spPr>
            <a:solidFill>
              <a:srgbClr val="FBBC04">
                <a:alpha val="30000"/>
              </a:srgbClr>
            </a:solidFill>
            <a:ln cmpd="sng">
              <a:solidFill>
                <a:srgbClr val="FBBC04"/>
              </a:solidFill>
            </a:ln>
          </c:spPr>
          <c:cat>
            <c:strRef>
              <c:f>'Task5-1 Pivot Table 1'!$A$4:$A$1000</c:f>
            </c:strRef>
          </c:cat>
          <c:val>
            <c:numRef>
              <c:f>'Task5-1 Pivot Table 1'!$D$4:$D$1000</c:f>
              <c:numCache/>
            </c:numRef>
          </c:val>
        </c:ser>
        <c:ser>
          <c:idx val="3"/>
          <c:order val="3"/>
          <c:tx>
            <c:strRef>
              <c:f>'Task5-1 Pivot Table 1'!$E$1:$E$3</c:f>
            </c:strRef>
          </c:tx>
          <c:spPr>
            <a:solidFill>
              <a:srgbClr val="34A853">
                <a:alpha val="30000"/>
              </a:srgbClr>
            </a:solidFill>
            <a:ln cmpd="sng">
              <a:solidFill>
                <a:srgbClr val="34A853"/>
              </a:solidFill>
            </a:ln>
          </c:spPr>
          <c:cat>
            <c:strRef>
              <c:f>'Task5-1 Pivot Table 1'!$A$4:$A$1000</c:f>
            </c:strRef>
          </c:cat>
          <c:val>
            <c:numRef>
              <c:f>'Task5-1 Pivot Table 1'!$E$4:$E$1000</c:f>
              <c:numCache/>
            </c:numRef>
          </c:val>
        </c:ser>
        <c:ser>
          <c:idx val="4"/>
          <c:order val="4"/>
          <c:tx>
            <c:strRef>
              <c:f>'Task5-1 Pivot Table 1'!$F$1:$F$3</c:f>
            </c:strRef>
          </c:tx>
          <c:spPr>
            <a:solidFill>
              <a:srgbClr val="FF6D01">
                <a:alpha val="30000"/>
              </a:srgbClr>
            </a:solidFill>
            <a:ln cmpd="sng">
              <a:solidFill>
                <a:srgbClr val="FF6D01"/>
              </a:solidFill>
            </a:ln>
          </c:spPr>
          <c:cat>
            <c:strRef>
              <c:f>'Task5-1 Pivot Table 1'!$A$4:$A$1000</c:f>
            </c:strRef>
          </c:cat>
          <c:val>
            <c:numRef>
              <c:f>'Task5-1 Pivot Table 1'!$F$4:$F$1000</c:f>
              <c:numCache/>
            </c:numRef>
          </c:val>
        </c:ser>
        <c:ser>
          <c:idx val="5"/>
          <c:order val="5"/>
          <c:tx>
            <c:strRef>
              <c:f>'Task5-1 Pivot Table 1'!$G$1:$G$3</c:f>
            </c:strRef>
          </c:tx>
          <c:spPr>
            <a:solidFill>
              <a:srgbClr val="46BDC6">
                <a:alpha val="30000"/>
              </a:srgbClr>
            </a:solidFill>
            <a:ln cmpd="sng">
              <a:solidFill>
                <a:srgbClr val="46BDC6"/>
              </a:solidFill>
            </a:ln>
          </c:spPr>
          <c:cat>
            <c:strRef>
              <c:f>'Task5-1 Pivot Table 1'!$A$4:$A$1000</c:f>
            </c:strRef>
          </c:cat>
          <c:val>
            <c:numRef>
              <c:f>'Task5-1 Pivot Table 1'!$G$4:$G$1000</c:f>
              <c:numCache/>
            </c:numRef>
          </c:val>
        </c:ser>
        <c:ser>
          <c:idx val="6"/>
          <c:order val="6"/>
          <c:tx>
            <c:strRef>
              <c:f>'Task5-1 Pivot Table 1'!$H$1:$H$3</c:f>
            </c:strRef>
          </c:tx>
          <c:spPr>
            <a:solidFill>
              <a:srgbClr val="7BAAF7">
                <a:alpha val="30000"/>
              </a:srgbClr>
            </a:solidFill>
            <a:ln cmpd="sng">
              <a:solidFill>
                <a:srgbClr val="7BAAF7"/>
              </a:solidFill>
            </a:ln>
          </c:spPr>
          <c:cat>
            <c:strRef>
              <c:f>'Task5-1 Pivot Table 1'!$A$4:$A$1000</c:f>
            </c:strRef>
          </c:cat>
          <c:val>
            <c:numRef>
              <c:f>'Task5-1 Pivot Table 1'!$H$4:$H$1000</c:f>
              <c:numCache/>
            </c:numRef>
          </c:val>
        </c:ser>
        <c:ser>
          <c:idx val="7"/>
          <c:order val="7"/>
          <c:tx>
            <c:strRef>
              <c:f>'Task5-1 Pivot Table 1'!$I$1:$I$3</c:f>
            </c:strRef>
          </c:tx>
          <c:spPr>
            <a:solidFill>
              <a:srgbClr val="F07B72">
                <a:alpha val="30000"/>
              </a:srgbClr>
            </a:solidFill>
            <a:ln cmpd="sng">
              <a:solidFill>
                <a:srgbClr val="F07B72"/>
              </a:solidFill>
            </a:ln>
          </c:spPr>
          <c:cat>
            <c:strRef>
              <c:f>'Task5-1 Pivot Table 1'!$A$4:$A$1000</c:f>
            </c:strRef>
          </c:cat>
          <c:val>
            <c:numRef>
              <c:f>'Task5-1 Pivot Table 1'!$I$4:$I$1000</c:f>
              <c:numCache/>
            </c:numRef>
          </c:val>
        </c:ser>
        <c:ser>
          <c:idx val="8"/>
          <c:order val="8"/>
          <c:tx>
            <c:strRef>
              <c:f>'Task5-1 Pivot Table 1'!$J$1:$J$3</c:f>
            </c:strRef>
          </c:tx>
          <c:spPr>
            <a:solidFill>
              <a:srgbClr val="FCD04F">
                <a:alpha val="30000"/>
              </a:srgbClr>
            </a:solidFill>
            <a:ln cmpd="sng">
              <a:solidFill>
                <a:srgbClr val="FCD04F"/>
              </a:solidFill>
            </a:ln>
          </c:spPr>
          <c:cat>
            <c:strRef>
              <c:f>'Task5-1 Pivot Table 1'!$A$4:$A$1000</c:f>
            </c:strRef>
          </c:cat>
          <c:val>
            <c:numRef>
              <c:f>'Task5-1 Pivot Table 1'!$J$4:$J$1000</c:f>
              <c:numCache/>
            </c:numRef>
          </c:val>
        </c:ser>
        <c:ser>
          <c:idx val="9"/>
          <c:order val="9"/>
          <c:tx>
            <c:strRef>
              <c:f>'Task5-1 Pivot Table 1'!$K$1:$K$3</c:f>
            </c:strRef>
          </c:tx>
          <c:spPr>
            <a:solidFill>
              <a:srgbClr val="71C287">
                <a:alpha val="30000"/>
              </a:srgbClr>
            </a:solidFill>
            <a:ln cmpd="sng">
              <a:solidFill>
                <a:srgbClr val="71C287"/>
              </a:solidFill>
            </a:ln>
          </c:spPr>
          <c:cat>
            <c:strRef>
              <c:f>'Task5-1 Pivot Table 1'!$A$4:$A$1000</c:f>
            </c:strRef>
          </c:cat>
          <c:val>
            <c:numRef>
              <c:f>'Task5-1 Pivot Table 1'!$K$4:$K$1000</c:f>
              <c:numCache/>
            </c:numRef>
          </c:val>
        </c:ser>
        <c:ser>
          <c:idx val="10"/>
          <c:order val="10"/>
          <c:tx>
            <c:strRef>
              <c:f>'Task5-1 Pivot Table 1'!$L$1:$L$3</c:f>
            </c:strRef>
          </c:tx>
          <c:spPr>
            <a:solidFill>
              <a:srgbClr val="FF994D">
                <a:alpha val="30000"/>
              </a:srgbClr>
            </a:solidFill>
            <a:ln cmpd="sng">
              <a:solidFill>
                <a:srgbClr val="FF994D"/>
              </a:solidFill>
            </a:ln>
          </c:spPr>
          <c:cat>
            <c:strRef>
              <c:f>'Task5-1 Pivot Table 1'!$A$4:$A$1000</c:f>
            </c:strRef>
          </c:cat>
          <c:val>
            <c:numRef>
              <c:f>'Task5-1 Pivot Table 1'!$L$4:$L$1000</c:f>
              <c:numCache/>
            </c:numRef>
          </c:val>
        </c:ser>
        <c:ser>
          <c:idx val="11"/>
          <c:order val="11"/>
          <c:tx>
            <c:strRef>
              <c:f>'Task5-1 Pivot Table 1'!$M$1:$M$3</c:f>
            </c:strRef>
          </c:tx>
          <c:spPr>
            <a:solidFill>
              <a:srgbClr val="7ED1D7">
                <a:alpha val="30000"/>
              </a:srgbClr>
            </a:solidFill>
            <a:ln cmpd="sng">
              <a:solidFill>
                <a:srgbClr val="7ED1D7"/>
              </a:solidFill>
            </a:ln>
          </c:spPr>
          <c:cat>
            <c:strRef>
              <c:f>'Task5-1 Pivot Table 1'!$A$4:$A$1000</c:f>
            </c:strRef>
          </c:cat>
          <c:val>
            <c:numRef>
              <c:f>'Task5-1 Pivot Table 1'!$M$4:$M$1000</c:f>
              <c:numCache/>
            </c:numRef>
          </c:val>
        </c:ser>
        <c:ser>
          <c:idx val="12"/>
          <c:order val="12"/>
          <c:tx>
            <c:strRef>
              <c:f>'Task5-1 Pivot Table 1'!$N$1:$N$3</c:f>
            </c:strRef>
          </c:tx>
          <c:spPr>
            <a:solidFill>
              <a:srgbClr val="B3CEFB">
                <a:alpha val="30000"/>
              </a:srgbClr>
            </a:solidFill>
            <a:ln cmpd="sng">
              <a:solidFill>
                <a:srgbClr val="B3CEFB"/>
              </a:solidFill>
            </a:ln>
          </c:spPr>
          <c:cat>
            <c:strRef>
              <c:f>'Task5-1 Pivot Table 1'!$A$4:$A$1000</c:f>
            </c:strRef>
          </c:cat>
          <c:val>
            <c:numRef>
              <c:f>'Task5-1 Pivot Table 1'!$N$4:$N$1000</c:f>
              <c:numCache/>
            </c:numRef>
          </c:val>
        </c:ser>
        <c:ser>
          <c:idx val="13"/>
          <c:order val="13"/>
          <c:tx>
            <c:strRef>
              <c:f>'Task5-1 Pivot Table 1'!$O$1:$O$3</c:f>
            </c:strRef>
          </c:tx>
          <c:spPr>
            <a:solidFill>
              <a:srgbClr val="F7B4AE">
                <a:alpha val="30000"/>
              </a:srgbClr>
            </a:solidFill>
            <a:ln cmpd="sng">
              <a:solidFill>
                <a:srgbClr val="F7B4AE"/>
              </a:solidFill>
            </a:ln>
          </c:spPr>
          <c:cat>
            <c:strRef>
              <c:f>'Task5-1 Pivot Table 1'!$A$4:$A$1000</c:f>
            </c:strRef>
          </c:cat>
          <c:val>
            <c:numRef>
              <c:f>'Task5-1 Pivot Table 1'!$O$4:$O$1000</c:f>
              <c:numCache/>
            </c:numRef>
          </c:val>
        </c:ser>
        <c:ser>
          <c:idx val="14"/>
          <c:order val="14"/>
          <c:tx>
            <c:strRef>
              <c:f>'Task5-1 Pivot Table 1'!$P$1:$P$3</c:f>
            </c:strRef>
          </c:tx>
          <c:spPr>
            <a:solidFill>
              <a:srgbClr val="FDE49B">
                <a:alpha val="30000"/>
              </a:srgbClr>
            </a:solidFill>
            <a:ln cmpd="sng">
              <a:solidFill>
                <a:srgbClr val="FDE49B"/>
              </a:solidFill>
            </a:ln>
          </c:spPr>
          <c:cat>
            <c:strRef>
              <c:f>'Task5-1 Pivot Table 1'!$A$4:$A$1000</c:f>
            </c:strRef>
          </c:cat>
          <c:val>
            <c:numRef>
              <c:f>'Task5-1 Pivot Table 1'!$P$4:$P$1000</c:f>
              <c:numCache/>
            </c:numRef>
          </c:val>
        </c:ser>
        <c:ser>
          <c:idx val="15"/>
          <c:order val="15"/>
          <c:tx>
            <c:strRef>
              <c:f>'Task5-1 Pivot Table 1'!$Q$1:$Q$3</c:f>
            </c:strRef>
          </c:tx>
          <c:spPr>
            <a:solidFill>
              <a:srgbClr val="AEDCBA">
                <a:alpha val="30000"/>
              </a:srgbClr>
            </a:solidFill>
            <a:ln cmpd="sng">
              <a:solidFill>
                <a:srgbClr val="AEDCBA"/>
              </a:solidFill>
            </a:ln>
          </c:spPr>
          <c:cat>
            <c:strRef>
              <c:f>'Task5-1 Pivot Table 1'!$A$4:$A$1000</c:f>
            </c:strRef>
          </c:cat>
          <c:val>
            <c:numRef>
              <c:f>'Task5-1 Pivot Table 1'!$Q$4:$Q$1000</c:f>
              <c:numCache/>
            </c:numRef>
          </c:val>
        </c:ser>
        <c:ser>
          <c:idx val="16"/>
          <c:order val="16"/>
          <c:tx>
            <c:strRef>
              <c:f>'Task5-1 Pivot Table 1'!$R$1:$R$3</c:f>
            </c:strRef>
          </c:tx>
          <c:spPr>
            <a:solidFill>
              <a:srgbClr val="FFC599">
                <a:alpha val="30000"/>
              </a:srgbClr>
            </a:solidFill>
            <a:ln cmpd="sng">
              <a:solidFill>
                <a:srgbClr val="FFC599"/>
              </a:solidFill>
            </a:ln>
          </c:spPr>
          <c:cat>
            <c:strRef>
              <c:f>'Task5-1 Pivot Table 1'!$A$4:$A$1000</c:f>
            </c:strRef>
          </c:cat>
          <c:val>
            <c:numRef>
              <c:f>'Task5-1 Pivot Table 1'!$R$4:$R$1000</c:f>
              <c:numCache/>
            </c:numRef>
          </c:val>
        </c:ser>
        <c:ser>
          <c:idx val="17"/>
          <c:order val="17"/>
          <c:tx>
            <c:strRef>
              <c:f>'Task5-1 Pivot Table 1'!$S$1:$S$3</c:f>
            </c:strRef>
          </c:tx>
          <c:spPr>
            <a:solidFill>
              <a:srgbClr val="B5E5E8">
                <a:alpha val="30000"/>
              </a:srgbClr>
            </a:solidFill>
            <a:ln cmpd="sng">
              <a:solidFill>
                <a:srgbClr val="B5E5E8"/>
              </a:solidFill>
            </a:ln>
          </c:spPr>
          <c:cat>
            <c:strRef>
              <c:f>'Task5-1 Pivot Table 1'!$A$4:$A$1000</c:f>
            </c:strRef>
          </c:cat>
          <c:val>
            <c:numRef>
              <c:f>'Task5-1 Pivot Table 1'!$S$4:$S$1000</c:f>
              <c:numCache/>
            </c:numRef>
          </c:val>
        </c:ser>
        <c:ser>
          <c:idx val="18"/>
          <c:order val="18"/>
          <c:tx>
            <c:strRef>
              <c:f>'Task5-1 Pivot Table 1'!$T$1:$T$3</c:f>
            </c:strRef>
          </c:tx>
          <c:spPr>
            <a:solidFill>
              <a:srgbClr val="ECF3FE">
                <a:alpha val="30000"/>
              </a:srgbClr>
            </a:solidFill>
            <a:ln cmpd="sng">
              <a:solidFill>
                <a:srgbClr val="ECF3FE"/>
              </a:solidFill>
            </a:ln>
          </c:spPr>
          <c:cat>
            <c:strRef>
              <c:f>'Task5-1 Pivot Table 1'!$A$4:$A$1000</c:f>
            </c:strRef>
          </c:cat>
          <c:val>
            <c:numRef>
              <c:f>'Task5-1 Pivot Table 1'!$T$4:$T$1000</c:f>
              <c:numCache/>
            </c:numRef>
          </c:val>
        </c:ser>
        <c:ser>
          <c:idx val="19"/>
          <c:order val="19"/>
          <c:tx>
            <c:strRef>
              <c:f>'Task5-1 Pivot Table 1'!$U$1:$U$3</c:f>
            </c:strRef>
          </c:tx>
          <c:spPr>
            <a:solidFill>
              <a:srgbClr val="FDECEB">
                <a:alpha val="30000"/>
              </a:srgbClr>
            </a:solidFill>
            <a:ln cmpd="sng">
              <a:solidFill>
                <a:srgbClr val="FDECEB"/>
              </a:solidFill>
            </a:ln>
          </c:spPr>
          <c:cat>
            <c:strRef>
              <c:f>'Task5-1 Pivot Table 1'!$A$4:$A$1000</c:f>
            </c:strRef>
          </c:cat>
          <c:val>
            <c:numRef>
              <c:f>'Task5-1 Pivot Table 1'!$U$4:$U$1000</c:f>
              <c:numCache/>
            </c:numRef>
          </c:val>
        </c:ser>
        <c:ser>
          <c:idx val="20"/>
          <c:order val="20"/>
          <c:tx>
            <c:strRef>
              <c:f>'Task5-1 Pivot Table 1'!$V$1:$V$3</c:f>
            </c:strRef>
          </c:tx>
          <c:spPr>
            <a:solidFill>
              <a:srgbClr val="FFF8E6">
                <a:alpha val="30000"/>
              </a:srgbClr>
            </a:solidFill>
            <a:ln cmpd="sng">
              <a:solidFill>
                <a:srgbClr val="FFF8E6"/>
              </a:solidFill>
            </a:ln>
          </c:spPr>
          <c:cat>
            <c:strRef>
              <c:f>'Task5-1 Pivot Table 1'!$A$4:$A$1000</c:f>
            </c:strRef>
          </c:cat>
          <c:val>
            <c:numRef>
              <c:f>'Task5-1 Pivot Table 1'!$V$4:$V$1000</c:f>
              <c:numCache/>
            </c:numRef>
          </c:val>
        </c:ser>
        <c:ser>
          <c:idx val="21"/>
          <c:order val="21"/>
          <c:tx>
            <c:strRef>
              <c:f>'Task5-1 Pivot Table 1'!$W$1:$W$3</c:f>
            </c:strRef>
          </c:tx>
          <c:spPr>
            <a:solidFill>
              <a:srgbClr val="EBF6EE">
                <a:alpha val="30000"/>
              </a:srgbClr>
            </a:solidFill>
            <a:ln cmpd="sng">
              <a:solidFill>
                <a:srgbClr val="EBF6EE"/>
              </a:solidFill>
            </a:ln>
          </c:spPr>
          <c:cat>
            <c:strRef>
              <c:f>'Task5-1 Pivot Table 1'!$A$4:$A$1000</c:f>
            </c:strRef>
          </c:cat>
          <c:val>
            <c:numRef>
              <c:f>'Task5-1 Pivot Table 1'!$W$4:$W$1000</c:f>
              <c:numCache/>
            </c:numRef>
          </c:val>
        </c:ser>
        <c:ser>
          <c:idx val="22"/>
          <c:order val="22"/>
          <c:tx>
            <c:strRef>
              <c:f>'Task5-1 Pivot Table 1'!$X$1:$X$3</c:f>
            </c:strRef>
          </c:tx>
          <c:spPr>
            <a:solidFill>
              <a:srgbClr val="FFF0E6">
                <a:alpha val="30000"/>
              </a:srgbClr>
            </a:solidFill>
            <a:ln cmpd="sng">
              <a:solidFill>
                <a:srgbClr val="FFF0E6"/>
              </a:solidFill>
            </a:ln>
          </c:spPr>
          <c:cat>
            <c:strRef>
              <c:f>'Task5-1 Pivot Table 1'!$A$4:$A$1000</c:f>
            </c:strRef>
          </c:cat>
          <c:val>
            <c:numRef>
              <c:f>'Task5-1 Pivot Table 1'!$X$4:$X$1000</c:f>
              <c:numCache/>
            </c:numRef>
          </c:val>
        </c:ser>
        <c:ser>
          <c:idx val="23"/>
          <c:order val="23"/>
          <c:tx>
            <c:strRef>
              <c:f>'Task5-1 Pivot Table 1'!$Y$1:$Y$3</c:f>
            </c:strRef>
          </c:tx>
          <c:spPr>
            <a:solidFill>
              <a:srgbClr val="EDF8F9">
                <a:alpha val="30000"/>
              </a:srgbClr>
            </a:solidFill>
            <a:ln cmpd="sng">
              <a:solidFill>
                <a:srgbClr val="EDF8F9"/>
              </a:solidFill>
            </a:ln>
          </c:spPr>
          <c:cat>
            <c:strRef>
              <c:f>'Task5-1 Pivot Table 1'!$A$4:$A$1000</c:f>
            </c:strRef>
          </c:cat>
          <c:val>
            <c:numRef>
              <c:f>'Task5-1 Pivot Table 1'!$Y$4:$Y$1000</c:f>
              <c:numCache/>
            </c:numRef>
          </c:val>
        </c:ser>
        <c:ser>
          <c:idx val="24"/>
          <c:order val="24"/>
          <c:tx>
            <c:strRef>
              <c:f>'Task5-1 Pivot Table 1'!$Z$1:$Z$3</c:f>
            </c:strRef>
          </c:tx>
          <c:spPr>
            <a:solidFill>
              <a:srgbClr val="251701">
                <a:alpha val="30000"/>
              </a:srgbClr>
            </a:solidFill>
            <a:ln cmpd="sng">
              <a:solidFill>
                <a:srgbClr val="251701"/>
              </a:solidFill>
            </a:ln>
          </c:spPr>
          <c:cat>
            <c:strRef>
              <c:f>'Task5-1 Pivot Table 1'!$A$4:$A$1000</c:f>
            </c:strRef>
          </c:cat>
          <c:val>
            <c:numRef>
              <c:f>'Task5-1 Pivot Table 1'!$Z$4:$Z$1000</c:f>
              <c:numCache/>
            </c:numRef>
          </c:val>
        </c:ser>
        <c:axId val="1754814977"/>
        <c:axId val="260489729"/>
      </c:areaChart>
      <c:catAx>
        <c:axId val="1754814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0489729"/>
      </c:catAx>
      <c:valAx>
        <c:axId val="2604897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481497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'Task5-1 Pivot Table 1'!$V$2:$V$4</c:f>
            </c:strRef>
          </c:tx>
          <c:spPr>
            <a:ln cmpd="sng">
              <a:solidFill>
                <a:srgbClr val="4285F4"/>
              </a:solidFill>
            </a:ln>
          </c:spPr>
          <c:marker>
            <c:symbol val="none"/>
          </c:marker>
          <c:val>
            <c:numRef>
              <c:f>'Task5-1 Pivot Table 1'!$V$5:$V$10</c:f>
              <c:numCache/>
            </c:numRef>
          </c:val>
          <c:smooth val="0"/>
        </c:ser>
        <c:ser>
          <c:idx val="1"/>
          <c:order val="1"/>
          <c:tx>
            <c:strRef>
              <c:f>'Task5-1 Pivot Table 1'!$W$2:$W$4</c:f>
            </c:strRef>
          </c:tx>
          <c:spPr>
            <a:ln cmpd="sng">
              <a:solidFill>
                <a:srgbClr val="EA4335"/>
              </a:solidFill>
            </a:ln>
          </c:spPr>
          <c:marker>
            <c:symbol val="none"/>
          </c:marker>
          <c:val>
            <c:numRef>
              <c:f>'Task5-1 Pivot Table 1'!$W$5:$W$10</c:f>
              <c:numCache/>
            </c:numRef>
          </c:val>
          <c:smooth val="0"/>
        </c:ser>
        <c:ser>
          <c:idx val="2"/>
          <c:order val="2"/>
          <c:tx>
            <c:strRef>
              <c:f>'Task5-1 Pivot Table 1'!$X$2:$X$4</c:f>
            </c:strRef>
          </c:tx>
          <c:spPr>
            <a:ln cmpd="sng">
              <a:solidFill>
                <a:srgbClr val="FBBC04"/>
              </a:solidFill>
            </a:ln>
          </c:spPr>
          <c:marker>
            <c:symbol val="none"/>
          </c:marker>
          <c:val>
            <c:numRef>
              <c:f>'Task5-1 Pivot Table 1'!$X$5:$X$10</c:f>
              <c:numCache/>
            </c:numRef>
          </c:val>
          <c:smooth val="0"/>
        </c:ser>
        <c:ser>
          <c:idx val="3"/>
          <c:order val="3"/>
          <c:tx>
            <c:strRef>
              <c:f>'Task5-1 Pivot Table 1'!$Y$2:$Y$4</c:f>
            </c:strRef>
          </c:tx>
          <c:spPr>
            <a:ln cmpd="sng">
              <a:solidFill>
                <a:srgbClr val="34A853"/>
              </a:solidFill>
            </a:ln>
          </c:spPr>
          <c:marker>
            <c:symbol val="none"/>
          </c:marker>
          <c:val>
            <c:numRef>
              <c:f>'Task5-1 Pivot Table 1'!$Y$5:$Y$10</c:f>
              <c:numCache/>
            </c:numRef>
          </c:val>
          <c:smooth val="0"/>
        </c:ser>
        <c:ser>
          <c:idx val="4"/>
          <c:order val="4"/>
          <c:tx>
            <c:strRef>
              <c:f>'Task5-1 Pivot Table 1'!$Z$2:$Z$4</c:f>
            </c:strRef>
          </c:tx>
          <c:spPr>
            <a:ln cmpd="sng">
              <a:solidFill>
                <a:srgbClr val="FF6D01"/>
              </a:solidFill>
            </a:ln>
          </c:spPr>
          <c:marker>
            <c:symbol val="none"/>
          </c:marker>
          <c:val>
            <c:numRef>
              <c:f>'Task5-1 Pivot Table 1'!$Z$5:$Z$10</c:f>
              <c:numCache/>
            </c:numRef>
          </c:val>
          <c:smooth val="0"/>
        </c:ser>
        <c:axId val="2123845262"/>
        <c:axId val="951768767"/>
      </c:lineChart>
      <c:catAx>
        <c:axId val="2123845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1768767"/>
      </c:catAx>
      <c:valAx>
        <c:axId val="951768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384526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Total Engagement vs. Hashtags Summary</a:t>
            </a:r>
          </a:p>
        </c:rich>
      </c:tx>
      <c:overlay val="0"/>
    </c:title>
    <c:plotArea>
      <c:layout/>
      <c:barChart>
        <c:barDir val="col"/>
        <c:ser>
          <c:idx val="0"/>
          <c:order val="0"/>
          <c:tx>
            <c:strRef>
              <c:f>'Task4 Pivvot Table2'!$B$1</c:f>
            </c:strRef>
          </c:tx>
          <c:spPr>
            <a:solidFill>
              <a:schemeClr val="accent1"/>
            </a:solidFill>
            <a:ln cmpd="sng">
              <a:solidFill>
                <a:srgbClr val="000000"/>
              </a:solidFill>
            </a:ln>
          </c:spPr>
          <c:cat>
            <c:strRef>
              <c:f>'Task4 Pivvot Table2'!$A$2:$A$20</c:f>
            </c:strRef>
          </c:cat>
          <c:val>
            <c:numRef>
              <c:f>'Task4 Pivvot Table2'!$B$2:$B$20</c:f>
              <c:numCache/>
            </c:numRef>
          </c:val>
        </c:ser>
        <c:axId val="710310102"/>
        <c:axId val="1348782839"/>
      </c:barChart>
      <c:catAx>
        <c:axId val="710310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Hashtags Summary</a:t>
                </a:r>
              </a:p>
            </c:rich>
          </c:tx>
          <c:overlay val="0"/>
        </c:title>
        <c:numFmt formatCode="General" sourceLinked="1"/>
        <c:majorTickMark val="none"/>
        <c:minorTickMark val="none"/>
        <c:spPr/>
        <c:txPr>
          <a:bodyPr/>
          <a:lstStyle/>
          <a:p>
            <a:pPr lvl="0">
              <a:defRPr b="0">
                <a:solidFill>
                  <a:srgbClr val="000000"/>
                </a:solidFill>
                <a:latin typeface="+mn-lt"/>
              </a:defRPr>
            </a:pPr>
          </a:p>
        </c:txPr>
        <c:crossAx val="1348782839"/>
      </c:catAx>
      <c:valAx>
        <c:axId val="1348782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Total Engagement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0310102"/>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Total Engagement</a:t>
            </a:r>
          </a:p>
        </c:rich>
      </c:tx>
      <c:overlay val="0"/>
    </c:title>
    <c:plotArea>
      <c:layout/>
      <c:pieChart>
        <c:varyColors val="1"/>
        <c:ser>
          <c:idx val="0"/>
          <c:order val="0"/>
          <c:tx>
            <c:strRef>
              <c:f>'Task4 Pivvot Table2'!$B$1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Lbls>
            <c:showLegendKey val="0"/>
            <c:showVal val="0"/>
            <c:showCatName val="0"/>
            <c:showSerName val="0"/>
            <c:showPercent val="0"/>
            <c:showBubbleSize val="0"/>
            <c:showLeaderLines val="1"/>
          </c:dLbls>
          <c:cat>
            <c:strRef>
              <c:f>'Task4 Pivvot Table2'!$A$2:$A$20</c:f>
            </c:strRef>
          </c:cat>
          <c:val>
            <c:numRef>
              <c:f>'Task4 Pivvot Table2'!$B$2:$B$20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'Task5-1 pivot Tbale 3'!$B$11</c:f>
            </c:strRef>
          </c:tx>
          <c:spPr>
            <a:solidFill>
              <a:schemeClr val="accent1"/>
            </a:solidFill>
            <a:ln cmpd="sng">
              <a:solidFill>
                <a:srgbClr val="000000"/>
              </a:solidFill>
            </a:ln>
          </c:spPr>
          <c:cat>
            <c:strRef>
              <c:f>'Task5-1 pivot Tbale 3'!$A$12:$A$17</c:f>
            </c:strRef>
          </c:cat>
          <c:val>
            <c:numRef>
              <c:f>'Task5-1 pivot Tbale 3'!$B$12:$B$17</c:f>
              <c:numCache/>
            </c:numRef>
          </c:val>
        </c:ser>
        <c:ser>
          <c:idx val="1"/>
          <c:order val="1"/>
          <c:tx>
            <c:strRef>
              <c:f>'Task5-1 pivot Tbale 3'!$C$11</c:f>
            </c:strRef>
          </c:tx>
          <c:spPr>
            <a:solidFill>
              <a:schemeClr val="accent2"/>
            </a:solidFill>
            <a:ln cmpd="sng">
              <a:solidFill>
                <a:srgbClr val="000000"/>
              </a:solidFill>
            </a:ln>
          </c:spPr>
          <c:cat>
            <c:strRef>
              <c:f>'Task5-1 pivot Tbale 3'!$A$12:$A$17</c:f>
            </c:strRef>
          </c:cat>
          <c:val>
            <c:numRef>
              <c:f>'Task5-1 pivot Tbale 3'!$C$12:$C$17</c:f>
              <c:numCache/>
            </c:numRef>
          </c:val>
        </c:ser>
        <c:ser>
          <c:idx val="2"/>
          <c:order val="2"/>
          <c:tx>
            <c:strRef>
              <c:f>'Task5-1 pivot Tbale 3'!$D$11</c:f>
            </c:strRef>
          </c:tx>
          <c:spPr>
            <a:solidFill>
              <a:schemeClr val="accent3"/>
            </a:solidFill>
            <a:ln cmpd="sng">
              <a:solidFill>
                <a:srgbClr val="000000"/>
              </a:solidFill>
            </a:ln>
          </c:spPr>
          <c:cat>
            <c:strRef>
              <c:f>'Task5-1 pivot Tbale 3'!$A$12:$A$17</c:f>
            </c:strRef>
          </c:cat>
          <c:val>
            <c:numRef>
              <c:f>'Task5-1 pivot Tbale 3'!$D$12:$D$17</c:f>
              <c:numCache/>
            </c:numRef>
          </c:val>
        </c:ser>
        <c:ser>
          <c:idx val="3"/>
          <c:order val="3"/>
          <c:tx>
            <c:strRef>
              <c:f>'Task5-1 pivot Tbale 3'!$E$11</c:f>
            </c:strRef>
          </c:tx>
          <c:spPr>
            <a:solidFill>
              <a:schemeClr val="accent4"/>
            </a:solidFill>
            <a:ln cmpd="sng">
              <a:solidFill>
                <a:srgbClr val="000000"/>
              </a:solidFill>
            </a:ln>
          </c:spPr>
          <c:cat>
            <c:strRef>
              <c:f>'Task5-1 pivot Tbale 3'!$A$12:$A$17</c:f>
            </c:strRef>
          </c:cat>
          <c:val>
            <c:numRef>
              <c:f>'Task5-1 pivot Tbale 3'!$E$12:$E$17</c:f>
              <c:numCache/>
            </c:numRef>
          </c:val>
        </c:ser>
        <c:ser>
          <c:idx val="4"/>
          <c:order val="4"/>
          <c:tx>
            <c:strRef>
              <c:f>'Task5-1 pivot Tbale 3'!$F$11</c:f>
            </c:strRef>
          </c:tx>
          <c:spPr>
            <a:solidFill>
              <a:schemeClr val="accent5"/>
            </a:solidFill>
            <a:ln cmpd="sng">
              <a:solidFill>
                <a:srgbClr val="000000"/>
              </a:solidFill>
            </a:ln>
          </c:spPr>
          <c:cat>
            <c:strRef>
              <c:f>'Task5-1 pivot Tbale 3'!$A$12:$A$17</c:f>
            </c:strRef>
          </c:cat>
          <c:val>
            <c:numRef>
              <c:f>'Task5-1 pivot Tbale 3'!$F$12:$F$17</c:f>
              <c:numCache/>
            </c:numRef>
          </c:val>
        </c:ser>
        <c:ser>
          <c:idx val="5"/>
          <c:order val="5"/>
          <c:tx>
            <c:strRef>
              <c:f>'Task5-1 pivot Tbale 3'!$G$11</c:f>
            </c:strRef>
          </c:tx>
          <c:spPr>
            <a:solidFill>
              <a:schemeClr val="accent6"/>
            </a:solidFill>
            <a:ln cmpd="sng">
              <a:solidFill>
                <a:srgbClr val="000000"/>
              </a:solidFill>
            </a:ln>
          </c:spPr>
          <c:cat>
            <c:strRef>
              <c:f>'Task5-1 pivot Tbale 3'!$A$12:$A$17</c:f>
            </c:strRef>
          </c:cat>
          <c:val>
            <c:numRef>
              <c:f>'Task5-1 pivot Tbale 3'!$G$12:$G$17</c:f>
              <c:numCache/>
            </c:numRef>
          </c:val>
        </c:ser>
        <c:ser>
          <c:idx val="6"/>
          <c:order val="6"/>
          <c:tx>
            <c:strRef>
              <c:f>'Task5-1 pivot Tbale 3'!$H$11</c:f>
            </c:strRef>
          </c:tx>
          <c:spPr>
            <a:solidFill>
              <a:schemeClr val="accent1">
                <a:lumOff val="30000"/>
              </a:schemeClr>
            </a:solidFill>
            <a:ln cmpd="sng">
              <a:solidFill>
                <a:srgbClr val="000000"/>
              </a:solidFill>
            </a:ln>
          </c:spPr>
          <c:cat>
            <c:strRef>
              <c:f>'Task5-1 pivot Tbale 3'!$A$12:$A$17</c:f>
            </c:strRef>
          </c:cat>
          <c:val>
            <c:numRef>
              <c:f>'Task5-1 pivot Tbale 3'!$H$12:$H$17</c:f>
              <c:numCache/>
            </c:numRef>
          </c:val>
        </c:ser>
        <c:axId val="598155082"/>
        <c:axId val="947690545"/>
      </c:barChart>
      <c:catAx>
        <c:axId val="598155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7690545"/>
      </c:catAx>
      <c:valAx>
        <c:axId val="947690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815508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'Task5-1 pivot Tbale 3'!$B$11</c:f>
            </c:strRef>
          </c:tx>
          <c:spPr>
            <a:ln>
              <a:noFill/>
            </a:ln>
          </c:spPr>
          <c:marker>
            <c:symbol val="circle"/>
            <c:size val="7"/>
            <c:spPr>
              <a:solidFill>
                <a:schemeClr val="accent1"/>
              </a:solidFill>
              <a:ln cmpd="sng">
                <a:solidFill>
                  <a:schemeClr val="accent1"/>
                </a:solidFill>
              </a:ln>
            </c:spPr>
          </c:marker>
          <c:xVal>
            <c:numRef>
              <c:f>'Task5-1 pivot Tbale 3'!$A$12:$A$17</c:f>
            </c:numRef>
          </c:xVal>
          <c:yVal>
            <c:numRef>
              <c:f>'Task5-1 pivot Tbale 3'!$B$12:$B$17</c:f>
              <c:numCache/>
            </c:numRef>
          </c:yVal>
        </c:ser>
        <c:ser>
          <c:idx val="1"/>
          <c:order val="1"/>
          <c:tx>
            <c:strRef>
              <c:f>'Task5-1 pivot Tbale 3'!$C$11</c:f>
            </c:strRef>
          </c:tx>
          <c:spPr>
            <a:ln>
              <a:noFill/>
            </a:ln>
          </c:spPr>
          <c:marker>
            <c:symbol val="circle"/>
            <c:size val="7"/>
            <c:spPr>
              <a:solidFill>
                <a:schemeClr val="accent2"/>
              </a:solidFill>
              <a:ln cmpd="sng">
                <a:solidFill>
                  <a:schemeClr val="accent2"/>
                </a:solidFill>
              </a:ln>
            </c:spPr>
          </c:marker>
          <c:xVal>
            <c:numRef>
              <c:f>'Task5-1 pivot Tbale 3'!$A$12:$A$17</c:f>
            </c:numRef>
          </c:xVal>
          <c:yVal>
            <c:numRef>
              <c:f>'Task5-1 pivot Tbale 3'!$C$12:$C$17</c:f>
              <c:numCache/>
            </c:numRef>
          </c:yVal>
        </c:ser>
        <c:ser>
          <c:idx val="2"/>
          <c:order val="2"/>
          <c:tx>
            <c:strRef>
              <c:f>'Task5-1 pivot Tbale 3'!$D$11</c:f>
            </c:strRef>
          </c:tx>
          <c:spPr>
            <a:ln>
              <a:noFill/>
            </a:ln>
          </c:spPr>
          <c:marker>
            <c:symbol val="circle"/>
            <c:size val="7"/>
            <c:spPr>
              <a:solidFill>
                <a:schemeClr val="accent3"/>
              </a:solidFill>
              <a:ln cmpd="sng">
                <a:solidFill>
                  <a:schemeClr val="accent3"/>
                </a:solidFill>
              </a:ln>
            </c:spPr>
          </c:marker>
          <c:xVal>
            <c:numRef>
              <c:f>'Task5-1 pivot Tbale 3'!$A$12:$A$17</c:f>
            </c:numRef>
          </c:xVal>
          <c:yVal>
            <c:numRef>
              <c:f>'Task5-1 pivot Tbale 3'!$D$12:$D$17</c:f>
              <c:numCache/>
            </c:numRef>
          </c:yVal>
        </c:ser>
        <c:ser>
          <c:idx val="3"/>
          <c:order val="3"/>
          <c:tx>
            <c:strRef>
              <c:f>'Task5-1 pivot Tbale 3'!$E$11</c:f>
            </c:strRef>
          </c:tx>
          <c:spPr>
            <a:ln>
              <a:noFill/>
            </a:ln>
          </c:spPr>
          <c:marker>
            <c:symbol val="circle"/>
            <c:size val="7"/>
            <c:spPr>
              <a:solidFill>
                <a:schemeClr val="accent4"/>
              </a:solidFill>
              <a:ln cmpd="sng">
                <a:solidFill>
                  <a:schemeClr val="accent4"/>
                </a:solidFill>
              </a:ln>
            </c:spPr>
          </c:marker>
          <c:xVal>
            <c:numRef>
              <c:f>'Task5-1 pivot Tbale 3'!$A$12:$A$17</c:f>
            </c:numRef>
          </c:xVal>
          <c:yVal>
            <c:numRef>
              <c:f>'Task5-1 pivot Tbale 3'!$E$12:$E$17</c:f>
              <c:numCache/>
            </c:numRef>
          </c:yVal>
        </c:ser>
        <c:ser>
          <c:idx val="4"/>
          <c:order val="4"/>
          <c:tx>
            <c:strRef>
              <c:f>'Task5-1 pivot Tbale 3'!$F$11</c:f>
            </c:strRef>
          </c:tx>
          <c:spPr>
            <a:ln>
              <a:noFill/>
            </a:ln>
          </c:spPr>
          <c:marker>
            <c:symbol val="circle"/>
            <c:size val="7"/>
            <c:spPr>
              <a:solidFill>
                <a:schemeClr val="accent5"/>
              </a:solidFill>
              <a:ln cmpd="sng">
                <a:solidFill>
                  <a:schemeClr val="accent5"/>
                </a:solidFill>
              </a:ln>
            </c:spPr>
          </c:marker>
          <c:xVal>
            <c:numRef>
              <c:f>'Task5-1 pivot Tbale 3'!$A$12:$A$17</c:f>
            </c:numRef>
          </c:xVal>
          <c:yVal>
            <c:numRef>
              <c:f>'Task5-1 pivot Tbale 3'!$F$12:$F$17</c:f>
              <c:numCache/>
            </c:numRef>
          </c:yVal>
        </c:ser>
        <c:ser>
          <c:idx val="5"/>
          <c:order val="5"/>
          <c:tx>
            <c:strRef>
              <c:f>'Task5-1 pivot Tbale 3'!$G$11</c:f>
            </c:strRef>
          </c:tx>
          <c:spPr>
            <a:ln>
              <a:noFill/>
            </a:ln>
          </c:spPr>
          <c:marker>
            <c:symbol val="circle"/>
            <c:size val="7"/>
            <c:spPr>
              <a:solidFill>
                <a:schemeClr val="accent6"/>
              </a:solidFill>
              <a:ln cmpd="sng">
                <a:solidFill>
                  <a:schemeClr val="accent6"/>
                </a:solidFill>
              </a:ln>
            </c:spPr>
          </c:marker>
          <c:xVal>
            <c:numRef>
              <c:f>'Task5-1 pivot Tbale 3'!$A$12:$A$17</c:f>
            </c:numRef>
          </c:xVal>
          <c:yVal>
            <c:numRef>
              <c:f>'Task5-1 pivot Tbale 3'!$G$12:$G$17</c:f>
              <c:numCache/>
            </c:numRef>
          </c:yVal>
        </c:ser>
        <c:ser>
          <c:idx val="6"/>
          <c:order val="6"/>
          <c:tx>
            <c:strRef>
              <c:f>'Task5-1 pivot Tbale 3'!$H$11</c:f>
            </c:strRef>
          </c:tx>
          <c:spPr>
            <a:ln>
              <a:noFill/>
            </a:ln>
          </c:spPr>
          <c:marker>
            <c:symbol val="circle"/>
            <c:size val="7"/>
            <c:spPr>
              <a:solidFill>
                <a:schemeClr val="accent1">
                  <a:lumOff val="30000"/>
                </a:schemeClr>
              </a:solidFill>
              <a:ln cmpd="sng">
                <a:solidFill>
                  <a:schemeClr val="accent1">
                    <a:lumOff val="30000"/>
                  </a:schemeClr>
                </a:solidFill>
              </a:ln>
            </c:spPr>
          </c:marker>
          <c:xVal>
            <c:numRef>
              <c:f>'Task5-1 pivot Tbale 3'!$A$12:$A$17</c:f>
            </c:numRef>
          </c:xVal>
          <c:yVal>
            <c:numRef>
              <c:f>'Task5-1 pivot Tbale 3'!$H$12:$H$17</c:f>
              <c:numCache/>
            </c:numRef>
          </c:yVal>
        </c:ser>
        <c:dLbls>
          <c:showLegendKey val="0"/>
          <c:showVal val="0"/>
          <c:showCatName val="0"/>
          <c:showSerName val="0"/>
          <c:showPercent val="0"/>
          <c:showBubbleSize val="0"/>
        </c:dLbls>
        <c:axId val="1036074299"/>
        <c:axId val="1716608541"/>
      </c:scatterChart>
      <c:valAx>
        <c:axId val="10360742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6608541"/>
      </c:valAx>
      <c:valAx>
        <c:axId val="1716608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607429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Ad_Spend vs. New_Followers</a:t>
            </a:r>
          </a:p>
        </c:rich>
      </c:tx>
      <c:overlay val="0"/>
    </c:title>
    <c:plotArea>
      <c:layout/>
      <c:scatterChart>
        <c:scatterStyle val="lineMarker"/>
        <c:ser>
          <c:idx val="0"/>
          <c:order val="0"/>
          <c:tx>
            <c:strRef>
              <c:f>'Task6 Pivot Table 1'!$B$1</c:f>
            </c:strRef>
          </c:tx>
          <c:spPr>
            <a:ln>
              <a:noFill/>
            </a:ln>
          </c:spPr>
          <c:marker>
            <c:symbol val="circle"/>
            <c:size val="7"/>
            <c:spPr>
              <a:solidFill>
                <a:schemeClr val="accent1"/>
              </a:solidFill>
              <a:ln cmpd="sng">
                <a:solidFill>
                  <a:schemeClr val="accent1"/>
                </a:solidFill>
              </a:ln>
            </c:spPr>
          </c:marker>
          <c:trendline>
            <c:name/>
            <c:spPr>
              <a:ln w="19050">
                <a:solidFill>
                  <a:srgbClr val="0000FF">
                    <a:alpha val="40000"/>
                  </a:srgbClr>
                </a:solidFill>
              </a:ln>
            </c:spPr>
            <c:trendlineType val="exp"/>
            <c:dispRSqr val="0"/>
            <c:dispEq val="0"/>
          </c:trendline>
          <c:xVal>
            <c:numRef>
              <c:f>'Task6 Pivot Table 1'!$A$2:$A$201</c:f>
            </c:numRef>
          </c:xVal>
          <c:yVal>
            <c:numRef>
              <c:f>'Task6 Pivot Table 1'!$B$2:$B$201</c:f>
              <c:numCache/>
            </c:numRef>
          </c:yVal>
        </c:ser>
        <c:ser>
          <c:idx val="1"/>
          <c:order val="1"/>
          <c:tx>
            <c:strRef>
              <c:f>'Task6 Pivot Table 1'!$A$1</c:f>
            </c:strRef>
          </c:tx>
          <c:spPr>
            <a:ln>
              <a:noFill/>
            </a:ln>
          </c:spPr>
          <c:marker>
            <c:symbol val="circle"/>
            <c:size val="7"/>
            <c:spPr>
              <a:solidFill>
                <a:schemeClr val="accent2"/>
              </a:solidFill>
              <a:ln cmpd="sng">
                <a:solidFill>
                  <a:schemeClr val="accent2"/>
                </a:solidFill>
              </a:ln>
            </c:spPr>
          </c:marker>
          <c:trendline>
            <c:name/>
            <c:spPr>
              <a:ln w="19050">
                <a:solidFill>
                  <a:srgbClr val="0000FF">
                    <a:alpha val="40000"/>
                  </a:srgbClr>
                </a:solidFill>
              </a:ln>
            </c:spPr>
            <c:trendlineType val="exp"/>
            <c:dispRSqr val="0"/>
            <c:dispEq val="0"/>
          </c:trendline>
          <c:xVal>
            <c:numRef>
              <c:f>'Task6 Pivot Table 1'!$A$2:$A$201</c:f>
            </c:numRef>
          </c:xVal>
          <c:yVal>
            <c:numRef>
              <c:f>'Task6 Pivot Table 1'!$A$2:$A$201</c:f>
              <c:numCache/>
            </c:numRef>
          </c:yVal>
        </c:ser>
        <c:dLbls>
          <c:showLegendKey val="0"/>
          <c:showVal val="0"/>
          <c:showCatName val="0"/>
          <c:showSerName val="0"/>
          <c:showPercent val="0"/>
          <c:showBubbleSize val="0"/>
        </c:dLbls>
        <c:axId val="818506834"/>
        <c:axId val="1552312070"/>
      </c:scatterChart>
      <c:valAx>
        <c:axId val="8185068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New_Followers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2312070"/>
      </c:valAx>
      <c:valAx>
        <c:axId val="15523120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Ad_Spend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850683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New Followers by Platform.</a:t>
            </a:r>
          </a:p>
        </c:rich>
      </c:tx>
      <c:overlay val="0"/>
    </c:title>
    <c:plotArea>
      <c:layout/>
      <c:barChart>
        <c:barDir val="col"/>
        <c:ser>
          <c:idx val="0"/>
          <c:order val="0"/>
          <c:tx>
            <c:strRef>
              <c:f>'Task6 Pivot Table2'!$A$1:$A$2</c:f>
            </c:strRef>
          </c:tx>
          <c:spPr>
            <a:solidFill>
              <a:schemeClr val="accent1"/>
            </a:solidFill>
            <a:ln cmpd="sng">
              <a:solidFill>
                <a:srgbClr val="000000"/>
              </a:solidFill>
            </a:ln>
          </c:spPr>
          <c:val>
            <c:numRef>
              <c:f>'Task6 Pivot Table2'!$A$3:$A$1000</c:f>
              <c:numCache/>
            </c:numRef>
          </c:val>
        </c:ser>
        <c:ser>
          <c:idx val="1"/>
          <c:order val="1"/>
          <c:tx>
            <c:strRef>
              <c:f>'Task6 Pivot Table2'!$B$1:$B$2</c:f>
            </c:strRef>
          </c:tx>
          <c:spPr>
            <a:solidFill>
              <a:schemeClr val="accent2"/>
            </a:solidFill>
            <a:ln cmpd="sng">
              <a:solidFill>
                <a:srgbClr val="000000"/>
              </a:solidFill>
            </a:ln>
          </c:spPr>
          <c:val>
            <c:numRef>
              <c:f>'Task6 Pivot Table2'!$B$3:$B$1000</c:f>
              <c:numCache/>
            </c:numRef>
          </c:val>
        </c:ser>
        <c:ser>
          <c:idx val="2"/>
          <c:order val="2"/>
          <c:tx>
            <c:strRef>
              <c:f>'Task6 Pivot Table2'!$C$1:$C$2</c:f>
            </c:strRef>
          </c:tx>
          <c:spPr>
            <a:solidFill>
              <a:schemeClr val="accent3"/>
            </a:solidFill>
            <a:ln cmpd="sng">
              <a:solidFill>
                <a:srgbClr val="000000"/>
              </a:solidFill>
            </a:ln>
          </c:spPr>
          <c:val>
            <c:numRef>
              <c:f>'Task6 Pivot Table2'!$C$3:$C$1000</c:f>
              <c:numCache/>
            </c:numRef>
          </c:val>
        </c:ser>
        <c:ser>
          <c:idx val="3"/>
          <c:order val="3"/>
          <c:tx>
            <c:strRef>
              <c:f>'Task6 Pivot Table2'!$D$1:$D$2</c:f>
            </c:strRef>
          </c:tx>
          <c:spPr>
            <a:solidFill>
              <a:schemeClr val="accent4"/>
            </a:solidFill>
            <a:ln cmpd="sng">
              <a:solidFill>
                <a:srgbClr val="000000"/>
              </a:solidFill>
            </a:ln>
          </c:spPr>
          <c:val>
            <c:numRef>
              <c:f>'Task6 Pivot Table2'!$D$3:$D$1000</c:f>
              <c:numCache/>
            </c:numRef>
          </c:val>
        </c:ser>
        <c:ser>
          <c:idx val="4"/>
          <c:order val="4"/>
          <c:tx>
            <c:strRef>
              <c:f>'Task6 Pivot Table2'!$E$1:$E$2</c:f>
            </c:strRef>
          </c:tx>
          <c:spPr>
            <a:solidFill>
              <a:schemeClr val="accent5"/>
            </a:solidFill>
            <a:ln cmpd="sng">
              <a:solidFill>
                <a:srgbClr val="000000"/>
              </a:solidFill>
            </a:ln>
          </c:spPr>
          <c:val>
            <c:numRef>
              <c:f>'Task6 Pivot Table2'!$E$3:$E$1000</c:f>
              <c:numCache/>
            </c:numRef>
          </c:val>
        </c:ser>
        <c:ser>
          <c:idx val="5"/>
          <c:order val="5"/>
          <c:tx>
            <c:strRef>
              <c:f>'Task6 Pivot Table2'!$F$1:$F$2</c:f>
            </c:strRef>
          </c:tx>
          <c:spPr>
            <a:solidFill>
              <a:schemeClr val="accent6"/>
            </a:solidFill>
            <a:ln cmpd="sng">
              <a:solidFill>
                <a:srgbClr val="000000"/>
              </a:solidFill>
            </a:ln>
          </c:spPr>
          <c:val>
            <c:numRef>
              <c:f>'Task6 Pivot Table2'!$F$3:$F$1000</c:f>
              <c:numCache/>
            </c:numRef>
          </c:val>
        </c:ser>
        <c:ser>
          <c:idx val="6"/>
          <c:order val="6"/>
          <c:tx>
            <c:strRef>
              <c:f>'Task6 Pivot Table2'!$G$1:$G$2</c:f>
            </c:strRef>
          </c:tx>
          <c:spPr>
            <a:solidFill>
              <a:schemeClr val="accent1">
                <a:lumOff val="30000"/>
              </a:schemeClr>
            </a:solidFill>
            <a:ln cmpd="sng">
              <a:solidFill>
                <a:srgbClr val="000000"/>
              </a:solidFill>
            </a:ln>
          </c:spPr>
          <c:val>
            <c:numRef>
              <c:f>'Task6 Pivot Table2'!$G$3:$G$1000</c:f>
              <c:numCache/>
            </c:numRef>
          </c:val>
        </c:ser>
        <c:ser>
          <c:idx val="7"/>
          <c:order val="7"/>
          <c:tx>
            <c:strRef>
              <c:f>'Task6 Pivot Table2'!$H$1:$H$2</c:f>
            </c:strRef>
          </c:tx>
          <c:spPr>
            <a:solidFill>
              <a:schemeClr val="accent2">
                <a:lumOff val="30000"/>
              </a:schemeClr>
            </a:solidFill>
            <a:ln cmpd="sng">
              <a:solidFill>
                <a:srgbClr val="000000"/>
              </a:solidFill>
            </a:ln>
          </c:spPr>
          <c:val>
            <c:numRef>
              <c:f>'Task6 Pivot Table2'!$H$3:$H$1000</c:f>
              <c:numCache/>
            </c:numRef>
          </c:val>
        </c:ser>
        <c:ser>
          <c:idx val="8"/>
          <c:order val="8"/>
          <c:tx>
            <c:strRef>
              <c:f>'Task6 Pivot Table2'!$I$1:$I$2</c:f>
            </c:strRef>
          </c:tx>
          <c:val>
            <c:numRef>
              <c:f>'Task6 Pivot Table2'!$I$3:$I$1000</c:f>
              <c:numCache/>
            </c:numRef>
          </c:val>
        </c:ser>
        <c:ser>
          <c:idx val="9"/>
          <c:order val="9"/>
          <c:tx>
            <c:strRef>
              <c:f>'Task6 Pivot Table2'!$J$1:$J$2</c:f>
            </c:strRef>
          </c:tx>
          <c:val>
            <c:numRef>
              <c:f>'Task6 Pivot Table2'!$J$3:$J$1000</c:f>
              <c:numCache/>
            </c:numRef>
          </c:val>
        </c:ser>
        <c:ser>
          <c:idx val="10"/>
          <c:order val="10"/>
          <c:tx>
            <c:strRef>
              <c:f>'Task6 Pivot Table2'!$K$1:$K$2</c:f>
            </c:strRef>
          </c:tx>
          <c:val>
            <c:numRef>
              <c:f>'Task6 Pivot Table2'!$K$3:$K$1000</c:f>
              <c:numCache/>
            </c:numRef>
          </c:val>
        </c:ser>
        <c:ser>
          <c:idx val="11"/>
          <c:order val="11"/>
          <c:tx>
            <c:strRef>
              <c:f>'Task6 Pivot Table2'!$L$1:$L$2</c:f>
            </c:strRef>
          </c:tx>
          <c:val>
            <c:numRef>
              <c:f>'Task6 Pivot Table2'!$L$3:$L$1000</c:f>
              <c:numCache/>
            </c:numRef>
          </c:val>
        </c:ser>
        <c:ser>
          <c:idx val="12"/>
          <c:order val="12"/>
          <c:tx>
            <c:strRef>
              <c:f>'Task6 Pivot Table2'!$M$1:$M$2</c:f>
            </c:strRef>
          </c:tx>
          <c:val>
            <c:numRef>
              <c:f>'Task6 Pivot Table2'!$M$3:$M$1000</c:f>
              <c:numCache/>
            </c:numRef>
          </c:val>
        </c:ser>
        <c:ser>
          <c:idx val="13"/>
          <c:order val="13"/>
          <c:tx>
            <c:strRef>
              <c:f>'Task6 Pivot Table2'!$N$1:$N$2</c:f>
            </c:strRef>
          </c:tx>
          <c:val>
            <c:numRef>
              <c:f>'Task6 Pivot Table2'!$N$3:$N$1000</c:f>
              <c:numCache/>
            </c:numRef>
          </c:val>
        </c:ser>
        <c:ser>
          <c:idx val="14"/>
          <c:order val="14"/>
          <c:tx>
            <c:strRef>
              <c:f>'Task6 Pivot Table2'!$O$1:$O$2</c:f>
            </c:strRef>
          </c:tx>
          <c:val>
            <c:numRef>
              <c:f>'Task6 Pivot Table2'!$O$3:$O$1000</c:f>
              <c:numCache/>
            </c:numRef>
          </c:val>
        </c:ser>
        <c:ser>
          <c:idx val="15"/>
          <c:order val="15"/>
          <c:tx>
            <c:strRef>
              <c:f>'Task6 Pivot Table2'!$P$1:$P$2</c:f>
            </c:strRef>
          </c:tx>
          <c:val>
            <c:numRef>
              <c:f>'Task6 Pivot Table2'!$P$3:$P$1000</c:f>
              <c:numCache/>
            </c:numRef>
          </c:val>
        </c:ser>
        <c:ser>
          <c:idx val="16"/>
          <c:order val="16"/>
          <c:tx>
            <c:strRef>
              <c:f>'Task6 Pivot Table2'!$Q$1:$Q$2</c:f>
            </c:strRef>
          </c:tx>
          <c:val>
            <c:numRef>
              <c:f>'Task6 Pivot Table2'!$Q$3:$Q$1000</c:f>
              <c:numCache/>
            </c:numRef>
          </c:val>
        </c:ser>
        <c:ser>
          <c:idx val="17"/>
          <c:order val="17"/>
          <c:tx>
            <c:strRef>
              <c:f>'Task6 Pivot Table2'!$R$1:$R$2</c:f>
            </c:strRef>
          </c:tx>
          <c:val>
            <c:numRef>
              <c:f>'Task6 Pivot Table2'!$R$3:$R$1000</c:f>
              <c:numCache/>
            </c:numRef>
          </c:val>
        </c:ser>
        <c:ser>
          <c:idx val="18"/>
          <c:order val="18"/>
          <c:tx>
            <c:strRef>
              <c:f>'Task6 Pivot Table2'!$S$1:$S$2</c:f>
            </c:strRef>
          </c:tx>
          <c:val>
            <c:numRef>
              <c:f>'Task6 Pivot Table2'!$S$3:$S$1000</c:f>
              <c:numCache/>
            </c:numRef>
          </c:val>
        </c:ser>
        <c:ser>
          <c:idx val="19"/>
          <c:order val="19"/>
          <c:tx>
            <c:strRef>
              <c:f>'Task6 Pivot Table2'!$T$1:$T$2</c:f>
            </c:strRef>
          </c:tx>
          <c:val>
            <c:numRef>
              <c:f>'Task6 Pivot Table2'!$T$3:$T$1000</c:f>
              <c:numCache/>
            </c:numRef>
          </c:val>
        </c:ser>
        <c:ser>
          <c:idx val="20"/>
          <c:order val="20"/>
          <c:tx>
            <c:strRef>
              <c:f>'Task6 Pivot Table2'!$U$1:$U$2</c:f>
            </c:strRef>
          </c:tx>
          <c:val>
            <c:numRef>
              <c:f>'Task6 Pivot Table2'!$U$3:$U$1000</c:f>
              <c:numCache/>
            </c:numRef>
          </c:val>
        </c:ser>
        <c:ser>
          <c:idx val="21"/>
          <c:order val="21"/>
          <c:tx>
            <c:strRef>
              <c:f>'Task6 Pivot Table2'!$V$1:$V$2</c:f>
            </c:strRef>
          </c:tx>
          <c:val>
            <c:numRef>
              <c:f>'Task6 Pivot Table2'!$V$3:$V$1000</c:f>
              <c:numCache/>
            </c:numRef>
          </c:val>
        </c:ser>
        <c:ser>
          <c:idx val="22"/>
          <c:order val="22"/>
          <c:tx>
            <c:strRef>
              <c:f>'Task6 Pivot Table2'!$W$1:$W$2</c:f>
            </c:strRef>
          </c:tx>
          <c:val>
            <c:numRef>
              <c:f>'Task6 Pivot Table2'!$W$3:$W$1000</c:f>
              <c:numCache/>
            </c:numRef>
          </c:val>
        </c:ser>
        <c:ser>
          <c:idx val="23"/>
          <c:order val="23"/>
          <c:tx>
            <c:strRef>
              <c:f>'Task6 Pivot Table2'!$X$1:$X$2</c:f>
            </c:strRef>
          </c:tx>
          <c:val>
            <c:numRef>
              <c:f>'Task6 Pivot Table2'!$X$3:$X$1000</c:f>
              <c:numCache/>
            </c:numRef>
          </c:val>
        </c:ser>
        <c:ser>
          <c:idx val="24"/>
          <c:order val="24"/>
          <c:tx>
            <c:strRef>
              <c:f>'Task6 Pivot Table2'!$Y$1:$Y$2</c:f>
            </c:strRef>
          </c:tx>
          <c:val>
            <c:numRef>
              <c:f>'Task6 Pivot Table2'!$Y$3:$Y$1000</c:f>
              <c:numCache/>
            </c:numRef>
          </c:val>
        </c:ser>
        <c:ser>
          <c:idx val="25"/>
          <c:order val="25"/>
          <c:tx>
            <c:strRef>
              <c:f>'Task6 Pivot Table2'!$Z$1:$Z$2</c:f>
            </c:strRef>
          </c:tx>
          <c:val>
            <c:numRef>
              <c:f>'Task6 Pivot Table2'!$Z$3:$Z$1000</c:f>
              <c:numCache/>
            </c:numRef>
          </c:val>
        </c:ser>
        <c:axId val="1189994275"/>
        <c:axId val="577622279"/>
      </c:barChart>
      <c:catAx>
        <c:axId val="11899942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7622279"/>
      </c:catAx>
      <c:valAx>
        <c:axId val="5776222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9994275"/>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'Task6 Pivot Table2'!$A$1:$A$2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Lbls>
            <c:showLegendKey val="0"/>
            <c:showVal val="0"/>
            <c:showCatName val="0"/>
            <c:showSerName val="0"/>
            <c:showPercent val="0"/>
            <c:showBubbleSize val="0"/>
            <c:showLeaderLines val="1"/>
          </c:dLbls>
          <c:val>
            <c:numRef>
              <c:f>'Task6 Pivot Table2'!$A$3:$A$1000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of Growth</a:t>
            </a:r>
          </a:p>
        </c:rich>
      </c:tx>
      <c:overlay val="0"/>
    </c:title>
    <c:plotArea>
      <c:layout/>
      <c:lineChart>
        <c:varyColors val="0"/>
        <c:ser>
          <c:idx val="0"/>
          <c:order val="0"/>
          <c:spPr>
            <a:ln cmpd="sng">
              <a:solidFill>
                <a:srgbClr val="4285F4"/>
              </a:solidFill>
            </a:ln>
          </c:spPr>
          <c:marker>
            <c:symbol val="none"/>
          </c:marker>
          <c:cat>
            <c:strRef>
              <c:f>'Task6 Pivot Table2'!$G$56:$G$59</c:f>
            </c:strRef>
          </c:cat>
          <c:val>
            <c:numRef>
              <c:f>'Task6 Pivot Table2'!$H$56:$H$59</c:f>
              <c:numCache/>
            </c:numRef>
          </c:val>
          <c:smooth val="0"/>
        </c:ser>
        <c:axId val="547731755"/>
        <c:axId val="1077444119"/>
      </c:lineChart>
      <c:catAx>
        <c:axId val="547731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77444119"/>
      </c:catAx>
      <c:valAx>
        <c:axId val="1077444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7731755"/>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1114425</xdr:colOff>
      <xdr:row>7</xdr:row>
      <xdr:rowOff>57150</xdr:rowOff>
    </xdr:from>
    <xdr:ext cx="4114800" cy="2552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361950</xdr:colOff>
      <xdr:row>7</xdr:row>
      <xdr:rowOff>95250</xdr:rowOff>
    </xdr:from>
    <xdr:ext cx="3990975" cy="2466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723900</xdr:colOff>
      <xdr:row>9</xdr:row>
      <xdr:rowOff>66675</xdr:rowOff>
    </xdr:from>
    <xdr:ext cx="4848225" cy="30003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xdr:colOff>
      <xdr:row>9</xdr:row>
      <xdr:rowOff>28575</xdr:rowOff>
    </xdr:from>
    <xdr:ext cx="4933950" cy="30765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15</xdr:row>
      <xdr:rowOff>47625</xdr:rowOff>
    </xdr:from>
    <xdr:ext cx="4295775" cy="26574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523875</xdr:colOff>
      <xdr:row>14</xdr:row>
      <xdr:rowOff>114300</xdr:rowOff>
    </xdr:from>
    <xdr:ext cx="3933825" cy="25812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619125</xdr:colOff>
      <xdr:row>8</xdr:row>
      <xdr:rowOff>104775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28575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762000</xdr:colOff>
      <xdr:row>9</xdr:row>
      <xdr:rowOff>180975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95250</xdr:colOff>
      <xdr:row>9</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17</xdr:col>
      <xdr:colOff>238125</xdr:colOff>
      <xdr:row>10</xdr:row>
      <xdr:rowOff>28575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542925</xdr:colOff>
      <xdr:row>4</xdr:row>
      <xdr:rowOff>9525</xdr:rowOff>
    </xdr:from>
    <xdr:ext cx="6581775" cy="241935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485775</xdr:colOff>
      <xdr:row>17</xdr:row>
      <xdr:rowOff>171450</xdr:rowOff>
    </xdr:from>
    <xdr:ext cx="4933950" cy="3057525"/>
    <xdr:graphicFrame>
      <xdr:nvGraphicFramePr>
        <xdr:cNvPr id="13"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247650</xdr:colOff>
      <xdr:row>4</xdr:row>
      <xdr:rowOff>123825</xdr:rowOff>
    </xdr:from>
    <xdr:ext cx="4524375" cy="27908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381000</xdr:colOff>
      <xdr:row>18</xdr:row>
      <xdr:rowOff>47625</xdr:rowOff>
    </xdr:from>
    <xdr:ext cx="3438525" cy="2133600"/>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904875</xdr:colOff>
      <xdr:row>6</xdr:row>
      <xdr:rowOff>114300</xdr:rowOff>
    </xdr:from>
    <xdr:ext cx="4933950" cy="305752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9</xdr:row>
      <xdr:rowOff>142875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400050</xdr:colOff>
      <xdr:row>29</xdr:row>
      <xdr:rowOff>47625</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1028700</xdr:colOff>
      <xdr:row>62</xdr:row>
      <xdr:rowOff>85725</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3.0"/>
    <col customWidth="1" min="3" max="3" width="15.0"/>
    <col customWidth="1" min="4" max="4" width="14.63"/>
    <col customWidth="1" min="5" max="5" width="38.13"/>
    <col customWidth="1" min="6" max="6" width="9.5"/>
    <col customWidth="1" min="7" max="7" width="8.25"/>
    <col customWidth="1" min="8" max="8" width="11.5"/>
    <col customWidth="1" min="9" max="9" width="8.13"/>
    <col customWidth="1" min="10" max="10" width="14.88"/>
    <col customWidth="1" min="11" max="11" width="13.75"/>
    <col customWidth="1" min="12" max="12" width="25.75"/>
    <col customWidth="1" min="13" max="13" width="27.75"/>
    <col customWidth="1" min="14" max="14" width="22.25"/>
    <col customWidth="1" min="15" max="26" width="7.63"/>
  </cols>
  <sheetData>
    <row r="1" ht="14.25" customHeight="1">
      <c r="A1" s="1" t="s">
        <v>0</v>
      </c>
      <c r="B1" s="2" t="s">
        <v>1</v>
      </c>
      <c r="C1" s="3" t="s">
        <v>2</v>
      </c>
      <c r="D1" s="2" t="s">
        <v>3</v>
      </c>
      <c r="E1" s="2" t="s">
        <v>4</v>
      </c>
      <c r="F1" s="1" t="s">
        <v>5</v>
      </c>
      <c r="G1" s="1" t="s">
        <v>6</v>
      </c>
      <c r="H1" s="2" t="s">
        <v>7</v>
      </c>
      <c r="I1" s="2" t="s">
        <v>8</v>
      </c>
      <c r="J1" s="1" t="s">
        <v>9</v>
      </c>
      <c r="K1" s="1" t="s">
        <v>10</v>
      </c>
      <c r="L1" s="4" t="s">
        <v>11</v>
      </c>
      <c r="M1" s="1"/>
      <c r="N1" s="1"/>
    </row>
    <row r="2" ht="14.25" customHeight="1">
      <c r="A2" s="5" t="s">
        <v>12</v>
      </c>
      <c r="B2" s="5" t="s">
        <v>13</v>
      </c>
      <c r="C2" s="6">
        <v>45649.0</v>
      </c>
      <c r="D2" s="5" t="s">
        <v>14</v>
      </c>
      <c r="E2" s="5" t="s">
        <v>15</v>
      </c>
      <c r="F2" s="5">
        <v>1461.0</v>
      </c>
      <c r="G2" s="5">
        <v>184.0</v>
      </c>
      <c r="H2" s="5">
        <v>344.0</v>
      </c>
      <c r="I2" s="5">
        <v>21915.0</v>
      </c>
      <c r="J2" s="5">
        <v>21675.0</v>
      </c>
      <c r="K2" s="5">
        <v>15.0</v>
      </c>
      <c r="L2" s="7" t="s">
        <v>16</v>
      </c>
      <c r="M2" s="7" t="s">
        <v>17</v>
      </c>
      <c r="N2" s="8"/>
    </row>
    <row r="3" ht="14.25" customHeight="1">
      <c r="A3" s="5" t="s">
        <v>18</v>
      </c>
      <c r="B3" s="5" t="s">
        <v>13</v>
      </c>
      <c r="C3" s="6">
        <v>45750.0</v>
      </c>
      <c r="D3" s="5" t="s">
        <v>19</v>
      </c>
      <c r="E3" s="5" t="s">
        <v>20</v>
      </c>
      <c r="F3" s="5">
        <v>4054.0</v>
      </c>
      <c r="G3" s="5">
        <v>389.0</v>
      </c>
      <c r="H3" s="5">
        <v>493.0</v>
      </c>
      <c r="I3" s="5">
        <v>64864.0</v>
      </c>
      <c r="J3" s="5">
        <v>64383.0</v>
      </c>
      <c r="K3" s="5">
        <v>117.0</v>
      </c>
      <c r="L3" s="7" t="s">
        <v>21</v>
      </c>
      <c r="M3" s="7" t="s">
        <v>22</v>
      </c>
      <c r="N3" s="8"/>
    </row>
    <row r="4" ht="14.25" customHeight="1">
      <c r="A4" s="5" t="s">
        <v>23</v>
      </c>
      <c r="B4" s="5" t="s">
        <v>24</v>
      </c>
      <c r="C4" s="6">
        <v>45789.0</v>
      </c>
      <c r="D4" s="5" t="s">
        <v>14</v>
      </c>
      <c r="E4" s="5" t="s">
        <v>25</v>
      </c>
      <c r="F4" s="5">
        <v>2795.0</v>
      </c>
      <c r="G4" s="5">
        <v>105.0</v>
      </c>
      <c r="H4" s="5">
        <v>49.0</v>
      </c>
      <c r="I4" s="5">
        <v>53105.0</v>
      </c>
      <c r="J4" s="5">
        <v>52307.0</v>
      </c>
      <c r="K4" s="5">
        <v>204.0</v>
      </c>
      <c r="L4" s="9" t="s">
        <v>21</v>
      </c>
      <c r="M4" s="10"/>
      <c r="N4" s="10"/>
    </row>
    <row r="5" ht="14.25" customHeight="1">
      <c r="A5" s="5" t="s">
        <v>26</v>
      </c>
      <c r="B5" s="5" t="s">
        <v>27</v>
      </c>
      <c r="C5" s="6">
        <v>45516.0</v>
      </c>
      <c r="D5" s="5" t="s">
        <v>28</v>
      </c>
      <c r="E5" s="5" t="s">
        <v>29</v>
      </c>
      <c r="F5" s="5">
        <v>2404.0</v>
      </c>
      <c r="G5" s="5">
        <v>363.0</v>
      </c>
      <c r="H5" s="5">
        <v>138.0</v>
      </c>
      <c r="I5" s="5">
        <v>19232.0</v>
      </c>
      <c r="J5" s="5">
        <v>18636.0</v>
      </c>
      <c r="K5" s="5">
        <v>128.0</v>
      </c>
      <c r="L5" s="9" t="s">
        <v>30</v>
      </c>
      <c r="M5" s="10"/>
      <c r="N5" s="10"/>
    </row>
    <row r="6" ht="14.25" customHeight="1">
      <c r="A6" s="5" t="s">
        <v>31</v>
      </c>
      <c r="B6" s="5" t="s">
        <v>24</v>
      </c>
      <c r="C6" s="6">
        <v>45469.0</v>
      </c>
      <c r="D6" s="5" t="s">
        <v>14</v>
      </c>
      <c r="E6" s="5" t="s">
        <v>25</v>
      </c>
      <c r="F6" s="5">
        <v>3557.0</v>
      </c>
      <c r="G6" s="5">
        <v>687.0</v>
      </c>
      <c r="H6" s="5">
        <v>424.0</v>
      </c>
      <c r="I6" s="5">
        <v>71140.0</v>
      </c>
      <c r="J6" s="5">
        <v>70701.0</v>
      </c>
      <c r="K6" s="5">
        <v>224.0</v>
      </c>
      <c r="L6" s="7" t="s">
        <v>30</v>
      </c>
      <c r="M6" s="7" t="s">
        <v>21</v>
      </c>
      <c r="N6" s="8"/>
    </row>
    <row r="7" ht="14.25" customHeight="1">
      <c r="A7" s="5" t="s">
        <v>32</v>
      </c>
      <c r="B7" s="5" t="s">
        <v>33</v>
      </c>
      <c r="C7" s="6">
        <v>45596.0</v>
      </c>
      <c r="D7" s="5" t="s">
        <v>34</v>
      </c>
      <c r="E7" s="5" t="s">
        <v>35</v>
      </c>
      <c r="F7" s="5">
        <v>2945.0</v>
      </c>
      <c r="G7" s="5">
        <v>930.0</v>
      </c>
      <c r="H7" s="5">
        <v>355.0</v>
      </c>
      <c r="I7" s="5">
        <v>23560.0</v>
      </c>
      <c r="J7" s="5">
        <v>23275.0</v>
      </c>
      <c r="K7" s="5">
        <v>256.0</v>
      </c>
      <c r="L7" s="9" t="s">
        <v>21</v>
      </c>
      <c r="M7" s="10"/>
      <c r="N7" s="10"/>
    </row>
    <row r="8" ht="14.25" customHeight="1">
      <c r="A8" s="5" t="s">
        <v>36</v>
      </c>
      <c r="B8" s="5" t="s">
        <v>13</v>
      </c>
      <c r="C8" s="6">
        <v>45467.0</v>
      </c>
      <c r="D8" s="5" t="s">
        <v>34</v>
      </c>
      <c r="E8" s="5" t="s">
        <v>37</v>
      </c>
      <c r="F8" s="5">
        <v>3860.0</v>
      </c>
      <c r="G8" s="5">
        <v>201.0</v>
      </c>
      <c r="H8" s="5">
        <v>279.0</v>
      </c>
      <c r="I8" s="5">
        <v>61760.0</v>
      </c>
      <c r="J8" s="5">
        <v>61660.0</v>
      </c>
      <c r="K8" s="5">
        <v>235.0</v>
      </c>
      <c r="L8" s="9" t="s">
        <v>21</v>
      </c>
      <c r="M8" s="10"/>
      <c r="N8" s="10"/>
    </row>
    <row r="9" ht="14.25" customHeight="1">
      <c r="A9" s="5" t="s">
        <v>38</v>
      </c>
      <c r="B9" s="5" t="s">
        <v>24</v>
      </c>
      <c r="C9" s="6">
        <v>45486.0</v>
      </c>
      <c r="D9" s="5" t="s">
        <v>39</v>
      </c>
      <c r="E9" s="5" t="s">
        <v>40</v>
      </c>
      <c r="F9" s="5">
        <v>3929.0</v>
      </c>
      <c r="G9" s="5">
        <v>262.0</v>
      </c>
      <c r="H9" s="5">
        <v>278.0</v>
      </c>
      <c r="I9" s="5">
        <v>43219.0</v>
      </c>
      <c r="J9" s="5">
        <v>42841.0</v>
      </c>
      <c r="K9" s="5">
        <v>39.0</v>
      </c>
      <c r="L9" s="9" t="s">
        <v>30</v>
      </c>
      <c r="M9" s="10"/>
      <c r="N9" s="10"/>
    </row>
    <row r="10" ht="14.25" customHeight="1">
      <c r="A10" s="5" t="s">
        <v>41</v>
      </c>
      <c r="B10" s="5" t="s">
        <v>33</v>
      </c>
      <c r="C10" s="6">
        <v>45534.0</v>
      </c>
      <c r="D10" s="5" t="s">
        <v>19</v>
      </c>
      <c r="E10" s="5" t="s">
        <v>42</v>
      </c>
      <c r="F10" s="5">
        <v>3784.0</v>
      </c>
      <c r="G10" s="5">
        <v>808.0</v>
      </c>
      <c r="H10" s="5">
        <v>404.0</v>
      </c>
      <c r="I10" s="5">
        <v>56760.0</v>
      </c>
      <c r="J10" s="5">
        <v>56343.0</v>
      </c>
      <c r="K10" s="5">
        <v>131.0</v>
      </c>
      <c r="L10" s="9" t="s">
        <v>21</v>
      </c>
      <c r="M10" s="10"/>
      <c r="N10" s="10"/>
    </row>
    <row r="11" ht="14.25" customHeight="1">
      <c r="A11" s="5" t="s">
        <v>43</v>
      </c>
      <c r="B11" s="5" t="s">
        <v>33</v>
      </c>
      <c r="C11" s="6">
        <v>45727.0</v>
      </c>
      <c r="D11" s="5" t="s">
        <v>39</v>
      </c>
      <c r="E11" s="5" t="s">
        <v>44</v>
      </c>
      <c r="F11" s="5">
        <v>4241.0</v>
      </c>
      <c r="G11" s="5">
        <v>902.0</v>
      </c>
      <c r="H11" s="5">
        <v>47.0</v>
      </c>
      <c r="I11" s="5">
        <v>72097.0</v>
      </c>
      <c r="J11" s="5">
        <v>71598.0</v>
      </c>
      <c r="K11" s="5">
        <v>167.0</v>
      </c>
      <c r="L11" s="9" t="s">
        <v>21</v>
      </c>
      <c r="M11" s="10"/>
      <c r="N11" s="10"/>
    </row>
    <row r="12" ht="14.25" customHeight="1">
      <c r="A12" s="5" t="s">
        <v>45</v>
      </c>
      <c r="B12" s="5" t="s">
        <v>27</v>
      </c>
      <c r="C12" s="6">
        <v>45690.0</v>
      </c>
      <c r="D12" s="5" t="s">
        <v>28</v>
      </c>
      <c r="E12" s="5" t="s">
        <v>29</v>
      </c>
      <c r="F12" s="5">
        <v>1792.0</v>
      </c>
      <c r="G12" s="5">
        <v>614.0</v>
      </c>
      <c r="H12" s="5">
        <v>497.0</v>
      </c>
      <c r="I12" s="5">
        <v>25088.0</v>
      </c>
      <c r="J12" s="5">
        <v>24675.0</v>
      </c>
      <c r="K12" s="5">
        <v>65.0</v>
      </c>
      <c r="L12" s="9" t="s">
        <v>16</v>
      </c>
      <c r="M12" s="10"/>
      <c r="N12" s="10"/>
    </row>
    <row r="13" ht="14.25" customHeight="1">
      <c r="A13" s="5" t="s">
        <v>46</v>
      </c>
      <c r="B13" s="5" t="s">
        <v>33</v>
      </c>
      <c r="C13" s="6">
        <v>45494.0</v>
      </c>
      <c r="D13" s="5" t="s">
        <v>14</v>
      </c>
      <c r="E13" s="5" t="s">
        <v>47</v>
      </c>
      <c r="F13" s="5">
        <v>1946.0</v>
      </c>
      <c r="G13" s="5">
        <v>686.0</v>
      </c>
      <c r="H13" s="5">
        <v>377.0</v>
      </c>
      <c r="I13" s="5">
        <v>23352.0</v>
      </c>
      <c r="J13" s="5">
        <v>22982.0</v>
      </c>
      <c r="K13" s="5">
        <v>213.0</v>
      </c>
      <c r="L13" s="9" t="s">
        <v>16</v>
      </c>
      <c r="M13" s="10"/>
      <c r="N13" s="10"/>
    </row>
    <row r="14" ht="14.25" customHeight="1">
      <c r="A14" s="5" t="s">
        <v>48</v>
      </c>
      <c r="B14" s="5" t="s">
        <v>24</v>
      </c>
      <c r="C14" s="6">
        <v>45614.0</v>
      </c>
      <c r="D14" s="5" t="s">
        <v>34</v>
      </c>
      <c r="E14" s="5" t="s">
        <v>49</v>
      </c>
      <c r="F14" s="5">
        <v>1171.0</v>
      </c>
      <c r="G14" s="5">
        <v>286.0</v>
      </c>
      <c r="H14" s="5">
        <v>231.0</v>
      </c>
      <c r="I14" s="5">
        <v>22249.0</v>
      </c>
      <c r="J14" s="5">
        <v>21282.0</v>
      </c>
      <c r="K14" s="5">
        <v>114.0</v>
      </c>
      <c r="L14" s="9" t="s">
        <v>30</v>
      </c>
      <c r="M14" s="10"/>
      <c r="N14" s="10"/>
    </row>
    <row r="15" ht="14.25" customHeight="1">
      <c r="A15" s="5" t="s">
        <v>50</v>
      </c>
      <c r="B15" s="5" t="s">
        <v>33</v>
      </c>
      <c r="C15" s="6">
        <v>45704.0</v>
      </c>
      <c r="D15" s="5" t="s">
        <v>28</v>
      </c>
      <c r="E15" s="5" t="s">
        <v>51</v>
      </c>
      <c r="F15" s="5">
        <v>4242.0</v>
      </c>
      <c r="G15" s="5">
        <v>555.0</v>
      </c>
      <c r="H15" s="5">
        <v>131.0</v>
      </c>
      <c r="I15" s="5">
        <v>33936.0</v>
      </c>
      <c r="J15" s="5">
        <v>33802.0</v>
      </c>
      <c r="K15" s="5">
        <v>265.0</v>
      </c>
      <c r="L15" s="9" t="s">
        <v>16</v>
      </c>
      <c r="M15" s="10"/>
      <c r="N15" s="10"/>
    </row>
    <row r="16" ht="14.25" customHeight="1">
      <c r="A16" s="5" t="s">
        <v>52</v>
      </c>
      <c r="B16" s="5" t="s">
        <v>33</v>
      </c>
      <c r="C16" s="6">
        <v>45589.0</v>
      </c>
      <c r="D16" s="5" t="s">
        <v>53</v>
      </c>
      <c r="E16" s="5" t="s">
        <v>54</v>
      </c>
      <c r="F16" s="5">
        <v>3888.0</v>
      </c>
      <c r="G16" s="5">
        <v>604.0</v>
      </c>
      <c r="H16" s="5">
        <v>128.0</v>
      </c>
      <c r="I16" s="5">
        <v>77760.0</v>
      </c>
      <c r="J16" s="5">
        <v>77167.0</v>
      </c>
      <c r="K16" s="5">
        <v>20.0</v>
      </c>
      <c r="L16" s="9" t="s">
        <v>16</v>
      </c>
      <c r="M16" s="10"/>
      <c r="N16" s="10"/>
    </row>
    <row r="17" ht="14.25" customHeight="1">
      <c r="A17" s="5" t="s">
        <v>55</v>
      </c>
      <c r="B17" s="5" t="s">
        <v>33</v>
      </c>
      <c r="C17" s="6">
        <v>45530.0</v>
      </c>
      <c r="D17" s="5" t="s">
        <v>19</v>
      </c>
      <c r="E17" s="5" t="s">
        <v>42</v>
      </c>
      <c r="F17" s="5">
        <v>3452.0</v>
      </c>
      <c r="G17" s="5">
        <v>377.0</v>
      </c>
      <c r="H17" s="5">
        <v>360.0</v>
      </c>
      <c r="I17" s="5">
        <v>55232.0</v>
      </c>
      <c r="J17" s="5">
        <v>55075.0</v>
      </c>
      <c r="K17" s="5">
        <v>87.0</v>
      </c>
      <c r="L17" s="9" t="s">
        <v>16</v>
      </c>
      <c r="M17" s="10"/>
      <c r="N17" s="10"/>
    </row>
    <row r="18" ht="14.25" customHeight="1">
      <c r="A18" s="5" t="s">
        <v>56</v>
      </c>
      <c r="B18" s="5" t="s">
        <v>33</v>
      </c>
      <c r="C18" s="6">
        <v>45782.0</v>
      </c>
      <c r="D18" s="5" t="s">
        <v>19</v>
      </c>
      <c r="E18" s="5" t="s">
        <v>42</v>
      </c>
      <c r="F18" s="5">
        <v>4441.0</v>
      </c>
      <c r="G18" s="5">
        <v>511.0</v>
      </c>
      <c r="H18" s="5">
        <v>70.0</v>
      </c>
      <c r="I18" s="5">
        <v>53292.0</v>
      </c>
      <c r="J18" s="5">
        <v>53082.0</v>
      </c>
      <c r="K18" s="5">
        <v>159.0</v>
      </c>
      <c r="L18" s="9" t="s">
        <v>30</v>
      </c>
      <c r="M18" s="10"/>
      <c r="N18" s="10"/>
    </row>
    <row r="19" ht="14.25" customHeight="1">
      <c r="A19" s="5" t="s">
        <v>57</v>
      </c>
      <c r="B19" s="5" t="s">
        <v>27</v>
      </c>
      <c r="C19" s="6">
        <v>45523.0</v>
      </c>
      <c r="D19" s="5" t="s">
        <v>14</v>
      </c>
      <c r="E19" s="5" t="s">
        <v>58</v>
      </c>
      <c r="F19" s="5">
        <v>3000.0</v>
      </c>
      <c r="G19" s="5">
        <v>382.0</v>
      </c>
      <c r="H19" s="5">
        <v>325.0</v>
      </c>
      <c r="I19" s="5">
        <v>36000.0</v>
      </c>
      <c r="J19" s="5">
        <v>35819.0</v>
      </c>
      <c r="K19" s="5">
        <v>19.0</v>
      </c>
      <c r="L19" s="9" t="s">
        <v>16</v>
      </c>
      <c r="M19" s="10"/>
      <c r="N19" s="10"/>
    </row>
    <row r="20" ht="14.25" customHeight="1">
      <c r="A20" s="5" t="s">
        <v>59</v>
      </c>
      <c r="B20" s="5" t="s">
        <v>27</v>
      </c>
      <c r="C20" s="6">
        <v>45466.0</v>
      </c>
      <c r="D20" s="5" t="s">
        <v>53</v>
      </c>
      <c r="E20" s="5" t="s">
        <v>60</v>
      </c>
      <c r="F20" s="5">
        <v>1071.0</v>
      </c>
      <c r="G20" s="5">
        <v>519.0</v>
      </c>
      <c r="H20" s="5">
        <v>22.0</v>
      </c>
      <c r="I20" s="5">
        <v>16065.0</v>
      </c>
      <c r="J20" s="5">
        <v>15865.0</v>
      </c>
      <c r="K20" s="5">
        <v>103.0</v>
      </c>
      <c r="L20" s="9" t="s">
        <v>21</v>
      </c>
      <c r="M20" s="10"/>
      <c r="N20" s="10"/>
    </row>
    <row r="21" ht="14.25" customHeight="1">
      <c r="A21" s="5" t="s">
        <v>61</v>
      </c>
      <c r="B21" s="5" t="s">
        <v>27</v>
      </c>
      <c r="C21" s="6">
        <v>45544.0</v>
      </c>
      <c r="D21" s="5" t="s">
        <v>34</v>
      </c>
      <c r="E21" s="5" t="s">
        <v>62</v>
      </c>
      <c r="F21" s="5">
        <v>4054.0</v>
      </c>
      <c r="G21" s="5">
        <v>488.0</v>
      </c>
      <c r="H21" s="5">
        <v>373.0</v>
      </c>
      <c r="I21" s="5">
        <v>77026.0</v>
      </c>
      <c r="J21" s="5">
        <v>76881.0</v>
      </c>
      <c r="K21" s="5">
        <v>25.0</v>
      </c>
      <c r="L21" s="9" t="s">
        <v>21</v>
      </c>
      <c r="M21" s="10"/>
      <c r="N21" s="10"/>
    </row>
    <row r="22" ht="14.25" customHeight="1">
      <c r="A22" s="5" t="s">
        <v>63</v>
      </c>
      <c r="B22" s="5" t="s">
        <v>27</v>
      </c>
      <c r="C22" s="6">
        <v>45661.0</v>
      </c>
      <c r="D22" s="5" t="s">
        <v>14</v>
      </c>
      <c r="E22" s="5" t="s">
        <v>58</v>
      </c>
      <c r="F22" s="5">
        <v>4838.0</v>
      </c>
      <c r="G22" s="5">
        <v>640.0</v>
      </c>
      <c r="H22" s="5">
        <v>128.0</v>
      </c>
      <c r="I22" s="5">
        <v>72570.0</v>
      </c>
      <c r="J22" s="5">
        <v>72396.0</v>
      </c>
      <c r="K22" s="5">
        <v>83.0</v>
      </c>
      <c r="L22" s="9" t="s">
        <v>16</v>
      </c>
      <c r="M22" s="10"/>
      <c r="N22" s="10"/>
    </row>
    <row r="23" ht="14.25" customHeight="1">
      <c r="A23" s="5" t="s">
        <v>64</v>
      </c>
      <c r="B23" s="5" t="s">
        <v>33</v>
      </c>
      <c r="C23" s="6">
        <v>45715.0</v>
      </c>
      <c r="D23" s="5" t="s">
        <v>19</v>
      </c>
      <c r="E23" s="5" t="s">
        <v>42</v>
      </c>
      <c r="F23" s="5">
        <v>1570.0</v>
      </c>
      <c r="G23" s="5">
        <v>187.0</v>
      </c>
      <c r="H23" s="5">
        <v>260.0</v>
      </c>
      <c r="I23" s="5">
        <v>25120.0</v>
      </c>
      <c r="J23" s="5">
        <v>24613.0</v>
      </c>
      <c r="K23" s="5">
        <v>133.0</v>
      </c>
      <c r="L23" s="9" t="s">
        <v>21</v>
      </c>
      <c r="M23" s="10"/>
      <c r="N23" s="10"/>
    </row>
    <row r="24" ht="14.25" customHeight="1">
      <c r="A24" s="5" t="s">
        <v>65</v>
      </c>
      <c r="B24" s="5" t="s">
        <v>33</v>
      </c>
      <c r="C24" s="6">
        <v>45602.0</v>
      </c>
      <c r="D24" s="5" t="s">
        <v>53</v>
      </c>
      <c r="E24" s="5" t="s">
        <v>54</v>
      </c>
      <c r="F24" s="5">
        <v>1606.0</v>
      </c>
      <c r="G24" s="5">
        <v>547.0</v>
      </c>
      <c r="H24" s="5">
        <v>316.0</v>
      </c>
      <c r="I24" s="5">
        <v>32120.0</v>
      </c>
      <c r="J24" s="5">
        <v>31736.0</v>
      </c>
      <c r="K24" s="5">
        <v>225.0</v>
      </c>
      <c r="L24" s="7" t="s">
        <v>21</v>
      </c>
      <c r="M24" s="7" t="s">
        <v>17</v>
      </c>
      <c r="N24" s="8"/>
    </row>
    <row r="25" ht="14.25" customHeight="1">
      <c r="A25" s="5" t="s">
        <v>66</v>
      </c>
      <c r="B25" s="5" t="s">
        <v>33</v>
      </c>
      <c r="C25" s="6">
        <v>45680.0</v>
      </c>
      <c r="D25" s="5" t="s">
        <v>53</v>
      </c>
      <c r="E25" s="5" t="s">
        <v>54</v>
      </c>
      <c r="F25" s="5">
        <v>3961.0</v>
      </c>
      <c r="G25" s="5">
        <v>761.0</v>
      </c>
      <c r="H25" s="5">
        <v>131.0</v>
      </c>
      <c r="I25" s="5">
        <v>67337.0</v>
      </c>
      <c r="J25" s="5">
        <v>66615.0</v>
      </c>
      <c r="K25" s="5">
        <v>161.0</v>
      </c>
      <c r="L25" s="9" t="s">
        <v>16</v>
      </c>
      <c r="M25" s="10"/>
      <c r="N25" s="10"/>
    </row>
    <row r="26" ht="14.25" customHeight="1">
      <c r="A26" s="5" t="s">
        <v>67</v>
      </c>
      <c r="B26" s="5" t="s">
        <v>13</v>
      </c>
      <c r="C26" s="6">
        <v>45757.0</v>
      </c>
      <c r="D26" s="5" t="s">
        <v>34</v>
      </c>
      <c r="E26" s="5" t="s">
        <v>37</v>
      </c>
      <c r="F26" s="5">
        <v>3128.0</v>
      </c>
      <c r="G26" s="5">
        <v>211.0</v>
      </c>
      <c r="H26" s="5">
        <v>197.0</v>
      </c>
      <c r="I26" s="5">
        <v>59432.0</v>
      </c>
      <c r="J26" s="5">
        <v>59182.0</v>
      </c>
      <c r="K26" s="5">
        <v>238.0</v>
      </c>
      <c r="L26" s="9" t="s">
        <v>30</v>
      </c>
      <c r="M26" s="10"/>
      <c r="N26" s="10"/>
    </row>
    <row r="27" ht="14.25" customHeight="1">
      <c r="A27" s="5" t="s">
        <v>68</v>
      </c>
      <c r="B27" s="5" t="s">
        <v>24</v>
      </c>
      <c r="C27" s="6">
        <v>45752.0</v>
      </c>
      <c r="D27" s="5" t="s">
        <v>14</v>
      </c>
      <c r="E27" s="5" t="s">
        <v>25</v>
      </c>
      <c r="F27" s="5">
        <v>3009.0</v>
      </c>
      <c r="G27" s="5">
        <v>413.0</v>
      </c>
      <c r="H27" s="5">
        <v>358.0</v>
      </c>
      <c r="I27" s="5">
        <v>42126.0</v>
      </c>
      <c r="J27" s="5">
        <v>41309.0</v>
      </c>
      <c r="K27" s="5">
        <v>211.0</v>
      </c>
      <c r="L27" s="9" t="s">
        <v>16</v>
      </c>
      <c r="M27" s="10"/>
      <c r="N27" s="10"/>
    </row>
    <row r="28" ht="14.25" customHeight="1">
      <c r="A28" s="5" t="s">
        <v>69</v>
      </c>
      <c r="B28" s="5" t="s">
        <v>24</v>
      </c>
      <c r="C28" s="6">
        <v>45552.0</v>
      </c>
      <c r="D28" s="5" t="s">
        <v>19</v>
      </c>
      <c r="E28" s="5" t="s">
        <v>70</v>
      </c>
      <c r="F28" s="5">
        <v>2076.0</v>
      </c>
      <c r="G28" s="5">
        <v>195.0</v>
      </c>
      <c r="H28" s="5">
        <v>104.0</v>
      </c>
      <c r="I28" s="5">
        <v>33216.0</v>
      </c>
      <c r="J28" s="5">
        <v>32244.0</v>
      </c>
      <c r="K28" s="5">
        <v>51.0</v>
      </c>
      <c r="L28" s="9" t="s">
        <v>16</v>
      </c>
      <c r="M28" s="10"/>
      <c r="N28" s="10"/>
    </row>
    <row r="29" ht="14.25" customHeight="1">
      <c r="A29" s="5" t="s">
        <v>71</v>
      </c>
      <c r="B29" s="5" t="s">
        <v>27</v>
      </c>
      <c r="C29" s="6">
        <v>45720.0</v>
      </c>
      <c r="D29" s="5" t="s">
        <v>53</v>
      </c>
      <c r="E29" s="5" t="s">
        <v>60</v>
      </c>
      <c r="F29" s="5">
        <v>432.0</v>
      </c>
      <c r="G29" s="5">
        <v>624.0</v>
      </c>
      <c r="H29" s="5">
        <v>123.0</v>
      </c>
      <c r="I29" s="5">
        <v>6912.0</v>
      </c>
      <c r="J29" s="5">
        <v>6259.0</v>
      </c>
      <c r="K29" s="5">
        <v>79.0</v>
      </c>
      <c r="L29" s="9" t="s">
        <v>16</v>
      </c>
      <c r="M29" s="10"/>
      <c r="N29" s="10"/>
    </row>
    <row r="30" ht="14.25" customHeight="1">
      <c r="A30" s="5" t="s">
        <v>72</v>
      </c>
      <c r="B30" s="5" t="s">
        <v>27</v>
      </c>
      <c r="C30" s="6">
        <v>45688.0</v>
      </c>
      <c r="D30" s="5" t="s">
        <v>34</v>
      </c>
      <c r="E30" s="5" t="s">
        <v>62</v>
      </c>
      <c r="F30" s="5">
        <v>2566.0</v>
      </c>
      <c r="G30" s="5">
        <v>118.0</v>
      </c>
      <c r="H30" s="5">
        <v>37.0</v>
      </c>
      <c r="I30" s="5">
        <v>12830.0</v>
      </c>
      <c r="J30" s="5">
        <v>12264.0</v>
      </c>
      <c r="K30" s="5">
        <v>221.0</v>
      </c>
      <c r="L30" s="9" t="s">
        <v>16</v>
      </c>
      <c r="M30" s="10"/>
      <c r="N30" s="10"/>
    </row>
    <row r="31" ht="14.25" customHeight="1">
      <c r="A31" s="5" t="s">
        <v>73</v>
      </c>
      <c r="B31" s="5" t="s">
        <v>27</v>
      </c>
      <c r="C31" s="6">
        <v>45713.0</v>
      </c>
      <c r="D31" s="5" t="s">
        <v>53</v>
      </c>
      <c r="E31" s="5" t="s">
        <v>60</v>
      </c>
      <c r="F31" s="5">
        <v>3095.0</v>
      </c>
      <c r="G31" s="5">
        <v>39.0</v>
      </c>
      <c r="H31" s="5">
        <v>78.0</v>
      </c>
      <c r="I31" s="5">
        <v>55710.0</v>
      </c>
      <c r="J31" s="5">
        <v>54808.0</v>
      </c>
      <c r="K31" s="5">
        <v>93.0</v>
      </c>
      <c r="L31" s="9" t="s">
        <v>30</v>
      </c>
      <c r="M31" s="10"/>
      <c r="N31" s="10"/>
    </row>
    <row r="32" ht="14.25" customHeight="1">
      <c r="A32" s="5" t="s">
        <v>74</v>
      </c>
      <c r="B32" s="5" t="s">
        <v>27</v>
      </c>
      <c r="C32" s="6">
        <v>45642.0</v>
      </c>
      <c r="D32" s="5" t="s">
        <v>19</v>
      </c>
      <c r="E32" s="5" t="s">
        <v>75</v>
      </c>
      <c r="F32" s="5">
        <v>438.0</v>
      </c>
      <c r="G32" s="5">
        <v>153.0</v>
      </c>
      <c r="H32" s="5">
        <v>275.0</v>
      </c>
      <c r="I32" s="5">
        <v>3066.0</v>
      </c>
      <c r="J32" s="5">
        <v>2701.0</v>
      </c>
      <c r="K32" s="5">
        <v>282.0</v>
      </c>
      <c r="L32" s="9" t="s">
        <v>21</v>
      </c>
      <c r="M32" s="10"/>
      <c r="N32" s="10"/>
    </row>
    <row r="33" ht="14.25" customHeight="1">
      <c r="A33" s="5" t="s">
        <v>76</v>
      </c>
      <c r="B33" s="5" t="s">
        <v>13</v>
      </c>
      <c r="C33" s="6">
        <v>45504.0</v>
      </c>
      <c r="D33" s="5" t="s">
        <v>34</v>
      </c>
      <c r="E33" s="5" t="s">
        <v>37</v>
      </c>
      <c r="F33" s="5">
        <v>2278.0</v>
      </c>
      <c r="G33" s="5">
        <v>10.0</v>
      </c>
      <c r="H33" s="5">
        <v>321.0</v>
      </c>
      <c r="I33" s="5">
        <v>13668.0</v>
      </c>
      <c r="J33" s="5">
        <v>12676.0</v>
      </c>
      <c r="K33" s="5">
        <v>275.0</v>
      </c>
      <c r="L33" s="9" t="s">
        <v>30</v>
      </c>
      <c r="M33" s="10"/>
      <c r="N33" s="10"/>
    </row>
    <row r="34" ht="14.25" customHeight="1">
      <c r="A34" s="5" t="s">
        <v>77</v>
      </c>
      <c r="B34" s="5" t="s">
        <v>33</v>
      </c>
      <c r="C34" s="6">
        <v>45525.0</v>
      </c>
      <c r="D34" s="5" t="s">
        <v>39</v>
      </c>
      <c r="E34" s="5" t="s">
        <v>44</v>
      </c>
      <c r="F34" s="5">
        <v>1407.0</v>
      </c>
      <c r="G34" s="5">
        <v>400.0</v>
      </c>
      <c r="H34" s="5">
        <v>351.0</v>
      </c>
      <c r="I34" s="5">
        <v>16884.0</v>
      </c>
      <c r="J34" s="5">
        <v>15954.0</v>
      </c>
      <c r="K34" s="5">
        <v>113.0</v>
      </c>
      <c r="L34" s="9" t="s">
        <v>21</v>
      </c>
      <c r="M34" s="10"/>
      <c r="N34" s="10"/>
    </row>
    <row r="35" ht="14.25" customHeight="1">
      <c r="A35" s="5" t="s">
        <v>78</v>
      </c>
      <c r="B35" s="5" t="s">
        <v>33</v>
      </c>
      <c r="C35" s="6">
        <v>45742.0</v>
      </c>
      <c r="D35" s="5" t="s">
        <v>19</v>
      </c>
      <c r="E35" s="5" t="s">
        <v>42</v>
      </c>
      <c r="F35" s="5">
        <v>1652.0</v>
      </c>
      <c r="G35" s="5">
        <v>89.0</v>
      </c>
      <c r="H35" s="5">
        <v>357.0</v>
      </c>
      <c r="I35" s="5">
        <v>29736.0</v>
      </c>
      <c r="J35" s="5">
        <v>28771.0</v>
      </c>
      <c r="K35" s="5">
        <v>215.0</v>
      </c>
      <c r="L35" s="9" t="s">
        <v>21</v>
      </c>
      <c r="M35" s="10"/>
      <c r="N35" s="10"/>
    </row>
    <row r="36" ht="14.25" customHeight="1">
      <c r="A36" s="5" t="s">
        <v>79</v>
      </c>
      <c r="B36" s="5" t="s">
        <v>27</v>
      </c>
      <c r="C36" s="6">
        <v>45626.0</v>
      </c>
      <c r="D36" s="5" t="s">
        <v>53</v>
      </c>
      <c r="E36" s="5" t="s">
        <v>60</v>
      </c>
      <c r="F36" s="5">
        <v>3775.0</v>
      </c>
      <c r="G36" s="5">
        <v>16.0</v>
      </c>
      <c r="H36" s="5">
        <v>239.0</v>
      </c>
      <c r="I36" s="5">
        <v>33975.0</v>
      </c>
      <c r="J36" s="5">
        <v>33310.0</v>
      </c>
      <c r="K36" s="5">
        <v>271.0</v>
      </c>
      <c r="L36" s="9" t="s">
        <v>16</v>
      </c>
      <c r="M36" s="10"/>
      <c r="N36" s="10"/>
    </row>
    <row r="37" ht="14.25" customHeight="1">
      <c r="A37" s="5" t="s">
        <v>80</v>
      </c>
      <c r="B37" s="5" t="s">
        <v>27</v>
      </c>
      <c r="C37" s="6">
        <v>45766.0</v>
      </c>
      <c r="D37" s="5" t="s">
        <v>28</v>
      </c>
      <c r="E37" s="5" t="s">
        <v>29</v>
      </c>
      <c r="F37" s="5">
        <v>4518.0</v>
      </c>
      <c r="G37" s="5">
        <v>285.0</v>
      </c>
      <c r="H37" s="5">
        <v>383.0</v>
      </c>
      <c r="I37" s="5">
        <v>67770.0</v>
      </c>
      <c r="J37" s="5">
        <v>67621.0</v>
      </c>
      <c r="K37" s="5">
        <v>31.0</v>
      </c>
      <c r="L37" s="9" t="s">
        <v>30</v>
      </c>
      <c r="M37" s="10"/>
      <c r="N37" s="10"/>
    </row>
    <row r="38" ht="14.25" customHeight="1">
      <c r="A38" s="5" t="s">
        <v>81</v>
      </c>
      <c r="B38" s="5" t="s">
        <v>33</v>
      </c>
      <c r="C38" s="6">
        <v>45663.0</v>
      </c>
      <c r="D38" s="5" t="s">
        <v>34</v>
      </c>
      <c r="E38" s="5" t="s">
        <v>35</v>
      </c>
      <c r="F38" s="5">
        <v>3024.0</v>
      </c>
      <c r="G38" s="5">
        <v>925.0</v>
      </c>
      <c r="H38" s="5">
        <v>350.0</v>
      </c>
      <c r="I38" s="5">
        <v>24192.0</v>
      </c>
      <c r="J38" s="5">
        <v>23518.0</v>
      </c>
      <c r="K38" s="5">
        <v>36.0</v>
      </c>
      <c r="L38" s="9" t="s">
        <v>30</v>
      </c>
      <c r="M38" s="10"/>
      <c r="N38" s="10"/>
    </row>
    <row r="39" ht="14.25" customHeight="1">
      <c r="A39" s="5" t="s">
        <v>82</v>
      </c>
      <c r="B39" s="5" t="s">
        <v>24</v>
      </c>
      <c r="C39" s="6">
        <v>45705.0</v>
      </c>
      <c r="D39" s="5" t="s">
        <v>14</v>
      </c>
      <c r="E39" s="5" t="s">
        <v>25</v>
      </c>
      <c r="F39" s="5">
        <v>3138.0</v>
      </c>
      <c r="G39" s="5">
        <v>123.0</v>
      </c>
      <c r="H39" s="5">
        <v>291.0</v>
      </c>
      <c r="I39" s="5">
        <v>28242.0</v>
      </c>
      <c r="J39" s="5">
        <v>27550.0</v>
      </c>
      <c r="K39" s="5">
        <v>87.0</v>
      </c>
      <c r="L39" s="9" t="s">
        <v>21</v>
      </c>
      <c r="M39" s="10"/>
      <c r="N39" s="10"/>
    </row>
    <row r="40" ht="14.25" customHeight="1">
      <c r="A40" s="5" t="s">
        <v>83</v>
      </c>
      <c r="B40" s="5" t="s">
        <v>33</v>
      </c>
      <c r="C40" s="6">
        <v>45621.0</v>
      </c>
      <c r="D40" s="5" t="s">
        <v>39</v>
      </c>
      <c r="E40" s="5" t="s">
        <v>44</v>
      </c>
      <c r="F40" s="5">
        <v>3564.0</v>
      </c>
      <c r="G40" s="5">
        <v>629.0</v>
      </c>
      <c r="H40" s="5">
        <v>177.0</v>
      </c>
      <c r="I40" s="5">
        <v>60588.0</v>
      </c>
      <c r="J40" s="5">
        <v>59627.0</v>
      </c>
      <c r="K40" s="5">
        <v>92.0</v>
      </c>
      <c r="L40" s="9" t="s">
        <v>21</v>
      </c>
      <c r="M40" s="10"/>
      <c r="N40" s="10"/>
    </row>
    <row r="41" ht="14.25" customHeight="1">
      <c r="A41" s="5" t="s">
        <v>84</v>
      </c>
      <c r="B41" s="5" t="s">
        <v>13</v>
      </c>
      <c r="C41" s="6">
        <v>45723.0</v>
      </c>
      <c r="D41" s="5" t="s">
        <v>39</v>
      </c>
      <c r="E41" s="5" t="s">
        <v>85</v>
      </c>
      <c r="F41" s="5">
        <v>4750.0</v>
      </c>
      <c r="G41" s="5">
        <v>151.0</v>
      </c>
      <c r="H41" s="5">
        <v>415.0</v>
      </c>
      <c r="I41" s="5">
        <v>38000.0</v>
      </c>
      <c r="J41" s="5">
        <v>37792.0</v>
      </c>
      <c r="K41" s="5">
        <v>299.0</v>
      </c>
      <c r="L41" s="9" t="s">
        <v>30</v>
      </c>
      <c r="M41" s="10"/>
      <c r="N41" s="10"/>
    </row>
    <row r="42" ht="14.25" customHeight="1">
      <c r="A42" s="5" t="s">
        <v>86</v>
      </c>
      <c r="B42" s="5" t="s">
        <v>27</v>
      </c>
      <c r="C42" s="6">
        <v>45724.0</v>
      </c>
      <c r="D42" s="5" t="s">
        <v>14</v>
      </c>
      <c r="E42" s="5" t="s">
        <v>58</v>
      </c>
      <c r="F42" s="5">
        <v>456.0</v>
      </c>
      <c r="G42" s="5">
        <v>629.0</v>
      </c>
      <c r="H42" s="5">
        <v>428.0</v>
      </c>
      <c r="I42" s="5">
        <v>8208.0</v>
      </c>
      <c r="J42" s="5">
        <v>7377.0</v>
      </c>
      <c r="K42" s="5">
        <v>205.0</v>
      </c>
      <c r="L42" s="9" t="s">
        <v>16</v>
      </c>
      <c r="M42" s="10"/>
      <c r="N42" s="10"/>
    </row>
    <row r="43" ht="14.25" customHeight="1">
      <c r="A43" s="5" t="s">
        <v>87</v>
      </c>
      <c r="B43" s="5" t="s">
        <v>24</v>
      </c>
      <c r="C43" s="6">
        <v>45721.0</v>
      </c>
      <c r="D43" s="5" t="s">
        <v>14</v>
      </c>
      <c r="E43" s="5" t="s">
        <v>25</v>
      </c>
      <c r="F43" s="5">
        <v>1543.0</v>
      </c>
      <c r="G43" s="5">
        <v>820.0</v>
      </c>
      <c r="H43" s="5">
        <v>333.0</v>
      </c>
      <c r="I43" s="5">
        <v>12344.0</v>
      </c>
      <c r="J43" s="5">
        <v>11496.0</v>
      </c>
      <c r="K43" s="5">
        <v>241.0</v>
      </c>
      <c r="L43" s="9" t="s">
        <v>30</v>
      </c>
      <c r="M43" s="10"/>
      <c r="N43" s="10"/>
    </row>
    <row r="44" ht="14.25" customHeight="1">
      <c r="A44" s="5" t="s">
        <v>88</v>
      </c>
      <c r="B44" s="5" t="s">
        <v>27</v>
      </c>
      <c r="C44" s="6">
        <v>45640.0</v>
      </c>
      <c r="D44" s="5" t="s">
        <v>34</v>
      </c>
      <c r="E44" s="5" t="s">
        <v>62</v>
      </c>
      <c r="F44" s="5">
        <v>2174.0</v>
      </c>
      <c r="G44" s="5">
        <v>658.0</v>
      </c>
      <c r="H44" s="5">
        <v>15.0</v>
      </c>
      <c r="I44" s="5">
        <v>13044.0</v>
      </c>
      <c r="J44" s="5">
        <v>12206.0</v>
      </c>
      <c r="K44" s="5">
        <v>137.0</v>
      </c>
      <c r="L44" s="9" t="s">
        <v>21</v>
      </c>
      <c r="M44" s="10"/>
      <c r="N44" s="10"/>
    </row>
    <row r="45" ht="14.25" customHeight="1">
      <c r="A45" s="5" t="s">
        <v>89</v>
      </c>
      <c r="B45" s="5" t="s">
        <v>13</v>
      </c>
      <c r="C45" s="6">
        <v>45718.0</v>
      </c>
      <c r="D45" s="5" t="s">
        <v>39</v>
      </c>
      <c r="E45" s="5" t="s">
        <v>85</v>
      </c>
      <c r="F45" s="5">
        <v>2358.0</v>
      </c>
      <c r="G45" s="5">
        <v>784.0</v>
      </c>
      <c r="H45" s="5">
        <v>344.0</v>
      </c>
      <c r="I45" s="5">
        <v>35370.0</v>
      </c>
      <c r="J45" s="5">
        <v>34475.0</v>
      </c>
      <c r="K45" s="5">
        <v>216.0</v>
      </c>
      <c r="L45" s="9" t="s">
        <v>21</v>
      </c>
      <c r="M45" s="10"/>
      <c r="N45" s="10"/>
    </row>
    <row r="46" ht="14.25" customHeight="1">
      <c r="A46" s="5" t="s">
        <v>90</v>
      </c>
      <c r="B46" s="5" t="s">
        <v>33</v>
      </c>
      <c r="C46" s="6">
        <v>45597.0</v>
      </c>
      <c r="D46" s="5" t="s">
        <v>53</v>
      </c>
      <c r="E46" s="5" t="s">
        <v>54</v>
      </c>
      <c r="F46" s="5">
        <v>3371.0</v>
      </c>
      <c r="G46" s="5">
        <v>106.0</v>
      </c>
      <c r="H46" s="5">
        <v>327.0</v>
      </c>
      <c r="I46" s="5">
        <v>50565.0</v>
      </c>
      <c r="J46" s="5">
        <v>49816.0</v>
      </c>
      <c r="K46" s="5">
        <v>176.0</v>
      </c>
      <c r="L46" s="9" t="s">
        <v>16</v>
      </c>
      <c r="M46" s="10"/>
      <c r="N46" s="10"/>
    </row>
    <row r="47" ht="14.25" customHeight="1">
      <c r="A47" s="5" t="s">
        <v>91</v>
      </c>
      <c r="B47" s="5" t="s">
        <v>13</v>
      </c>
      <c r="C47" s="6">
        <v>45779.0</v>
      </c>
      <c r="D47" s="5" t="s">
        <v>53</v>
      </c>
      <c r="E47" s="5" t="s">
        <v>92</v>
      </c>
      <c r="F47" s="5">
        <v>1108.0</v>
      </c>
      <c r="G47" s="5">
        <v>177.0</v>
      </c>
      <c r="H47" s="5">
        <v>212.0</v>
      </c>
      <c r="I47" s="5">
        <v>8864.0</v>
      </c>
      <c r="J47" s="5">
        <v>8710.0</v>
      </c>
      <c r="K47" s="5">
        <v>97.0</v>
      </c>
      <c r="L47" s="9" t="s">
        <v>21</v>
      </c>
      <c r="M47" s="10"/>
      <c r="N47" s="10"/>
    </row>
    <row r="48" ht="14.25" customHeight="1">
      <c r="A48" s="5" t="s">
        <v>93</v>
      </c>
      <c r="B48" s="5" t="s">
        <v>13</v>
      </c>
      <c r="C48" s="6">
        <v>45712.0</v>
      </c>
      <c r="D48" s="5" t="s">
        <v>34</v>
      </c>
      <c r="E48" s="5" t="s">
        <v>37</v>
      </c>
      <c r="F48" s="5">
        <v>2704.0</v>
      </c>
      <c r="G48" s="5">
        <v>752.0</v>
      </c>
      <c r="H48" s="5">
        <v>153.0</v>
      </c>
      <c r="I48" s="5">
        <v>21632.0</v>
      </c>
      <c r="J48" s="5">
        <v>20792.0</v>
      </c>
      <c r="K48" s="5">
        <v>127.0</v>
      </c>
      <c r="L48" s="9" t="s">
        <v>16</v>
      </c>
      <c r="M48" s="10"/>
      <c r="N48" s="10"/>
    </row>
    <row r="49" ht="14.25" customHeight="1">
      <c r="A49" s="5" t="s">
        <v>94</v>
      </c>
      <c r="B49" s="5" t="s">
        <v>13</v>
      </c>
      <c r="C49" s="6">
        <v>45727.0</v>
      </c>
      <c r="D49" s="5" t="s">
        <v>28</v>
      </c>
      <c r="E49" s="5" t="s">
        <v>95</v>
      </c>
      <c r="F49" s="5">
        <v>1950.0</v>
      </c>
      <c r="G49" s="5">
        <v>295.0</v>
      </c>
      <c r="H49" s="5">
        <v>478.0</v>
      </c>
      <c r="I49" s="5">
        <v>37050.0</v>
      </c>
      <c r="J49" s="5">
        <v>36272.0</v>
      </c>
      <c r="K49" s="5">
        <v>119.0</v>
      </c>
      <c r="L49" s="9" t="s">
        <v>21</v>
      </c>
      <c r="M49" s="10"/>
      <c r="N49" s="10"/>
    </row>
    <row r="50" ht="14.25" customHeight="1">
      <c r="A50" s="5" t="s">
        <v>96</v>
      </c>
      <c r="B50" s="5" t="s">
        <v>13</v>
      </c>
      <c r="C50" s="6">
        <v>45453.0</v>
      </c>
      <c r="D50" s="5" t="s">
        <v>28</v>
      </c>
      <c r="E50" s="5" t="s">
        <v>95</v>
      </c>
      <c r="F50" s="5">
        <v>2164.0</v>
      </c>
      <c r="G50" s="5">
        <v>549.0</v>
      </c>
      <c r="H50" s="5">
        <v>274.0</v>
      </c>
      <c r="I50" s="5">
        <v>28132.0</v>
      </c>
      <c r="J50" s="5">
        <v>27361.0</v>
      </c>
      <c r="K50" s="5">
        <v>177.0</v>
      </c>
      <c r="L50" s="9" t="s">
        <v>21</v>
      </c>
      <c r="M50" s="10"/>
      <c r="N50" s="10"/>
    </row>
    <row r="51" ht="14.25" customHeight="1">
      <c r="A51" s="5" t="s">
        <v>97</v>
      </c>
      <c r="B51" s="5" t="s">
        <v>24</v>
      </c>
      <c r="C51" s="6">
        <v>45476.0</v>
      </c>
      <c r="D51" s="5" t="s">
        <v>28</v>
      </c>
      <c r="E51" s="5" t="s">
        <v>98</v>
      </c>
      <c r="F51" s="5">
        <v>2754.0</v>
      </c>
      <c r="G51" s="5">
        <v>130.0</v>
      </c>
      <c r="H51" s="5">
        <v>90.0</v>
      </c>
      <c r="I51" s="5">
        <v>22032.0</v>
      </c>
      <c r="J51" s="5">
        <v>21288.0</v>
      </c>
      <c r="K51" s="5">
        <v>112.0</v>
      </c>
      <c r="L51" s="9" t="s">
        <v>21</v>
      </c>
      <c r="M51" s="10"/>
      <c r="N51" s="10"/>
    </row>
    <row r="52" ht="14.25" customHeight="1">
      <c r="A52" s="5" t="s">
        <v>99</v>
      </c>
      <c r="B52" s="5" t="s">
        <v>33</v>
      </c>
      <c r="C52" s="6">
        <v>45456.0</v>
      </c>
      <c r="D52" s="5" t="s">
        <v>34</v>
      </c>
      <c r="E52" s="5" t="s">
        <v>35</v>
      </c>
      <c r="F52" s="5">
        <v>2200.0</v>
      </c>
      <c r="G52" s="5">
        <v>504.0</v>
      </c>
      <c r="H52" s="5">
        <v>239.0</v>
      </c>
      <c r="I52" s="5">
        <v>37400.0</v>
      </c>
      <c r="J52" s="5">
        <v>36938.0</v>
      </c>
      <c r="K52" s="5">
        <v>225.0</v>
      </c>
      <c r="L52" s="9" t="s">
        <v>16</v>
      </c>
      <c r="M52" s="10"/>
      <c r="N52" s="10"/>
    </row>
    <row r="53" ht="14.25" customHeight="1">
      <c r="A53" s="5" t="s">
        <v>100</v>
      </c>
      <c r="B53" s="5" t="s">
        <v>33</v>
      </c>
      <c r="C53" s="6">
        <v>45660.0</v>
      </c>
      <c r="D53" s="5" t="s">
        <v>39</v>
      </c>
      <c r="E53" s="5" t="s">
        <v>44</v>
      </c>
      <c r="F53" s="5">
        <v>947.0</v>
      </c>
      <c r="G53" s="5">
        <v>338.0</v>
      </c>
      <c r="H53" s="5">
        <v>350.0</v>
      </c>
      <c r="I53" s="5">
        <v>10417.0</v>
      </c>
      <c r="J53" s="5">
        <v>9730.0</v>
      </c>
      <c r="K53" s="5">
        <v>34.0</v>
      </c>
      <c r="L53" s="9" t="s">
        <v>21</v>
      </c>
      <c r="M53" s="10"/>
      <c r="N53" s="10"/>
    </row>
    <row r="54" ht="14.25" customHeight="1">
      <c r="A54" s="5" t="s">
        <v>101</v>
      </c>
      <c r="B54" s="5" t="s">
        <v>24</v>
      </c>
      <c r="C54" s="6">
        <v>45712.0</v>
      </c>
      <c r="D54" s="5" t="s">
        <v>34</v>
      </c>
      <c r="E54" s="5" t="s">
        <v>49</v>
      </c>
      <c r="F54" s="5">
        <v>804.0</v>
      </c>
      <c r="G54" s="5">
        <v>639.0</v>
      </c>
      <c r="H54" s="5">
        <v>43.0</v>
      </c>
      <c r="I54" s="5">
        <v>4020.0</v>
      </c>
      <c r="J54" s="5">
        <v>3144.0</v>
      </c>
      <c r="K54" s="5">
        <v>11.0</v>
      </c>
      <c r="L54" s="7" t="s">
        <v>30</v>
      </c>
      <c r="M54" s="7" t="s">
        <v>22</v>
      </c>
      <c r="N54" s="8"/>
    </row>
    <row r="55" ht="14.25" customHeight="1">
      <c r="A55" s="5" t="s">
        <v>102</v>
      </c>
      <c r="B55" s="5" t="s">
        <v>24</v>
      </c>
      <c r="C55" s="6">
        <v>45729.0</v>
      </c>
      <c r="D55" s="5" t="s">
        <v>34</v>
      </c>
      <c r="E55" s="5" t="s">
        <v>49</v>
      </c>
      <c r="F55" s="5">
        <v>1686.0</v>
      </c>
      <c r="G55" s="5">
        <v>904.0</v>
      </c>
      <c r="H55" s="5">
        <v>472.0</v>
      </c>
      <c r="I55" s="5">
        <v>18546.0</v>
      </c>
      <c r="J55" s="5">
        <v>18171.0</v>
      </c>
      <c r="K55" s="5">
        <v>52.0</v>
      </c>
      <c r="L55" s="9" t="s">
        <v>16</v>
      </c>
      <c r="M55" s="10"/>
      <c r="N55" s="10"/>
    </row>
    <row r="56" ht="14.25" customHeight="1">
      <c r="A56" s="5" t="s">
        <v>103</v>
      </c>
      <c r="B56" s="5" t="s">
        <v>33</v>
      </c>
      <c r="C56" s="6">
        <v>45460.0</v>
      </c>
      <c r="D56" s="5" t="s">
        <v>39</v>
      </c>
      <c r="E56" s="5" t="s">
        <v>44</v>
      </c>
      <c r="F56" s="5">
        <v>1226.0</v>
      </c>
      <c r="G56" s="5">
        <v>119.0</v>
      </c>
      <c r="H56" s="5">
        <v>7.0</v>
      </c>
      <c r="I56" s="5">
        <v>14712.0</v>
      </c>
      <c r="J56" s="5">
        <v>14049.0</v>
      </c>
      <c r="K56" s="5">
        <v>123.0</v>
      </c>
      <c r="L56" s="9" t="s">
        <v>30</v>
      </c>
      <c r="M56" s="10"/>
      <c r="N56" s="10"/>
    </row>
    <row r="57" ht="14.25" customHeight="1">
      <c r="A57" s="5" t="s">
        <v>104</v>
      </c>
      <c r="B57" s="5" t="s">
        <v>33</v>
      </c>
      <c r="C57" s="6">
        <v>45644.0</v>
      </c>
      <c r="D57" s="5" t="s">
        <v>34</v>
      </c>
      <c r="E57" s="5" t="s">
        <v>35</v>
      </c>
      <c r="F57" s="5">
        <v>2946.0</v>
      </c>
      <c r="G57" s="5">
        <v>498.0</v>
      </c>
      <c r="H57" s="5">
        <v>367.0</v>
      </c>
      <c r="I57" s="5">
        <v>29460.0</v>
      </c>
      <c r="J57" s="5">
        <v>28527.0</v>
      </c>
      <c r="K57" s="5">
        <v>60.0</v>
      </c>
      <c r="L57" s="9" t="s">
        <v>16</v>
      </c>
      <c r="M57" s="10"/>
      <c r="N57" s="10"/>
    </row>
    <row r="58" ht="14.25" customHeight="1">
      <c r="A58" s="5" t="s">
        <v>105</v>
      </c>
      <c r="B58" s="5" t="s">
        <v>13</v>
      </c>
      <c r="C58" s="6">
        <v>45586.0</v>
      </c>
      <c r="D58" s="5" t="s">
        <v>53</v>
      </c>
      <c r="E58" s="5" t="s">
        <v>92</v>
      </c>
      <c r="F58" s="5">
        <v>2825.0</v>
      </c>
      <c r="G58" s="5">
        <v>535.0</v>
      </c>
      <c r="H58" s="5">
        <v>295.0</v>
      </c>
      <c r="I58" s="5">
        <v>45200.0</v>
      </c>
      <c r="J58" s="5">
        <v>44739.0</v>
      </c>
      <c r="K58" s="5">
        <v>169.0</v>
      </c>
      <c r="L58" s="9" t="s">
        <v>21</v>
      </c>
      <c r="M58" s="10"/>
      <c r="N58" s="10"/>
    </row>
    <row r="59" ht="14.25" customHeight="1">
      <c r="A59" s="5" t="s">
        <v>106</v>
      </c>
      <c r="B59" s="5" t="s">
        <v>27</v>
      </c>
      <c r="C59" s="6">
        <v>45762.0</v>
      </c>
      <c r="D59" s="5" t="s">
        <v>14</v>
      </c>
      <c r="E59" s="5" t="s">
        <v>58</v>
      </c>
      <c r="F59" s="5">
        <v>103.0</v>
      </c>
      <c r="G59" s="5">
        <v>770.0</v>
      </c>
      <c r="H59" s="5">
        <v>19.0</v>
      </c>
      <c r="I59" s="5">
        <v>1030.0</v>
      </c>
      <c r="J59" s="5">
        <v>410.0</v>
      </c>
      <c r="K59" s="5">
        <v>262.0</v>
      </c>
      <c r="L59" s="9" t="s">
        <v>21</v>
      </c>
      <c r="M59" s="10"/>
      <c r="N59" s="10"/>
    </row>
    <row r="60" ht="14.25" customHeight="1">
      <c r="A60" s="5" t="s">
        <v>107</v>
      </c>
      <c r="B60" s="5" t="s">
        <v>27</v>
      </c>
      <c r="C60" s="6">
        <v>45465.0</v>
      </c>
      <c r="D60" s="5" t="s">
        <v>19</v>
      </c>
      <c r="E60" s="5" t="s">
        <v>75</v>
      </c>
      <c r="F60" s="5">
        <v>2180.0</v>
      </c>
      <c r="G60" s="5">
        <v>263.0</v>
      </c>
      <c r="H60" s="5">
        <v>387.0</v>
      </c>
      <c r="I60" s="5">
        <v>30520.0</v>
      </c>
      <c r="J60" s="5">
        <v>30059.0</v>
      </c>
      <c r="K60" s="5">
        <v>174.0</v>
      </c>
      <c r="L60" s="9" t="s">
        <v>30</v>
      </c>
      <c r="M60" s="10"/>
      <c r="N60" s="10"/>
    </row>
    <row r="61" ht="14.25" customHeight="1">
      <c r="A61" s="5" t="s">
        <v>108</v>
      </c>
      <c r="B61" s="5" t="s">
        <v>27</v>
      </c>
      <c r="C61" s="6">
        <v>45685.0</v>
      </c>
      <c r="D61" s="5" t="s">
        <v>53</v>
      </c>
      <c r="E61" s="5" t="s">
        <v>60</v>
      </c>
      <c r="F61" s="5">
        <v>904.0</v>
      </c>
      <c r="G61" s="5">
        <v>973.0</v>
      </c>
      <c r="H61" s="5">
        <v>63.0</v>
      </c>
      <c r="I61" s="5">
        <v>11752.0</v>
      </c>
      <c r="J61" s="5">
        <v>11580.0</v>
      </c>
      <c r="K61" s="5">
        <v>84.0</v>
      </c>
      <c r="L61" s="7" t="s">
        <v>30</v>
      </c>
      <c r="M61" s="7" t="s">
        <v>21</v>
      </c>
      <c r="N61" s="7" t="s">
        <v>17</v>
      </c>
    </row>
    <row r="62" ht="14.25" customHeight="1">
      <c r="A62" s="5" t="s">
        <v>109</v>
      </c>
      <c r="B62" s="5" t="s">
        <v>13</v>
      </c>
      <c r="C62" s="6">
        <v>45540.0</v>
      </c>
      <c r="D62" s="5" t="s">
        <v>53</v>
      </c>
      <c r="E62" s="5" t="s">
        <v>92</v>
      </c>
      <c r="F62" s="5">
        <v>4886.0</v>
      </c>
      <c r="G62" s="5">
        <v>983.0</v>
      </c>
      <c r="H62" s="5">
        <v>409.0</v>
      </c>
      <c r="I62" s="5">
        <v>43974.0</v>
      </c>
      <c r="J62" s="5">
        <v>43239.0</v>
      </c>
      <c r="K62" s="5">
        <v>65.0</v>
      </c>
      <c r="L62" s="9" t="s">
        <v>21</v>
      </c>
      <c r="M62" s="10"/>
      <c r="N62" s="10"/>
    </row>
    <row r="63" ht="14.25" customHeight="1">
      <c r="A63" s="5" t="s">
        <v>110</v>
      </c>
      <c r="B63" s="5" t="s">
        <v>13</v>
      </c>
      <c r="C63" s="6">
        <v>45618.0</v>
      </c>
      <c r="D63" s="5" t="s">
        <v>34</v>
      </c>
      <c r="E63" s="5" t="s">
        <v>37</v>
      </c>
      <c r="F63" s="5">
        <v>53.0</v>
      </c>
      <c r="G63" s="5">
        <v>81.0</v>
      </c>
      <c r="H63" s="5">
        <v>379.0</v>
      </c>
      <c r="I63" s="5">
        <v>954.0</v>
      </c>
      <c r="J63" s="5">
        <v>7.0</v>
      </c>
      <c r="K63" s="5">
        <v>148.0</v>
      </c>
      <c r="L63" s="9" t="s">
        <v>21</v>
      </c>
      <c r="M63" s="10"/>
      <c r="N63" s="10"/>
    </row>
    <row r="64" ht="14.25" customHeight="1">
      <c r="A64" s="5" t="s">
        <v>111</v>
      </c>
      <c r="B64" s="5" t="s">
        <v>13</v>
      </c>
      <c r="C64" s="6">
        <v>45504.0</v>
      </c>
      <c r="D64" s="5" t="s">
        <v>34</v>
      </c>
      <c r="E64" s="5" t="s">
        <v>37</v>
      </c>
      <c r="F64" s="5">
        <v>4507.0</v>
      </c>
      <c r="G64" s="5">
        <v>217.0</v>
      </c>
      <c r="H64" s="5">
        <v>13.0</v>
      </c>
      <c r="I64" s="5">
        <v>90140.0</v>
      </c>
      <c r="J64" s="5">
        <v>89591.0</v>
      </c>
      <c r="K64" s="5">
        <v>125.0</v>
      </c>
      <c r="L64" s="9" t="s">
        <v>16</v>
      </c>
      <c r="M64" s="10"/>
      <c r="N64" s="10"/>
    </row>
    <row r="65" ht="14.25" customHeight="1">
      <c r="A65" s="5" t="s">
        <v>112</v>
      </c>
      <c r="B65" s="5" t="s">
        <v>33</v>
      </c>
      <c r="C65" s="6">
        <v>45521.0</v>
      </c>
      <c r="D65" s="5" t="s">
        <v>39</v>
      </c>
      <c r="E65" s="5" t="s">
        <v>44</v>
      </c>
      <c r="F65" s="5">
        <v>2878.0</v>
      </c>
      <c r="G65" s="5">
        <v>248.0</v>
      </c>
      <c r="H65" s="5">
        <v>416.0</v>
      </c>
      <c r="I65" s="5">
        <v>43170.0</v>
      </c>
      <c r="J65" s="5">
        <v>42667.0</v>
      </c>
      <c r="K65" s="5">
        <v>75.0</v>
      </c>
      <c r="L65" s="9" t="s">
        <v>16</v>
      </c>
      <c r="M65" s="10"/>
      <c r="N65" s="10"/>
    </row>
    <row r="66" ht="14.25" customHeight="1">
      <c r="A66" s="5" t="s">
        <v>113</v>
      </c>
      <c r="B66" s="5" t="s">
        <v>27</v>
      </c>
      <c r="C66" s="6">
        <v>45744.0</v>
      </c>
      <c r="D66" s="5" t="s">
        <v>28</v>
      </c>
      <c r="E66" s="5" t="s">
        <v>29</v>
      </c>
      <c r="F66" s="5">
        <v>1881.0</v>
      </c>
      <c r="G66" s="5">
        <v>501.0</v>
      </c>
      <c r="H66" s="5">
        <v>99.0</v>
      </c>
      <c r="I66" s="5">
        <v>20691.0</v>
      </c>
      <c r="J66" s="5">
        <v>19987.0</v>
      </c>
      <c r="K66" s="5">
        <v>289.0</v>
      </c>
      <c r="L66" s="9" t="s">
        <v>30</v>
      </c>
      <c r="M66" s="10"/>
      <c r="N66" s="10"/>
    </row>
    <row r="67" ht="14.25" customHeight="1">
      <c r="A67" s="5" t="s">
        <v>114</v>
      </c>
      <c r="B67" s="5" t="s">
        <v>13</v>
      </c>
      <c r="C67" s="6">
        <v>45499.0</v>
      </c>
      <c r="D67" s="5" t="s">
        <v>34</v>
      </c>
      <c r="E67" s="5" t="s">
        <v>37</v>
      </c>
      <c r="F67" s="5">
        <v>432.0</v>
      </c>
      <c r="G67" s="5">
        <v>171.0</v>
      </c>
      <c r="H67" s="5">
        <v>280.0</v>
      </c>
      <c r="I67" s="5">
        <v>3024.0</v>
      </c>
      <c r="J67" s="5">
        <v>2285.0</v>
      </c>
      <c r="K67" s="5">
        <v>184.0</v>
      </c>
      <c r="L67" s="9" t="s">
        <v>30</v>
      </c>
      <c r="M67" s="10"/>
      <c r="N67" s="10"/>
    </row>
    <row r="68" ht="14.25" customHeight="1">
      <c r="A68" s="5" t="s">
        <v>115</v>
      </c>
      <c r="B68" s="5" t="s">
        <v>33</v>
      </c>
      <c r="C68" s="6">
        <v>45745.0</v>
      </c>
      <c r="D68" s="5" t="s">
        <v>34</v>
      </c>
      <c r="E68" s="5" t="s">
        <v>35</v>
      </c>
      <c r="F68" s="5">
        <v>4712.0</v>
      </c>
      <c r="G68" s="5">
        <v>568.0</v>
      </c>
      <c r="H68" s="5">
        <v>127.0</v>
      </c>
      <c r="I68" s="5">
        <v>84816.0</v>
      </c>
      <c r="J68" s="5">
        <v>84691.0</v>
      </c>
      <c r="K68" s="5">
        <v>100.0</v>
      </c>
      <c r="L68" s="9" t="s">
        <v>30</v>
      </c>
      <c r="M68" s="10"/>
      <c r="N68" s="10"/>
    </row>
    <row r="69" ht="14.25" customHeight="1">
      <c r="A69" s="5" t="s">
        <v>116</v>
      </c>
      <c r="B69" s="5" t="s">
        <v>27</v>
      </c>
      <c r="C69" s="6">
        <v>45634.0</v>
      </c>
      <c r="D69" s="5" t="s">
        <v>28</v>
      </c>
      <c r="E69" s="5" t="s">
        <v>29</v>
      </c>
      <c r="F69" s="5">
        <v>2610.0</v>
      </c>
      <c r="G69" s="5">
        <v>126.0</v>
      </c>
      <c r="H69" s="5">
        <v>288.0</v>
      </c>
      <c r="I69" s="5">
        <v>15660.0</v>
      </c>
      <c r="J69" s="5">
        <v>15145.0</v>
      </c>
      <c r="K69" s="5">
        <v>73.0</v>
      </c>
      <c r="L69" s="9" t="s">
        <v>30</v>
      </c>
      <c r="M69" s="10"/>
      <c r="N69" s="10"/>
    </row>
    <row r="70" ht="14.25" customHeight="1">
      <c r="A70" s="5" t="s">
        <v>117</v>
      </c>
      <c r="B70" s="5" t="s">
        <v>13</v>
      </c>
      <c r="C70" s="6">
        <v>45724.0</v>
      </c>
      <c r="D70" s="5" t="s">
        <v>19</v>
      </c>
      <c r="E70" s="5" t="s">
        <v>20</v>
      </c>
      <c r="F70" s="5">
        <v>1292.0</v>
      </c>
      <c r="G70" s="5">
        <v>626.0</v>
      </c>
      <c r="H70" s="5">
        <v>496.0</v>
      </c>
      <c r="I70" s="5">
        <v>25840.0</v>
      </c>
      <c r="J70" s="5">
        <v>24916.0</v>
      </c>
      <c r="K70" s="5">
        <v>149.0</v>
      </c>
      <c r="L70" s="9" t="s">
        <v>16</v>
      </c>
      <c r="M70" s="10"/>
      <c r="N70" s="10"/>
    </row>
    <row r="71" ht="14.25" customHeight="1">
      <c r="A71" s="5" t="s">
        <v>118</v>
      </c>
      <c r="B71" s="5" t="s">
        <v>33</v>
      </c>
      <c r="C71" s="6">
        <v>45749.0</v>
      </c>
      <c r="D71" s="5" t="s">
        <v>53</v>
      </c>
      <c r="E71" s="5" t="s">
        <v>54</v>
      </c>
      <c r="F71" s="5">
        <v>199.0</v>
      </c>
      <c r="G71" s="5">
        <v>772.0</v>
      </c>
      <c r="H71" s="5">
        <v>400.0</v>
      </c>
      <c r="I71" s="5">
        <v>3582.0</v>
      </c>
      <c r="J71" s="5">
        <v>2988.0</v>
      </c>
      <c r="K71" s="5">
        <v>43.0</v>
      </c>
      <c r="L71" s="9" t="s">
        <v>21</v>
      </c>
      <c r="M71" s="10"/>
      <c r="N71" s="10"/>
    </row>
    <row r="72" ht="14.25" customHeight="1">
      <c r="A72" s="5" t="s">
        <v>119</v>
      </c>
      <c r="B72" s="5" t="s">
        <v>24</v>
      </c>
      <c r="C72" s="6">
        <v>45537.0</v>
      </c>
      <c r="D72" s="5" t="s">
        <v>34</v>
      </c>
      <c r="E72" s="5" t="s">
        <v>49</v>
      </c>
      <c r="F72" s="5">
        <v>2551.0</v>
      </c>
      <c r="G72" s="5">
        <v>915.0</v>
      </c>
      <c r="H72" s="5">
        <v>205.0</v>
      </c>
      <c r="I72" s="5">
        <v>30612.0</v>
      </c>
      <c r="J72" s="5">
        <v>30360.0</v>
      </c>
      <c r="K72" s="5">
        <v>227.0</v>
      </c>
      <c r="L72" s="9" t="s">
        <v>21</v>
      </c>
      <c r="M72" s="10"/>
      <c r="N72" s="10"/>
    </row>
    <row r="73" ht="14.25" customHeight="1">
      <c r="A73" s="5" t="s">
        <v>120</v>
      </c>
      <c r="B73" s="5" t="s">
        <v>24</v>
      </c>
      <c r="C73" s="6">
        <v>45719.0</v>
      </c>
      <c r="D73" s="5" t="s">
        <v>14</v>
      </c>
      <c r="E73" s="5" t="s">
        <v>25</v>
      </c>
      <c r="F73" s="5">
        <v>296.0</v>
      </c>
      <c r="G73" s="5">
        <v>60.0</v>
      </c>
      <c r="H73" s="5">
        <v>141.0</v>
      </c>
      <c r="I73" s="5">
        <v>5624.0</v>
      </c>
      <c r="J73" s="5">
        <v>5239.0</v>
      </c>
      <c r="K73" s="5">
        <v>88.0</v>
      </c>
      <c r="L73" s="9" t="s">
        <v>30</v>
      </c>
      <c r="M73" s="10"/>
      <c r="N73" s="10"/>
    </row>
    <row r="74" ht="14.25" customHeight="1">
      <c r="A74" s="5" t="s">
        <v>121</v>
      </c>
      <c r="B74" s="5" t="s">
        <v>33</v>
      </c>
      <c r="C74" s="6">
        <v>45583.0</v>
      </c>
      <c r="D74" s="5" t="s">
        <v>28</v>
      </c>
      <c r="E74" s="5" t="s">
        <v>51</v>
      </c>
      <c r="F74" s="5">
        <v>4126.0</v>
      </c>
      <c r="G74" s="5">
        <v>426.0</v>
      </c>
      <c r="H74" s="5">
        <v>486.0</v>
      </c>
      <c r="I74" s="5">
        <v>78394.0</v>
      </c>
      <c r="J74" s="5">
        <v>77798.0</v>
      </c>
      <c r="K74" s="5">
        <v>88.0</v>
      </c>
      <c r="L74" s="9" t="s">
        <v>16</v>
      </c>
      <c r="M74" s="10"/>
      <c r="N74" s="10"/>
    </row>
    <row r="75" ht="14.25" customHeight="1">
      <c r="A75" s="5" t="s">
        <v>122</v>
      </c>
      <c r="B75" s="5" t="s">
        <v>24</v>
      </c>
      <c r="C75" s="6">
        <v>45593.0</v>
      </c>
      <c r="D75" s="5" t="s">
        <v>14</v>
      </c>
      <c r="E75" s="5" t="s">
        <v>25</v>
      </c>
      <c r="F75" s="5">
        <v>1855.0</v>
      </c>
      <c r="G75" s="5">
        <v>200.0</v>
      </c>
      <c r="H75" s="5">
        <v>174.0</v>
      </c>
      <c r="I75" s="5">
        <v>16695.0</v>
      </c>
      <c r="J75" s="5">
        <v>16330.0</v>
      </c>
      <c r="K75" s="5">
        <v>123.0</v>
      </c>
      <c r="L75" s="9" t="s">
        <v>21</v>
      </c>
      <c r="M75" s="10"/>
      <c r="N75" s="10"/>
    </row>
    <row r="76" ht="14.25" customHeight="1">
      <c r="A76" s="5" t="s">
        <v>123</v>
      </c>
      <c r="B76" s="5" t="s">
        <v>27</v>
      </c>
      <c r="C76" s="6">
        <v>45505.0</v>
      </c>
      <c r="D76" s="5" t="s">
        <v>14</v>
      </c>
      <c r="E76" s="5" t="s">
        <v>58</v>
      </c>
      <c r="F76" s="5">
        <v>1674.0</v>
      </c>
      <c r="G76" s="5">
        <v>929.0</v>
      </c>
      <c r="H76" s="5">
        <v>37.0</v>
      </c>
      <c r="I76" s="5">
        <v>21762.0</v>
      </c>
      <c r="J76" s="5">
        <v>20998.0</v>
      </c>
      <c r="K76" s="5">
        <v>255.0</v>
      </c>
      <c r="L76" s="9" t="s">
        <v>21</v>
      </c>
      <c r="M76" s="10"/>
      <c r="N76" s="10"/>
    </row>
    <row r="77" ht="14.25" customHeight="1">
      <c r="A77" s="5" t="s">
        <v>124</v>
      </c>
      <c r="B77" s="5" t="s">
        <v>13</v>
      </c>
      <c r="C77" s="6">
        <v>45603.0</v>
      </c>
      <c r="D77" s="5" t="s">
        <v>28</v>
      </c>
      <c r="E77" s="5" t="s">
        <v>95</v>
      </c>
      <c r="F77" s="5">
        <v>1121.0</v>
      </c>
      <c r="G77" s="5">
        <v>135.0</v>
      </c>
      <c r="H77" s="5">
        <v>18.0</v>
      </c>
      <c r="I77" s="5">
        <v>15694.0</v>
      </c>
      <c r="J77" s="5">
        <v>14957.0</v>
      </c>
      <c r="K77" s="5">
        <v>99.0</v>
      </c>
      <c r="L77" s="9" t="s">
        <v>21</v>
      </c>
      <c r="M77" s="10"/>
      <c r="N77" s="10"/>
    </row>
    <row r="78" ht="14.25" customHeight="1">
      <c r="A78" s="5" t="s">
        <v>125</v>
      </c>
      <c r="B78" s="5" t="s">
        <v>33</v>
      </c>
      <c r="C78" s="6">
        <v>45720.0</v>
      </c>
      <c r="D78" s="5" t="s">
        <v>28</v>
      </c>
      <c r="E78" s="5" t="s">
        <v>51</v>
      </c>
      <c r="F78" s="5">
        <v>1249.0</v>
      </c>
      <c r="G78" s="5">
        <v>116.0</v>
      </c>
      <c r="H78" s="5">
        <v>420.0</v>
      </c>
      <c r="I78" s="5">
        <v>8743.0</v>
      </c>
      <c r="J78" s="5">
        <v>8538.0</v>
      </c>
      <c r="K78" s="5">
        <v>63.0</v>
      </c>
      <c r="L78" s="9" t="s">
        <v>21</v>
      </c>
      <c r="M78" s="10"/>
      <c r="N78" s="10"/>
    </row>
    <row r="79" ht="14.25" customHeight="1">
      <c r="A79" s="5" t="s">
        <v>126</v>
      </c>
      <c r="B79" s="5" t="s">
        <v>13</v>
      </c>
      <c r="C79" s="6">
        <v>45460.0</v>
      </c>
      <c r="D79" s="5" t="s">
        <v>39</v>
      </c>
      <c r="E79" s="5" t="s">
        <v>85</v>
      </c>
      <c r="F79" s="5">
        <v>954.0</v>
      </c>
      <c r="G79" s="5">
        <v>324.0</v>
      </c>
      <c r="H79" s="5">
        <v>288.0</v>
      </c>
      <c r="I79" s="5">
        <v>19080.0</v>
      </c>
      <c r="J79" s="5">
        <v>18859.0</v>
      </c>
      <c r="K79" s="5">
        <v>21.0</v>
      </c>
      <c r="L79" s="9" t="s">
        <v>16</v>
      </c>
      <c r="M79" s="10"/>
      <c r="N79" s="10"/>
    </row>
    <row r="80" ht="14.25" customHeight="1">
      <c r="A80" s="5" t="s">
        <v>127</v>
      </c>
      <c r="B80" s="5" t="s">
        <v>27</v>
      </c>
      <c r="C80" s="6">
        <v>45574.0</v>
      </c>
      <c r="D80" s="5" t="s">
        <v>34</v>
      </c>
      <c r="E80" s="5" t="s">
        <v>62</v>
      </c>
      <c r="F80" s="5">
        <v>3068.0</v>
      </c>
      <c r="G80" s="5">
        <v>137.0</v>
      </c>
      <c r="H80" s="5">
        <v>329.0</v>
      </c>
      <c r="I80" s="5">
        <v>39884.0</v>
      </c>
      <c r="J80" s="5">
        <v>39404.0</v>
      </c>
      <c r="K80" s="5">
        <v>266.0</v>
      </c>
      <c r="L80" s="9" t="s">
        <v>30</v>
      </c>
      <c r="M80" s="10"/>
      <c r="N80" s="10"/>
    </row>
    <row r="81" ht="14.25" customHeight="1">
      <c r="A81" s="5" t="s">
        <v>128</v>
      </c>
      <c r="B81" s="5" t="s">
        <v>27</v>
      </c>
      <c r="C81" s="6">
        <v>45456.0</v>
      </c>
      <c r="D81" s="5" t="s">
        <v>28</v>
      </c>
      <c r="E81" s="5" t="s">
        <v>29</v>
      </c>
      <c r="F81" s="5">
        <v>2103.0</v>
      </c>
      <c r="G81" s="5">
        <v>892.0</v>
      </c>
      <c r="H81" s="5">
        <v>103.0</v>
      </c>
      <c r="I81" s="5">
        <v>39957.0</v>
      </c>
      <c r="J81" s="5">
        <v>39466.0</v>
      </c>
      <c r="K81" s="5">
        <v>28.0</v>
      </c>
      <c r="L81" s="9" t="s">
        <v>16</v>
      </c>
      <c r="M81" s="10"/>
      <c r="N81" s="10"/>
    </row>
    <row r="82" ht="14.25" customHeight="1">
      <c r="A82" s="5" t="s">
        <v>129</v>
      </c>
      <c r="B82" s="5" t="s">
        <v>27</v>
      </c>
      <c r="C82" s="6">
        <v>45584.0</v>
      </c>
      <c r="D82" s="5" t="s">
        <v>28</v>
      </c>
      <c r="E82" s="5" t="s">
        <v>29</v>
      </c>
      <c r="F82" s="5">
        <v>1816.0</v>
      </c>
      <c r="G82" s="5">
        <v>29.0</v>
      </c>
      <c r="H82" s="5">
        <v>41.0</v>
      </c>
      <c r="I82" s="5">
        <v>19976.0</v>
      </c>
      <c r="J82" s="5">
        <v>19262.0</v>
      </c>
      <c r="K82" s="5">
        <v>283.0</v>
      </c>
      <c r="L82" s="9" t="s">
        <v>21</v>
      </c>
      <c r="M82" s="10"/>
      <c r="N82" s="10"/>
    </row>
    <row r="83" ht="14.25" customHeight="1">
      <c r="A83" s="5" t="s">
        <v>130</v>
      </c>
      <c r="B83" s="5" t="s">
        <v>27</v>
      </c>
      <c r="C83" s="6">
        <v>45497.0</v>
      </c>
      <c r="D83" s="5" t="s">
        <v>39</v>
      </c>
      <c r="E83" s="5" t="s">
        <v>131</v>
      </c>
      <c r="F83" s="5">
        <v>725.0</v>
      </c>
      <c r="G83" s="5">
        <v>88.0</v>
      </c>
      <c r="H83" s="5">
        <v>428.0</v>
      </c>
      <c r="I83" s="5">
        <v>14500.0</v>
      </c>
      <c r="J83" s="5">
        <v>13637.0</v>
      </c>
      <c r="K83" s="5">
        <v>200.0</v>
      </c>
      <c r="L83" s="7" t="s">
        <v>16</v>
      </c>
      <c r="M83" s="7" t="s">
        <v>21</v>
      </c>
      <c r="N83" s="7" t="s">
        <v>17</v>
      </c>
    </row>
    <row r="84" ht="14.25" customHeight="1">
      <c r="A84" s="5" t="s">
        <v>132</v>
      </c>
      <c r="B84" s="5" t="s">
        <v>24</v>
      </c>
      <c r="C84" s="6">
        <v>45580.0</v>
      </c>
      <c r="D84" s="5" t="s">
        <v>53</v>
      </c>
      <c r="E84" s="5" t="s">
        <v>133</v>
      </c>
      <c r="F84" s="5">
        <v>1094.0</v>
      </c>
      <c r="G84" s="5">
        <v>472.0</v>
      </c>
      <c r="H84" s="5">
        <v>21.0</v>
      </c>
      <c r="I84" s="5">
        <v>9846.0</v>
      </c>
      <c r="J84" s="5">
        <v>9609.0</v>
      </c>
      <c r="K84" s="5">
        <v>112.0</v>
      </c>
      <c r="L84" s="9" t="s">
        <v>30</v>
      </c>
      <c r="M84" s="10"/>
      <c r="N84" s="10"/>
    </row>
    <row r="85" ht="14.25" customHeight="1">
      <c r="A85" s="5" t="s">
        <v>134</v>
      </c>
      <c r="B85" s="5" t="s">
        <v>33</v>
      </c>
      <c r="C85" s="6">
        <v>45635.0</v>
      </c>
      <c r="D85" s="5" t="s">
        <v>39</v>
      </c>
      <c r="E85" s="5" t="s">
        <v>44</v>
      </c>
      <c r="F85" s="5">
        <v>1841.0</v>
      </c>
      <c r="G85" s="5">
        <v>851.0</v>
      </c>
      <c r="H85" s="5">
        <v>342.0</v>
      </c>
      <c r="I85" s="5">
        <v>34979.0</v>
      </c>
      <c r="J85" s="5">
        <v>34154.0</v>
      </c>
      <c r="K85" s="5">
        <v>255.0</v>
      </c>
      <c r="L85" s="9" t="s">
        <v>16</v>
      </c>
      <c r="M85" s="10"/>
      <c r="N85" s="10"/>
    </row>
    <row r="86" ht="14.25" customHeight="1">
      <c r="A86" s="5" t="s">
        <v>135</v>
      </c>
      <c r="B86" s="5" t="s">
        <v>27</v>
      </c>
      <c r="C86" s="6">
        <v>45766.0</v>
      </c>
      <c r="D86" s="5" t="s">
        <v>39</v>
      </c>
      <c r="E86" s="5" t="s">
        <v>131</v>
      </c>
      <c r="F86" s="5">
        <v>4177.0</v>
      </c>
      <c r="G86" s="5">
        <v>569.0</v>
      </c>
      <c r="H86" s="5">
        <v>55.0</v>
      </c>
      <c r="I86" s="5">
        <v>25062.0</v>
      </c>
      <c r="J86" s="5">
        <v>24847.0</v>
      </c>
      <c r="K86" s="5">
        <v>230.0</v>
      </c>
      <c r="L86" s="9" t="s">
        <v>16</v>
      </c>
      <c r="M86" s="10"/>
      <c r="N86" s="10"/>
    </row>
    <row r="87" ht="14.25" customHeight="1">
      <c r="A87" s="5" t="s">
        <v>136</v>
      </c>
      <c r="B87" s="5" t="s">
        <v>24</v>
      </c>
      <c r="C87" s="6">
        <v>45684.0</v>
      </c>
      <c r="D87" s="5" t="s">
        <v>19</v>
      </c>
      <c r="E87" s="5" t="s">
        <v>70</v>
      </c>
      <c r="F87" s="5">
        <v>3428.0</v>
      </c>
      <c r="G87" s="5">
        <v>305.0</v>
      </c>
      <c r="H87" s="5">
        <v>85.0</v>
      </c>
      <c r="I87" s="5">
        <v>58276.0</v>
      </c>
      <c r="J87" s="5">
        <v>58052.0</v>
      </c>
      <c r="K87" s="5">
        <v>242.0</v>
      </c>
      <c r="L87" s="7" t="s">
        <v>30</v>
      </c>
      <c r="M87" s="7" t="s">
        <v>22</v>
      </c>
      <c r="N87" s="8"/>
    </row>
    <row r="88" ht="14.25" customHeight="1">
      <c r="A88" s="5" t="s">
        <v>137</v>
      </c>
      <c r="B88" s="5" t="s">
        <v>13</v>
      </c>
      <c r="C88" s="6">
        <v>45449.0</v>
      </c>
      <c r="D88" s="5" t="s">
        <v>53</v>
      </c>
      <c r="E88" s="5" t="s">
        <v>92</v>
      </c>
      <c r="F88" s="5">
        <v>1436.0</v>
      </c>
      <c r="G88" s="5">
        <v>765.0</v>
      </c>
      <c r="H88" s="5">
        <v>496.0</v>
      </c>
      <c r="I88" s="5">
        <v>12924.0</v>
      </c>
      <c r="J88" s="5">
        <v>12701.0</v>
      </c>
      <c r="K88" s="5">
        <v>197.0</v>
      </c>
      <c r="L88" s="9" t="s">
        <v>16</v>
      </c>
      <c r="M88" s="10"/>
      <c r="N88" s="10"/>
    </row>
    <row r="89" ht="14.25" customHeight="1">
      <c r="A89" s="5" t="s">
        <v>138</v>
      </c>
      <c r="B89" s="5" t="s">
        <v>33</v>
      </c>
      <c r="C89" s="6">
        <v>45480.0</v>
      </c>
      <c r="D89" s="5" t="s">
        <v>28</v>
      </c>
      <c r="E89" s="5" t="s">
        <v>51</v>
      </c>
      <c r="F89" s="5">
        <v>302.0</v>
      </c>
      <c r="G89" s="5">
        <v>47.0</v>
      </c>
      <c r="H89" s="5">
        <v>430.0</v>
      </c>
      <c r="I89" s="5">
        <v>5738.0</v>
      </c>
      <c r="J89" s="5">
        <v>4890.0</v>
      </c>
      <c r="K89" s="5">
        <v>25.0</v>
      </c>
      <c r="L89" s="9" t="s">
        <v>21</v>
      </c>
      <c r="M89" s="10"/>
      <c r="N89" s="10"/>
    </row>
    <row r="90" ht="14.25" customHeight="1">
      <c r="A90" s="5" t="s">
        <v>139</v>
      </c>
      <c r="B90" s="5" t="s">
        <v>13</v>
      </c>
      <c r="C90" s="6">
        <v>45667.0</v>
      </c>
      <c r="D90" s="5" t="s">
        <v>39</v>
      </c>
      <c r="E90" s="5" t="s">
        <v>85</v>
      </c>
      <c r="F90" s="5">
        <v>2214.0</v>
      </c>
      <c r="G90" s="5">
        <v>249.0</v>
      </c>
      <c r="H90" s="5">
        <v>152.0</v>
      </c>
      <c r="I90" s="5">
        <v>15498.0</v>
      </c>
      <c r="J90" s="5">
        <v>14800.0</v>
      </c>
      <c r="K90" s="5">
        <v>180.0</v>
      </c>
      <c r="L90" s="9" t="s">
        <v>30</v>
      </c>
      <c r="M90" s="10"/>
      <c r="N90" s="10"/>
    </row>
    <row r="91" ht="14.25" customHeight="1">
      <c r="A91" s="5" t="s">
        <v>140</v>
      </c>
      <c r="B91" s="5" t="s">
        <v>27</v>
      </c>
      <c r="C91" s="6">
        <v>45446.0</v>
      </c>
      <c r="D91" s="5" t="s">
        <v>39</v>
      </c>
      <c r="E91" s="5" t="s">
        <v>131</v>
      </c>
      <c r="F91" s="5">
        <v>3861.0</v>
      </c>
      <c r="G91" s="5">
        <v>960.0</v>
      </c>
      <c r="H91" s="5">
        <v>101.0</v>
      </c>
      <c r="I91" s="5">
        <v>69498.0</v>
      </c>
      <c r="J91" s="5">
        <v>68817.0</v>
      </c>
      <c r="K91" s="5">
        <v>297.0</v>
      </c>
      <c r="L91" s="9" t="s">
        <v>21</v>
      </c>
      <c r="M91" s="10"/>
      <c r="N91" s="10"/>
    </row>
    <row r="92" ht="14.25" customHeight="1">
      <c r="A92" s="5" t="s">
        <v>141</v>
      </c>
      <c r="B92" s="5" t="s">
        <v>33</v>
      </c>
      <c r="C92" s="6">
        <v>45740.0</v>
      </c>
      <c r="D92" s="5" t="s">
        <v>39</v>
      </c>
      <c r="E92" s="5" t="s">
        <v>44</v>
      </c>
      <c r="F92" s="5">
        <v>1263.0</v>
      </c>
      <c r="G92" s="5">
        <v>397.0</v>
      </c>
      <c r="H92" s="5">
        <v>357.0</v>
      </c>
      <c r="I92" s="5">
        <v>25260.0</v>
      </c>
      <c r="J92" s="5">
        <v>24615.0</v>
      </c>
      <c r="K92" s="5">
        <v>137.0</v>
      </c>
      <c r="L92" s="9" t="s">
        <v>30</v>
      </c>
      <c r="M92" s="10"/>
      <c r="N92" s="10"/>
    </row>
    <row r="93" ht="14.25" customHeight="1">
      <c r="A93" s="5" t="s">
        <v>142</v>
      </c>
      <c r="B93" s="5" t="s">
        <v>13</v>
      </c>
      <c r="C93" s="6">
        <v>45586.0</v>
      </c>
      <c r="D93" s="5" t="s">
        <v>28</v>
      </c>
      <c r="E93" s="5" t="s">
        <v>95</v>
      </c>
      <c r="F93" s="5">
        <v>3801.0</v>
      </c>
      <c r="G93" s="5">
        <v>967.0</v>
      </c>
      <c r="H93" s="5">
        <v>401.0</v>
      </c>
      <c r="I93" s="5">
        <v>38010.0</v>
      </c>
      <c r="J93" s="5">
        <v>37625.0</v>
      </c>
      <c r="K93" s="5">
        <v>236.0</v>
      </c>
      <c r="L93" s="9" t="s">
        <v>16</v>
      </c>
      <c r="M93" s="10"/>
      <c r="N93" s="10"/>
    </row>
    <row r="94" ht="14.25" customHeight="1">
      <c r="A94" s="5" t="s">
        <v>143</v>
      </c>
      <c r="B94" s="5" t="s">
        <v>27</v>
      </c>
      <c r="C94" s="6">
        <v>45637.0</v>
      </c>
      <c r="D94" s="5" t="s">
        <v>53</v>
      </c>
      <c r="E94" s="5" t="s">
        <v>60</v>
      </c>
      <c r="F94" s="5">
        <v>1431.0</v>
      </c>
      <c r="G94" s="5">
        <v>951.0</v>
      </c>
      <c r="H94" s="5">
        <v>26.0</v>
      </c>
      <c r="I94" s="5">
        <v>8586.0</v>
      </c>
      <c r="J94" s="5">
        <v>8396.0</v>
      </c>
      <c r="K94" s="5">
        <v>150.0</v>
      </c>
      <c r="L94" s="9" t="s">
        <v>30</v>
      </c>
      <c r="M94" s="10"/>
      <c r="N94" s="10"/>
    </row>
    <row r="95" ht="14.25" customHeight="1">
      <c r="A95" s="5" t="s">
        <v>144</v>
      </c>
      <c r="B95" s="5" t="s">
        <v>27</v>
      </c>
      <c r="C95" s="6">
        <v>45603.0</v>
      </c>
      <c r="D95" s="5" t="s">
        <v>39</v>
      </c>
      <c r="E95" s="5" t="s">
        <v>131</v>
      </c>
      <c r="F95" s="5">
        <v>2647.0</v>
      </c>
      <c r="G95" s="5">
        <v>304.0</v>
      </c>
      <c r="H95" s="5">
        <v>170.0</v>
      </c>
      <c r="I95" s="5">
        <v>18529.0</v>
      </c>
      <c r="J95" s="5">
        <v>17841.0</v>
      </c>
      <c r="K95" s="5">
        <v>46.0</v>
      </c>
      <c r="L95" s="9" t="s">
        <v>16</v>
      </c>
      <c r="M95" s="10"/>
      <c r="N95" s="10"/>
    </row>
    <row r="96" ht="14.25" customHeight="1">
      <c r="A96" s="5" t="s">
        <v>145</v>
      </c>
      <c r="B96" s="5" t="s">
        <v>27</v>
      </c>
      <c r="C96" s="6">
        <v>45604.0</v>
      </c>
      <c r="D96" s="5" t="s">
        <v>19</v>
      </c>
      <c r="E96" s="5" t="s">
        <v>75</v>
      </c>
      <c r="F96" s="5">
        <v>3182.0</v>
      </c>
      <c r="G96" s="5">
        <v>559.0</v>
      </c>
      <c r="H96" s="5">
        <v>160.0</v>
      </c>
      <c r="I96" s="5">
        <v>57276.0</v>
      </c>
      <c r="J96" s="5">
        <v>56890.0</v>
      </c>
      <c r="K96" s="5">
        <v>163.0</v>
      </c>
      <c r="L96" s="9" t="s">
        <v>16</v>
      </c>
      <c r="M96" s="10"/>
      <c r="N96" s="10"/>
    </row>
    <row r="97" ht="14.25" customHeight="1">
      <c r="A97" s="5" t="s">
        <v>146</v>
      </c>
      <c r="B97" s="5" t="s">
        <v>13</v>
      </c>
      <c r="C97" s="6">
        <v>45545.0</v>
      </c>
      <c r="D97" s="5" t="s">
        <v>39</v>
      </c>
      <c r="E97" s="5" t="s">
        <v>85</v>
      </c>
      <c r="F97" s="5">
        <v>1238.0</v>
      </c>
      <c r="G97" s="5">
        <v>366.0</v>
      </c>
      <c r="H97" s="5">
        <v>444.0</v>
      </c>
      <c r="I97" s="5">
        <v>19808.0</v>
      </c>
      <c r="J97" s="5">
        <v>19334.0</v>
      </c>
      <c r="K97" s="5">
        <v>123.0</v>
      </c>
      <c r="L97" s="9" t="s">
        <v>16</v>
      </c>
      <c r="M97" s="10"/>
      <c r="N97" s="10"/>
    </row>
    <row r="98" ht="14.25" customHeight="1">
      <c r="A98" s="5" t="s">
        <v>147</v>
      </c>
      <c r="B98" s="5" t="s">
        <v>27</v>
      </c>
      <c r="C98" s="6">
        <v>45517.0</v>
      </c>
      <c r="D98" s="5" t="s">
        <v>39</v>
      </c>
      <c r="E98" s="5" t="s">
        <v>131</v>
      </c>
      <c r="F98" s="5">
        <v>4739.0</v>
      </c>
      <c r="G98" s="5">
        <v>527.0</v>
      </c>
      <c r="H98" s="5">
        <v>135.0</v>
      </c>
      <c r="I98" s="5">
        <v>61607.0</v>
      </c>
      <c r="J98" s="5">
        <v>61333.0</v>
      </c>
      <c r="K98" s="5">
        <v>36.0</v>
      </c>
      <c r="L98" s="7" t="s">
        <v>21</v>
      </c>
      <c r="M98" s="7" t="s">
        <v>17</v>
      </c>
      <c r="N98" s="8"/>
    </row>
    <row r="99" ht="14.25" customHeight="1">
      <c r="A99" s="5" t="s">
        <v>148</v>
      </c>
      <c r="B99" s="5" t="s">
        <v>13</v>
      </c>
      <c r="C99" s="6">
        <v>45453.0</v>
      </c>
      <c r="D99" s="5" t="s">
        <v>28</v>
      </c>
      <c r="E99" s="5" t="s">
        <v>95</v>
      </c>
      <c r="F99" s="5">
        <v>1575.0</v>
      </c>
      <c r="G99" s="5">
        <v>771.0</v>
      </c>
      <c r="H99" s="5">
        <v>486.0</v>
      </c>
      <c r="I99" s="5">
        <v>25200.0</v>
      </c>
      <c r="J99" s="5">
        <v>24826.0</v>
      </c>
      <c r="K99" s="5">
        <v>17.0</v>
      </c>
      <c r="L99" s="9" t="s">
        <v>16</v>
      </c>
      <c r="M99" s="10"/>
      <c r="N99" s="10"/>
    </row>
    <row r="100" ht="14.25" customHeight="1">
      <c r="A100" s="5" t="s">
        <v>149</v>
      </c>
      <c r="B100" s="5" t="s">
        <v>24</v>
      </c>
      <c r="C100" s="6">
        <v>45475.0</v>
      </c>
      <c r="D100" s="5" t="s">
        <v>34</v>
      </c>
      <c r="E100" s="5" t="s">
        <v>49</v>
      </c>
      <c r="F100" s="5">
        <v>4171.0</v>
      </c>
      <c r="G100" s="5">
        <v>548.0</v>
      </c>
      <c r="H100" s="5">
        <v>86.0</v>
      </c>
      <c r="I100" s="5">
        <v>66736.0</v>
      </c>
      <c r="J100" s="5">
        <v>66634.0</v>
      </c>
      <c r="K100" s="5">
        <v>173.0</v>
      </c>
      <c r="L100" s="9" t="s">
        <v>16</v>
      </c>
      <c r="M100" s="10"/>
      <c r="N100" s="10"/>
    </row>
    <row r="101" ht="14.25" customHeight="1">
      <c r="A101" s="5" t="s">
        <v>150</v>
      </c>
      <c r="B101" s="5" t="s">
        <v>24</v>
      </c>
      <c r="C101" s="6">
        <v>45698.0</v>
      </c>
      <c r="D101" s="5" t="s">
        <v>53</v>
      </c>
      <c r="E101" s="5" t="s">
        <v>133</v>
      </c>
      <c r="F101" s="5">
        <v>1766.0</v>
      </c>
      <c r="G101" s="5">
        <v>92.0</v>
      </c>
      <c r="H101" s="5">
        <v>424.0</v>
      </c>
      <c r="I101" s="5">
        <v>24724.0</v>
      </c>
      <c r="J101" s="5">
        <v>24333.0</v>
      </c>
      <c r="K101" s="5">
        <v>52.0</v>
      </c>
      <c r="L101" s="9" t="s">
        <v>30</v>
      </c>
      <c r="M101" s="10"/>
      <c r="N101" s="10"/>
    </row>
    <row r="102" ht="14.25" customHeight="1">
      <c r="A102" s="5" t="s">
        <v>151</v>
      </c>
      <c r="B102" s="5" t="s">
        <v>24</v>
      </c>
      <c r="C102" s="6">
        <v>45583.0</v>
      </c>
      <c r="D102" s="5" t="s">
        <v>53</v>
      </c>
      <c r="E102" s="5" t="s">
        <v>133</v>
      </c>
      <c r="F102" s="5">
        <v>4450.0</v>
      </c>
      <c r="G102" s="5">
        <v>983.0</v>
      </c>
      <c r="H102" s="5">
        <v>143.0</v>
      </c>
      <c r="I102" s="5">
        <v>75650.0</v>
      </c>
      <c r="J102" s="5">
        <v>75008.0</v>
      </c>
      <c r="K102" s="5">
        <v>12.0</v>
      </c>
      <c r="L102" s="9" t="s">
        <v>16</v>
      </c>
      <c r="M102" s="10"/>
      <c r="N102" s="10"/>
    </row>
    <row r="103" ht="14.25" customHeight="1">
      <c r="A103" s="5" t="s">
        <v>152</v>
      </c>
      <c r="B103" s="5" t="s">
        <v>13</v>
      </c>
      <c r="C103" s="6">
        <v>45553.0</v>
      </c>
      <c r="D103" s="5" t="s">
        <v>14</v>
      </c>
      <c r="E103" s="5" t="s">
        <v>15</v>
      </c>
      <c r="F103" s="5">
        <v>1000.0</v>
      </c>
      <c r="G103" s="5">
        <v>978.0</v>
      </c>
      <c r="H103" s="5">
        <v>162.0</v>
      </c>
      <c r="I103" s="5">
        <v>6000.0</v>
      </c>
      <c r="J103" s="5">
        <v>5221.0</v>
      </c>
      <c r="K103" s="5">
        <v>223.0</v>
      </c>
      <c r="L103" s="9" t="s">
        <v>30</v>
      </c>
      <c r="M103" s="10"/>
      <c r="N103" s="10"/>
    </row>
    <row r="104" ht="14.25" customHeight="1">
      <c r="A104" s="5" t="s">
        <v>153</v>
      </c>
      <c r="B104" s="5" t="s">
        <v>33</v>
      </c>
      <c r="C104" s="6">
        <v>45454.0</v>
      </c>
      <c r="D104" s="5" t="s">
        <v>39</v>
      </c>
      <c r="E104" s="5" t="s">
        <v>44</v>
      </c>
      <c r="F104" s="5">
        <v>3689.0</v>
      </c>
      <c r="G104" s="5">
        <v>48.0</v>
      </c>
      <c r="H104" s="5">
        <v>306.0</v>
      </c>
      <c r="I104" s="5">
        <v>40579.0</v>
      </c>
      <c r="J104" s="5">
        <v>39588.0</v>
      </c>
      <c r="K104" s="5">
        <v>212.0</v>
      </c>
      <c r="L104" s="9" t="s">
        <v>30</v>
      </c>
      <c r="M104" s="10"/>
      <c r="N104" s="10"/>
    </row>
    <row r="105" ht="14.25" customHeight="1">
      <c r="A105" s="5" t="s">
        <v>154</v>
      </c>
      <c r="B105" s="5" t="s">
        <v>24</v>
      </c>
      <c r="C105" s="6">
        <v>45739.0</v>
      </c>
      <c r="D105" s="5" t="s">
        <v>28</v>
      </c>
      <c r="E105" s="5" t="s">
        <v>98</v>
      </c>
      <c r="F105" s="5">
        <v>3655.0</v>
      </c>
      <c r="G105" s="5">
        <v>568.0</v>
      </c>
      <c r="H105" s="5">
        <v>286.0</v>
      </c>
      <c r="I105" s="5">
        <v>32895.0</v>
      </c>
      <c r="J105" s="5">
        <v>32015.0</v>
      </c>
      <c r="K105" s="5">
        <v>199.0</v>
      </c>
      <c r="L105" s="9" t="s">
        <v>21</v>
      </c>
      <c r="M105" s="10"/>
      <c r="N105" s="10"/>
    </row>
    <row r="106" ht="14.25" customHeight="1">
      <c r="A106" s="5" t="s">
        <v>155</v>
      </c>
      <c r="B106" s="5" t="s">
        <v>27</v>
      </c>
      <c r="C106" s="6">
        <v>45457.0</v>
      </c>
      <c r="D106" s="5" t="s">
        <v>34</v>
      </c>
      <c r="E106" s="5" t="s">
        <v>62</v>
      </c>
      <c r="F106" s="5">
        <v>498.0</v>
      </c>
      <c r="G106" s="5">
        <v>38.0</v>
      </c>
      <c r="H106" s="5">
        <v>42.0</v>
      </c>
      <c r="I106" s="5">
        <v>4482.0</v>
      </c>
      <c r="J106" s="5">
        <v>3647.0</v>
      </c>
      <c r="K106" s="5">
        <v>32.0</v>
      </c>
      <c r="L106" s="9" t="s">
        <v>16</v>
      </c>
      <c r="M106" s="10"/>
      <c r="N106" s="10"/>
    </row>
    <row r="107" ht="14.25" customHeight="1">
      <c r="A107" s="5" t="s">
        <v>156</v>
      </c>
      <c r="B107" s="5" t="s">
        <v>27</v>
      </c>
      <c r="C107" s="6">
        <v>45692.0</v>
      </c>
      <c r="D107" s="5" t="s">
        <v>39</v>
      </c>
      <c r="E107" s="5" t="s">
        <v>131</v>
      </c>
      <c r="F107" s="5">
        <v>4619.0</v>
      </c>
      <c r="G107" s="5">
        <v>821.0</v>
      </c>
      <c r="H107" s="5">
        <v>499.0</v>
      </c>
      <c r="I107" s="5">
        <v>69285.0</v>
      </c>
      <c r="J107" s="5">
        <v>69141.0</v>
      </c>
      <c r="K107" s="5">
        <v>298.0</v>
      </c>
      <c r="L107" s="9" t="s">
        <v>21</v>
      </c>
      <c r="M107" s="10"/>
      <c r="N107" s="10"/>
    </row>
    <row r="108" ht="14.25" customHeight="1">
      <c r="A108" s="5" t="s">
        <v>157</v>
      </c>
      <c r="B108" s="5" t="s">
        <v>24</v>
      </c>
      <c r="C108" s="6">
        <v>45464.0</v>
      </c>
      <c r="D108" s="5" t="s">
        <v>39</v>
      </c>
      <c r="E108" s="5" t="s">
        <v>40</v>
      </c>
      <c r="F108" s="5">
        <v>4832.0</v>
      </c>
      <c r="G108" s="5">
        <v>893.0</v>
      </c>
      <c r="H108" s="5">
        <v>10.0</v>
      </c>
      <c r="I108" s="5">
        <v>91808.0</v>
      </c>
      <c r="J108" s="5">
        <v>91296.0</v>
      </c>
      <c r="K108" s="5">
        <v>182.0</v>
      </c>
      <c r="L108" s="9" t="s">
        <v>21</v>
      </c>
      <c r="M108" s="10"/>
      <c r="N108" s="10"/>
    </row>
    <row r="109" ht="14.25" customHeight="1">
      <c r="A109" s="5" t="s">
        <v>158</v>
      </c>
      <c r="B109" s="5" t="s">
        <v>13</v>
      </c>
      <c r="C109" s="6">
        <v>45741.0</v>
      </c>
      <c r="D109" s="5" t="s">
        <v>53</v>
      </c>
      <c r="E109" s="5" t="s">
        <v>92</v>
      </c>
      <c r="F109" s="5">
        <v>4050.0</v>
      </c>
      <c r="G109" s="5">
        <v>871.0</v>
      </c>
      <c r="H109" s="5">
        <v>347.0</v>
      </c>
      <c r="I109" s="5">
        <v>52650.0</v>
      </c>
      <c r="J109" s="5">
        <v>51755.0</v>
      </c>
      <c r="K109" s="5">
        <v>209.0</v>
      </c>
      <c r="L109" s="9" t="s">
        <v>21</v>
      </c>
      <c r="M109" s="10"/>
      <c r="N109" s="10"/>
    </row>
    <row r="110" ht="14.25" customHeight="1">
      <c r="A110" s="5" t="s">
        <v>159</v>
      </c>
      <c r="B110" s="5" t="s">
        <v>13</v>
      </c>
      <c r="C110" s="6">
        <v>45512.0</v>
      </c>
      <c r="D110" s="5" t="s">
        <v>28</v>
      </c>
      <c r="E110" s="5" t="s">
        <v>95</v>
      </c>
      <c r="F110" s="5">
        <v>3649.0</v>
      </c>
      <c r="G110" s="5">
        <v>215.0</v>
      </c>
      <c r="H110" s="5">
        <v>413.0</v>
      </c>
      <c r="I110" s="5">
        <v>25543.0</v>
      </c>
      <c r="J110" s="5">
        <v>24963.0</v>
      </c>
      <c r="K110" s="5">
        <v>167.0</v>
      </c>
      <c r="L110" s="9" t="s">
        <v>16</v>
      </c>
      <c r="M110" s="10"/>
      <c r="N110" s="10"/>
    </row>
    <row r="111" ht="14.25" customHeight="1">
      <c r="A111" s="5" t="s">
        <v>160</v>
      </c>
      <c r="B111" s="5" t="s">
        <v>27</v>
      </c>
      <c r="C111" s="6">
        <v>45502.0</v>
      </c>
      <c r="D111" s="5" t="s">
        <v>14</v>
      </c>
      <c r="E111" s="5" t="s">
        <v>58</v>
      </c>
      <c r="F111" s="5">
        <v>3523.0</v>
      </c>
      <c r="G111" s="5">
        <v>753.0</v>
      </c>
      <c r="H111" s="5">
        <v>482.0</v>
      </c>
      <c r="I111" s="5">
        <v>38753.0</v>
      </c>
      <c r="J111" s="5">
        <v>38579.0</v>
      </c>
      <c r="K111" s="5">
        <v>270.0</v>
      </c>
      <c r="L111" s="9" t="s">
        <v>30</v>
      </c>
      <c r="M111" s="10"/>
      <c r="N111" s="10"/>
    </row>
    <row r="112" ht="14.25" customHeight="1">
      <c r="A112" s="5" t="s">
        <v>161</v>
      </c>
      <c r="B112" s="5" t="s">
        <v>24</v>
      </c>
      <c r="C112" s="6">
        <v>45619.0</v>
      </c>
      <c r="D112" s="5" t="s">
        <v>39</v>
      </c>
      <c r="E112" s="5" t="s">
        <v>40</v>
      </c>
      <c r="F112" s="5">
        <v>2719.0</v>
      </c>
      <c r="G112" s="5">
        <v>17.0</v>
      </c>
      <c r="H112" s="5">
        <v>285.0</v>
      </c>
      <c r="I112" s="5">
        <v>40785.0</v>
      </c>
      <c r="J112" s="5">
        <v>40281.0</v>
      </c>
      <c r="K112" s="5">
        <v>40.0</v>
      </c>
      <c r="L112" s="9" t="s">
        <v>21</v>
      </c>
      <c r="M112" s="10"/>
      <c r="N112" s="10"/>
    </row>
    <row r="113" ht="14.25" customHeight="1">
      <c r="A113" s="5" t="s">
        <v>162</v>
      </c>
      <c r="B113" s="5" t="s">
        <v>13</v>
      </c>
      <c r="C113" s="6">
        <v>45570.0</v>
      </c>
      <c r="D113" s="5" t="s">
        <v>28</v>
      </c>
      <c r="E113" s="5" t="s">
        <v>95</v>
      </c>
      <c r="F113" s="5">
        <v>1957.0</v>
      </c>
      <c r="G113" s="5">
        <v>877.0</v>
      </c>
      <c r="H113" s="5">
        <v>238.0</v>
      </c>
      <c r="I113" s="5">
        <v>17613.0</v>
      </c>
      <c r="J113" s="5">
        <v>16865.0</v>
      </c>
      <c r="K113" s="5">
        <v>297.0</v>
      </c>
      <c r="L113" s="9" t="s">
        <v>16</v>
      </c>
      <c r="M113" s="10"/>
      <c r="N113" s="10"/>
    </row>
    <row r="114" ht="14.25" customHeight="1">
      <c r="A114" s="5" t="s">
        <v>163</v>
      </c>
      <c r="B114" s="5" t="s">
        <v>13</v>
      </c>
      <c r="C114" s="6">
        <v>45567.0</v>
      </c>
      <c r="D114" s="5" t="s">
        <v>34</v>
      </c>
      <c r="E114" s="5" t="s">
        <v>37</v>
      </c>
      <c r="F114" s="5">
        <v>4419.0</v>
      </c>
      <c r="G114" s="5">
        <v>236.0</v>
      </c>
      <c r="H114" s="5">
        <v>369.0</v>
      </c>
      <c r="I114" s="5">
        <v>44190.0</v>
      </c>
      <c r="J114" s="5">
        <v>43582.0</v>
      </c>
      <c r="K114" s="5">
        <v>10.0</v>
      </c>
      <c r="L114" s="9" t="s">
        <v>30</v>
      </c>
      <c r="M114" s="10"/>
      <c r="N114" s="10"/>
    </row>
    <row r="115" ht="14.25" customHeight="1">
      <c r="A115" s="5" t="s">
        <v>164</v>
      </c>
      <c r="B115" s="5" t="s">
        <v>13</v>
      </c>
      <c r="C115" s="6">
        <v>45610.0</v>
      </c>
      <c r="D115" s="5" t="s">
        <v>28</v>
      </c>
      <c r="E115" s="5" t="s">
        <v>95</v>
      </c>
      <c r="F115" s="5">
        <v>4000.0</v>
      </c>
      <c r="G115" s="5">
        <v>689.0</v>
      </c>
      <c r="H115" s="5">
        <v>488.0</v>
      </c>
      <c r="I115" s="5">
        <v>40000.0</v>
      </c>
      <c r="J115" s="5">
        <v>39569.0</v>
      </c>
      <c r="K115" s="5">
        <v>44.0</v>
      </c>
      <c r="L115" s="9" t="s">
        <v>16</v>
      </c>
      <c r="M115" s="10"/>
      <c r="N115" s="10"/>
    </row>
    <row r="116" ht="14.25" customHeight="1">
      <c r="A116" s="5" t="s">
        <v>165</v>
      </c>
      <c r="B116" s="5" t="s">
        <v>13</v>
      </c>
      <c r="C116" s="6">
        <v>45788.0</v>
      </c>
      <c r="D116" s="5" t="s">
        <v>39</v>
      </c>
      <c r="E116" s="5" t="s">
        <v>85</v>
      </c>
      <c r="F116" s="5">
        <v>2493.0</v>
      </c>
      <c r="G116" s="5">
        <v>97.0</v>
      </c>
      <c r="H116" s="5">
        <v>44.0</v>
      </c>
      <c r="I116" s="5">
        <v>42381.0</v>
      </c>
      <c r="J116" s="5">
        <v>41991.0</v>
      </c>
      <c r="K116" s="5">
        <v>242.0</v>
      </c>
      <c r="L116" s="7" t="s">
        <v>21</v>
      </c>
      <c r="M116" s="7" t="s">
        <v>17</v>
      </c>
      <c r="N116" s="8"/>
    </row>
    <row r="117" ht="14.25" customHeight="1">
      <c r="A117" s="5" t="s">
        <v>166</v>
      </c>
      <c r="B117" s="5" t="s">
        <v>24</v>
      </c>
      <c r="C117" s="6">
        <v>45734.0</v>
      </c>
      <c r="D117" s="5" t="s">
        <v>14</v>
      </c>
      <c r="E117" s="5" t="s">
        <v>25</v>
      </c>
      <c r="F117" s="5">
        <v>3704.0</v>
      </c>
      <c r="G117" s="5">
        <v>186.0</v>
      </c>
      <c r="H117" s="5">
        <v>458.0</v>
      </c>
      <c r="I117" s="5">
        <v>25928.0</v>
      </c>
      <c r="J117" s="5">
        <v>25081.0</v>
      </c>
      <c r="K117" s="5">
        <v>131.0</v>
      </c>
      <c r="L117" s="9" t="s">
        <v>21</v>
      </c>
      <c r="M117" s="10"/>
      <c r="N117" s="10"/>
    </row>
    <row r="118" ht="14.25" customHeight="1">
      <c r="A118" s="5" t="s">
        <v>167</v>
      </c>
      <c r="B118" s="5" t="s">
        <v>13</v>
      </c>
      <c r="C118" s="6">
        <v>45600.0</v>
      </c>
      <c r="D118" s="5" t="s">
        <v>39</v>
      </c>
      <c r="E118" s="5" t="s">
        <v>85</v>
      </c>
      <c r="F118" s="5">
        <v>1606.0</v>
      </c>
      <c r="G118" s="5">
        <v>451.0</v>
      </c>
      <c r="H118" s="5">
        <v>405.0</v>
      </c>
      <c r="I118" s="5">
        <v>20878.0</v>
      </c>
      <c r="J118" s="5">
        <v>20190.0</v>
      </c>
      <c r="K118" s="5">
        <v>219.0</v>
      </c>
      <c r="L118" s="9" t="s">
        <v>30</v>
      </c>
      <c r="M118" s="10"/>
      <c r="N118" s="10"/>
    </row>
    <row r="119" ht="14.25" customHeight="1">
      <c r="A119" s="5" t="s">
        <v>168</v>
      </c>
      <c r="B119" s="5" t="s">
        <v>33</v>
      </c>
      <c r="C119" s="6">
        <v>45600.0</v>
      </c>
      <c r="D119" s="5" t="s">
        <v>39</v>
      </c>
      <c r="E119" s="5" t="s">
        <v>44</v>
      </c>
      <c r="F119" s="5">
        <v>4551.0</v>
      </c>
      <c r="G119" s="5">
        <v>714.0</v>
      </c>
      <c r="H119" s="5">
        <v>207.0</v>
      </c>
      <c r="I119" s="5">
        <v>68265.0</v>
      </c>
      <c r="J119" s="5">
        <v>67754.0</v>
      </c>
      <c r="K119" s="5">
        <v>57.0</v>
      </c>
      <c r="L119" s="9" t="s">
        <v>16</v>
      </c>
      <c r="M119" s="10"/>
      <c r="N119" s="10"/>
    </row>
    <row r="120" ht="14.25" customHeight="1">
      <c r="A120" s="5" t="s">
        <v>169</v>
      </c>
      <c r="B120" s="5" t="s">
        <v>27</v>
      </c>
      <c r="C120" s="6">
        <v>45695.0</v>
      </c>
      <c r="D120" s="5" t="s">
        <v>14</v>
      </c>
      <c r="E120" s="5" t="s">
        <v>58</v>
      </c>
      <c r="F120" s="5">
        <v>1970.0</v>
      </c>
      <c r="G120" s="5">
        <v>675.0</v>
      </c>
      <c r="H120" s="5">
        <v>478.0</v>
      </c>
      <c r="I120" s="5">
        <v>9850.0</v>
      </c>
      <c r="J120" s="5">
        <v>8924.0</v>
      </c>
      <c r="K120" s="5">
        <v>117.0</v>
      </c>
      <c r="L120" s="9" t="s">
        <v>16</v>
      </c>
      <c r="M120" s="10"/>
      <c r="N120" s="10"/>
    </row>
    <row r="121" ht="14.25" customHeight="1">
      <c r="A121" s="5" t="s">
        <v>170</v>
      </c>
      <c r="B121" s="5" t="s">
        <v>33</v>
      </c>
      <c r="C121" s="6">
        <v>45586.0</v>
      </c>
      <c r="D121" s="5" t="s">
        <v>28</v>
      </c>
      <c r="E121" s="5" t="s">
        <v>51</v>
      </c>
      <c r="F121" s="5">
        <v>780.0</v>
      </c>
      <c r="G121" s="5">
        <v>928.0</v>
      </c>
      <c r="H121" s="5">
        <v>301.0</v>
      </c>
      <c r="I121" s="5">
        <v>8580.0</v>
      </c>
      <c r="J121" s="5">
        <v>8081.0</v>
      </c>
      <c r="K121" s="5">
        <v>91.0</v>
      </c>
      <c r="L121" s="9" t="s">
        <v>30</v>
      </c>
      <c r="M121" s="10"/>
      <c r="N121" s="10"/>
    </row>
    <row r="122" ht="14.25" customHeight="1">
      <c r="A122" s="5" t="s">
        <v>171</v>
      </c>
      <c r="B122" s="5" t="s">
        <v>27</v>
      </c>
      <c r="C122" s="6">
        <v>45502.0</v>
      </c>
      <c r="D122" s="5" t="s">
        <v>28</v>
      </c>
      <c r="E122" s="5" t="s">
        <v>29</v>
      </c>
      <c r="F122" s="5">
        <v>498.0</v>
      </c>
      <c r="G122" s="5">
        <v>701.0</v>
      </c>
      <c r="H122" s="5">
        <v>412.0</v>
      </c>
      <c r="I122" s="5">
        <v>4980.0</v>
      </c>
      <c r="J122" s="5">
        <v>4185.0</v>
      </c>
      <c r="K122" s="5">
        <v>185.0</v>
      </c>
      <c r="L122" s="9" t="s">
        <v>16</v>
      </c>
      <c r="M122" s="10"/>
      <c r="N122" s="10"/>
    </row>
    <row r="123" ht="14.25" customHeight="1">
      <c r="A123" s="5" t="s">
        <v>172</v>
      </c>
      <c r="B123" s="5" t="s">
        <v>27</v>
      </c>
      <c r="C123" s="6">
        <v>45567.0</v>
      </c>
      <c r="D123" s="5" t="s">
        <v>19</v>
      </c>
      <c r="E123" s="5" t="s">
        <v>75</v>
      </c>
      <c r="F123" s="5">
        <v>3432.0</v>
      </c>
      <c r="G123" s="5">
        <v>869.0</v>
      </c>
      <c r="H123" s="5">
        <v>123.0</v>
      </c>
      <c r="I123" s="5">
        <v>54912.0</v>
      </c>
      <c r="J123" s="5">
        <v>53916.0</v>
      </c>
      <c r="K123" s="5">
        <v>264.0</v>
      </c>
      <c r="L123" s="9" t="s">
        <v>30</v>
      </c>
      <c r="M123" s="10"/>
      <c r="N123" s="10"/>
    </row>
    <row r="124" ht="14.25" customHeight="1">
      <c r="A124" s="5" t="s">
        <v>173</v>
      </c>
      <c r="B124" s="5" t="s">
        <v>27</v>
      </c>
      <c r="C124" s="6">
        <v>45457.0</v>
      </c>
      <c r="D124" s="5" t="s">
        <v>28</v>
      </c>
      <c r="E124" s="5" t="s">
        <v>29</v>
      </c>
      <c r="F124" s="5">
        <v>4363.0</v>
      </c>
      <c r="G124" s="5">
        <v>649.0</v>
      </c>
      <c r="H124" s="5">
        <v>140.0</v>
      </c>
      <c r="I124" s="5">
        <v>21815.0</v>
      </c>
      <c r="J124" s="5">
        <v>21481.0</v>
      </c>
      <c r="K124" s="5">
        <v>157.0</v>
      </c>
      <c r="L124" s="9" t="s">
        <v>30</v>
      </c>
      <c r="M124" s="10"/>
      <c r="N124" s="10"/>
    </row>
    <row r="125" ht="14.25" customHeight="1">
      <c r="A125" s="5" t="s">
        <v>174</v>
      </c>
      <c r="B125" s="5" t="s">
        <v>24</v>
      </c>
      <c r="C125" s="6">
        <v>45753.0</v>
      </c>
      <c r="D125" s="5" t="s">
        <v>34</v>
      </c>
      <c r="E125" s="5" t="s">
        <v>49</v>
      </c>
      <c r="F125" s="5">
        <v>736.0</v>
      </c>
      <c r="G125" s="5">
        <v>771.0</v>
      </c>
      <c r="H125" s="5">
        <v>225.0</v>
      </c>
      <c r="I125" s="5">
        <v>5152.0</v>
      </c>
      <c r="J125" s="5">
        <v>4706.0</v>
      </c>
      <c r="K125" s="5">
        <v>19.0</v>
      </c>
      <c r="L125" s="9" t="s">
        <v>30</v>
      </c>
      <c r="M125" s="10"/>
      <c r="N125" s="10"/>
    </row>
    <row r="126" ht="14.25" customHeight="1">
      <c r="A126" s="5" t="s">
        <v>175</v>
      </c>
      <c r="B126" s="5" t="s">
        <v>13</v>
      </c>
      <c r="C126" s="6">
        <v>45543.0</v>
      </c>
      <c r="D126" s="5" t="s">
        <v>34</v>
      </c>
      <c r="E126" s="5" t="s">
        <v>37</v>
      </c>
      <c r="F126" s="5">
        <v>3811.0</v>
      </c>
      <c r="G126" s="5">
        <v>866.0</v>
      </c>
      <c r="H126" s="5">
        <v>216.0</v>
      </c>
      <c r="I126" s="5">
        <v>34299.0</v>
      </c>
      <c r="J126" s="5">
        <v>34088.0</v>
      </c>
      <c r="K126" s="5">
        <v>233.0</v>
      </c>
      <c r="L126" s="9" t="s">
        <v>21</v>
      </c>
      <c r="M126" s="10"/>
      <c r="N126" s="10"/>
    </row>
    <row r="127" ht="14.25" customHeight="1">
      <c r="A127" s="5" t="s">
        <v>176</v>
      </c>
      <c r="B127" s="5" t="s">
        <v>27</v>
      </c>
      <c r="C127" s="6">
        <v>45744.0</v>
      </c>
      <c r="D127" s="5" t="s">
        <v>34</v>
      </c>
      <c r="E127" s="5" t="s">
        <v>62</v>
      </c>
      <c r="F127" s="5">
        <v>4158.0</v>
      </c>
      <c r="G127" s="5">
        <v>167.0</v>
      </c>
      <c r="H127" s="5">
        <v>241.0</v>
      </c>
      <c r="I127" s="5">
        <v>45738.0</v>
      </c>
      <c r="J127" s="5">
        <v>45183.0</v>
      </c>
      <c r="K127" s="5">
        <v>142.0</v>
      </c>
      <c r="L127" s="9" t="s">
        <v>16</v>
      </c>
      <c r="M127" s="10"/>
      <c r="N127" s="10"/>
    </row>
    <row r="128" ht="14.25" customHeight="1">
      <c r="A128" s="5" t="s">
        <v>177</v>
      </c>
      <c r="B128" s="5" t="s">
        <v>33</v>
      </c>
      <c r="C128" s="6">
        <v>45684.0</v>
      </c>
      <c r="D128" s="5" t="s">
        <v>14</v>
      </c>
      <c r="E128" s="5" t="s">
        <v>47</v>
      </c>
      <c r="F128" s="5">
        <v>3452.0</v>
      </c>
      <c r="G128" s="5">
        <v>652.0</v>
      </c>
      <c r="H128" s="5">
        <v>442.0</v>
      </c>
      <c r="I128" s="5">
        <v>65588.0</v>
      </c>
      <c r="J128" s="5">
        <v>65049.0</v>
      </c>
      <c r="K128" s="5">
        <v>158.0</v>
      </c>
      <c r="L128" s="9" t="s">
        <v>16</v>
      </c>
      <c r="M128" s="10"/>
      <c r="N128" s="10"/>
    </row>
    <row r="129" ht="14.25" customHeight="1">
      <c r="A129" s="5" t="s">
        <v>178</v>
      </c>
      <c r="B129" s="5" t="s">
        <v>13</v>
      </c>
      <c r="C129" s="6">
        <v>45667.0</v>
      </c>
      <c r="D129" s="5" t="s">
        <v>39</v>
      </c>
      <c r="E129" s="5" t="s">
        <v>85</v>
      </c>
      <c r="F129" s="5">
        <v>3092.0</v>
      </c>
      <c r="G129" s="5">
        <v>106.0</v>
      </c>
      <c r="H129" s="5">
        <v>291.0</v>
      </c>
      <c r="I129" s="5">
        <v>27828.0</v>
      </c>
      <c r="J129" s="5">
        <v>27217.0</v>
      </c>
      <c r="K129" s="5">
        <v>102.0</v>
      </c>
      <c r="L129" s="9" t="s">
        <v>16</v>
      </c>
      <c r="M129" s="10"/>
      <c r="N129" s="10"/>
    </row>
    <row r="130" ht="14.25" customHeight="1">
      <c r="A130" s="5" t="s">
        <v>179</v>
      </c>
      <c r="B130" s="5" t="s">
        <v>13</v>
      </c>
      <c r="C130" s="6">
        <v>45494.0</v>
      </c>
      <c r="D130" s="5" t="s">
        <v>19</v>
      </c>
      <c r="E130" s="5" t="s">
        <v>20</v>
      </c>
      <c r="F130" s="5">
        <v>2147.0</v>
      </c>
      <c r="G130" s="5">
        <v>430.0</v>
      </c>
      <c r="H130" s="5">
        <v>393.0</v>
      </c>
      <c r="I130" s="5">
        <v>17176.0</v>
      </c>
      <c r="J130" s="5">
        <v>16483.0</v>
      </c>
      <c r="K130" s="5">
        <v>170.0</v>
      </c>
      <c r="L130" s="9" t="s">
        <v>21</v>
      </c>
      <c r="M130" s="10"/>
      <c r="N130" s="10"/>
    </row>
    <row r="131" ht="14.25" customHeight="1">
      <c r="A131" s="5" t="s">
        <v>180</v>
      </c>
      <c r="B131" s="5" t="s">
        <v>24</v>
      </c>
      <c r="C131" s="6">
        <v>45564.0</v>
      </c>
      <c r="D131" s="5" t="s">
        <v>14</v>
      </c>
      <c r="E131" s="5" t="s">
        <v>25</v>
      </c>
      <c r="F131" s="5">
        <v>2936.0</v>
      </c>
      <c r="G131" s="5">
        <v>439.0</v>
      </c>
      <c r="H131" s="5">
        <v>44.0</v>
      </c>
      <c r="I131" s="5">
        <v>38168.0</v>
      </c>
      <c r="J131" s="5">
        <v>37571.0</v>
      </c>
      <c r="K131" s="5">
        <v>22.0</v>
      </c>
      <c r="L131" s="9" t="s">
        <v>30</v>
      </c>
      <c r="M131" s="10"/>
      <c r="N131" s="10"/>
    </row>
    <row r="132" ht="14.25" customHeight="1">
      <c r="A132" s="5" t="s">
        <v>181</v>
      </c>
      <c r="B132" s="5" t="s">
        <v>27</v>
      </c>
      <c r="C132" s="6">
        <v>45586.0</v>
      </c>
      <c r="D132" s="5" t="s">
        <v>14</v>
      </c>
      <c r="E132" s="5" t="s">
        <v>58</v>
      </c>
      <c r="F132" s="5">
        <v>4840.0</v>
      </c>
      <c r="G132" s="5">
        <v>658.0</v>
      </c>
      <c r="H132" s="5">
        <v>211.0</v>
      </c>
      <c r="I132" s="5">
        <v>43560.0</v>
      </c>
      <c r="J132" s="5">
        <v>43225.0</v>
      </c>
      <c r="K132" s="5">
        <v>57.0</v>
      </c>
      <c r="L132" s="9" t="s">
        <v>16</v>
      </c>
      <c r="M132" s="10"/>
      <c r="N132" s="10"/>
    </row>
    <row r="133" ht="14.25" customHeight="1">
      <c r="A133" s="5" t="s">
        <v>182</v>
      </c>
      <c r="B133" s="5" t="s">
        <v>27</v>
      </c>
      <c r="C133" s="6">
        <v>45720.0</v>
      </c>
      <c r="D133" s="5" t="s">
        <v>28</v>
      </c>
      <c r="E133" s="5" t="s">
        <v>29</v>
      </c>
      <c r="F133" s="5">
        <v>1947.0</v>
      </c>
      <c r="G133" s="5">
        <v>842.0</v>
      </c>
      <c r="H133" s="5">
        <v>101.0</v>
      </c>
      <c r="I133" s="5">
        <v>21417.0</v>
      </c>
      <c r="J133" s="5">
        <v>20967.0</v>
      </c>
      <c r="K133" s="5">
        <v>186.0</v>
      </c>
      <c r="L133" s="9" t="s">
        <v>16</v>
      </c>
      <c r="M133" s="10"/>
      <c r="N133" s="10"/>
    </row>
    <row r="134" ht="14.25" customHeight="1">
      <c r="A134" s="5" t="s">
        <v>183</v>
      </c>
      <c r="B134" s="5" t="s">
        <v>33</v>
      </c>
      <c r="C134" s="6">
        <v>45694.0</v>
      </c>
      <c r="D134" s="5" t="s">
        <v>39</v>
      </c>
      <c r="E134" s="5" t="s">
        <v>44</v>
      </c>
      <c r="F134" s="5">
        <v>2072.0</v>
      </c>
      <c r="G134" s="5">
        <v>532.0</v>
      </c>
      <c r="H134" s="5">
        <v>71.0</v>
      </c>
      <c r="I134" s="5">
        <v>37296.0</v>
      </c>
      <c r="J134" s="5">
        <v>36467.0</v>
      </c>
      <c r="K134" s="5">
        <v>25.0</v>
      </c>
      <c r="L134" s="9" t="s">
        <v>21</v>
      </c>
      <c r="M134" s="10"/>
      <c r="N134" s="10"/>
    </row>
    <row r="135" ht="14.25" customHeight="1">
      <c r="A135" s="5" t="s">
        <v>184</v>
      </c>
      <c r="B135" s="5" t="s">
        <v>13</v>
      </c>
      <c r="C135" s="6">
        <v>45771.0</v>
      </c>
      <c r="D135" s="5" t="s">
        <v>14</v>
      </c>
      <c r="E135" s="5" t="s">
        <v>15</v>
      </c>
      <c r="F135" s="5">
        <v>3731.0</v>
      </c>
      <c r="G135" s="5">
        <v>115.0</v>
      </c>
      <c r="H135" s="5">
        <v>135.0</v>
      </c>
      <c r="I135" s="5">
        <v>55965.0</v>
      </c>
      <c r="J135" s="5">
        <v>55436.0</v>
      </c>
      <c r="K135" s="5">
        <v>103.0</v>
      </c>
      <c r="L135" s="9" t="s">
        <v>21</v>
      </c>
      <c r="M135" s="10"/>
      <c r="N135" s="10"/>
    </row>
    <row r="136" ht="14.25" customHeight="1">
      <c r="A136" s="5" t="s">
        <v>185</v>
      </c>
      <c r="B136" s="5" t="s">
        <v>33</v>
      </c>
      <c r="C136" s="6">
        <v>45624.0</v>
      </c>
      <c r="D136" s="5" t="s">
        <v>19</v>
      </c>
      <c r="E136" s="5" t="s">
        <v>42</v>
      </c>
      <c r="F136" s="5">
        <v>4213.0</v>
      </c>
      <c r="G136" s="5">
        <v>253.0</v>
      </c>
      <c r="H136" s="5">
        <v>434.0</v>
      </c>
      <c r="I136" s="5">
        <v>75834.0</v>
      </c>
      <c r="J136" s="5">
        <v>75437.0</v>
      </c>
      <c r="K136" s="5">
        <v>272.0</v>
      </c>
      <c r="L136" s="9" t="s">
        <v>16</v>
      </c>
      <c r="M136" s="10"/>
      <c r="N136" s="10"/>
    </row>
    <row r="137" ht="14.25" customHeight="1">
      <c r="A137" s="5" t="s">
        <v>186</v>
      </c>
      <c r="B137" s="5" t="s">
        <v>27</v>
      </c>
      <c r="C137" s="6">
        <v>45484.0</v>
      </c>
      <c r="D137" s="5" t="s">
        <v>19</v>
      </c>
      <c r="E137" s="5" t="s">
        <v>75</v>
      </c>
      <c r="F137" s="5">
        <v>3134.0</v>
      </c>
      <c r="G137" s="5">
        <v>888.0</v>
      </c>
      <c r="H137" s="5">
        <v>444.0</v>
      </c>
      <c r="I137" s="5">
        <v>21938.0</v>
      </c>
      <c r="J137" s="5">
        <v>21337.0</v>
      </c>
      <c r="K137" s="5">
        <v>130.0</v>
      </c>
      <c r="L137" s="9" t="s">
        <v>30</v>
      </c>
      <c r="M137" s="10"/>
      <c r="N137" s="10"/>
    </row>
    <row r="138" ht="14.25" customHeight="1">
      <c r="A138" s="5" t="s">
        <v>187</v>
      </c>
      <c r="B138" s="5" t="s">
        <v>33</v>
      </c>
      <c r="C138" s="6">
        <v>45504.0</v>
      </c>
      <c r="D138" s="5" t="s">
        <v>53</v>
      </c>
      <c r="E138" s="5" t="s">
        <v>54</v>
      </c>
      <c r="F138" s="5">
        <v>3008.0</v>
      </c>
      <c r="G138" s="5">
        <v>94.0</v>
      </c>
      <c r="H138" s="5">
        <v>37.0</v>
      </c>
      <c r="I138" s="5">
        <v>15040.0</v>
      </c>
      <c r="J138" s="5">
        <v>14639.0</v>
      </c>
      <c r="K138" s="5">
        <v>277.0</v>
      </c>
      <c r="L138" s="9" t="s">
        <v>16</v>
      </c>
      <c r="M138" s="10"/>
      <c r="N138" s="10"/>
    </row>
    <row r="139" ht="14.25" customHeight="1">
      <c r="A139" s="5" t="s">
        <v>188</v>
      </c>
      <c r="B139" s="5" t="s">
        <v>13</v>
      </c>
      <c r="C139" s="6">
        <v>45745.0</v>
      </c>
      <c r="D139" s="5" t="s">
        <v>39</v>
      </c>
      <c r="E139" s="5" t="s">
        <v>85</v>
      </c>
      <c r="F139" s="5">
        <v>305.0</v>
      </c>
      <c r="G139" s="5">
        <v>187.0</v>
      </c>
      <c r="H139" s="5">
        <v>243.0</v>
      </c>
      <c r="I139" s="5">
        <v>4575.0</v>
      </c>
      <c r="J139" s="5">
        <v>3704.0</v>
      </c>
      <c r="K139" s="5">
        <v>234.0</v>
      </c>
      <c r="L139" s="9" t="s">
        <v>16</v>
      </c>
      <c r="M139" s="10"/>
      <c r="N139" s="10"/>
    </row>
    <row r="140" ht="14.25" customHeight="1">
      <c r="A140" s="5" t="s">
        <v>189</v>
      </c>
      <c r="B140" s="5" t="s">
        <v>24</v>
      </c>
      <c r="C140" s="6">
        <v>45594.0</v>
      </c>
      <c r="D140" s="5" t="s">
        <v>19</v>
      </c>
      <c r="E140" s="5" t="s">
        <v>70</v>
      </c>
      <c r="F140" s="5">
        <v>2746.0</v>
      </c>
      <c r="G140" s="5">
        <v>156.0</v>
      </c>
      <c r="H140" s="5">
        <v>203.0</v>
      </c>
      <c r="I140" s="5">
        <v>32952.0</v>
      </c>
      <c r="J140" s="5">
        <v>32147.0</v>
      </c>
      <c r="K140" s="5">
        <v>147.0</v>
      </c>
      <c r="L140" s="9" t="s">
        <v>30</v>
      </c>
      <c r="M140" s="10"/>
      <c r="N140" s="10"/>
    </row>
    <row r="141" ht="14.25" customHeight="1">
      <c r="A141" s="5" t="s">
        <v>190</v>
      </c>
      <c r="B141" s="5" t="s">
        <v>33</v>
      </c>
      <c r="C141" s="6">
        <v>45488.0</v>
      </c>
      <c r="D141" s="5" t="s">
        <v>39</v>
      </c>
      <c r="E141" s="5" t="s">
        <v>44</v>
      </c>
      <c r="F141" s="5">
        <v>2291.0</v>
      </c>
      <c r="G141" s="5">
        <v>78.0</v>
      </c>
      <c r="H141" s="5">
        <v>485.0</v>
      </c>
      <c r="I141" s="5">
        <v>18328.0</v>
      </c>
      <c r="J141" s="5">
        <v>18101.0</v>
      </c>
      <c r="K141" s="5">
        <v>10.0</v>
      </c>
      <c r="L141" s="7" t="s">
        <v>30</v>
      </c>
      <c r="M141" s="7" t="s">
        <v>191</v>
      </c>
      <c r="N141" s="8"/>
    </row>
    <row r="142" ht="14.25" customHeight="1">
      <c r="A142" s="5" t="s">
        <v>192</v>
      </c>
      <c r="B142" s="5" t="s">
        <v>13</v>
      </c>
      <c r="C142" s="6">
        <v>45535.0</v>
      </c>
      <c r="D142" s="5" t="s">
        <v>39</v>
      </c>
      <c r="E142" s="5" t="s">
        <v>85</v>
      </c>
      <c r="F142" s="5">
        <v>3170.0</v>
      </c>
      <c r="G142" s="5">
        <v>857.0</v>
      </c>
      <c r="H142" s="5">
        <v>379.0</v>
      </c>
      <c r="I142" s="5">
        <v>19020.0</v>
      </c>
      <c r="J142" s="5">
        <v>18559.0</v>
      </c>
      <c r="K142" s="5">
        <v>240.0</v>
      </c>
      <c r="L142" s="9" t="s">
        <v>16</v>
      </c>
      <c r="M142" s="10"/>
      <c r="N142" s="10"/>
    </row>
    <row r="143" ht="14.25" customHeight="1">
      <c r="A143" s="5" t="s">
        <v>193</v>
      </c>
      <c r="B143" s="5" t="s">
        <v>24</v>
      </c>
      <c r="C143" s="6">
        <v>45741.0</v>
      </c>
      <c r="D143" s="5" t="s">
        <v>28</v>
      </c>
      <c r="E143" s="5" t="s">
        <v>98</v>
      </c>
      <c r="F143" s="5">
        <v>2070.0</v>
      </c>
      <c r="G143" s="5">
        <v>275.0</v>
      </c>
      <c r="H143" s="5">
        <v>386.0</v>
      </c>
      <c r="I143" s="5">
        <v>39330.0</v>
      </c>
      <c r="J143" s="5">
        <v>38627.0</v>
      </c>
      <c r="K143" s="5">
        <v>114.0</v>
      </c>
      <c r="L143" s="9" t="s">
        <v>16</v>
      </c>
      <c r="M143" s="10"/>
      <c r="N143" s="10"/>
    </row>
    <row r="144" ht="14.25" customHeight="1">
      <c r="A144" s="5" t="s">
        <v>194</v>
      </c>
      <c r="B144" s="5" t="s">
        <v>24</v>
      </c>
      <c r="C144" s="6">
        <v>45567.0</v>
      </c>
      <c r="D144" s="5" t="s">
        <v>34</v>
      </c>
      <c r="E144" s="5" t="s">
        <v>49</v>
      </c>
      <c r="F144" s="5">
        <v>80.0</v>
      </c>
      <c r="G144" s="5">
        <v>362.0</v>
      </c>
      <c r="H144" s="5">
        <v>80.0</v>
      </c>
      <c r="I144" s="5">
        <v>1040.0</v>
      </c>
      <c r="J144" s="5">
        <v>349.0</v>
      </c>
      <c r="K144" s="5">
        <v>117.0</v>
      </c>
      <c r="L144" s="9" t="s">
        <v>21</v>
      </c>
      <c r="M144" s="10"/>
      <c r="N144" s="10"/>
    </row>
    <row r="145" ht="14.25" customHeight="1">
      <c r="A145" s="5" t="s">
        <v>195</v>
      </c>
      <c r="B145" s="5" t="s">
        <v>24</v>
      </c>
      <c r="C145" s="6">
        <v>45593.0</v>
      </c>
      <c r="D145" s="5" t="s">
        <v>28</v>
      </c>
      <c r="E145" s="5" t="s">
        <v>98</v>
      </c>
      <c r="F145" s="5">
        <v>4929.0</v>
      </c>
      <c r="G145" s="5">
        <v>749.0</v>
      </c>
      <c r="H145" s="5">
        <v>452.0</v>
      </c>
      <c r="I145" s="5">
        <v>93651.0</v>
      </c>
      <c r="J145" s="5">
        <v>92810.0</v>
      </c>
      <c r="K145" s="5">
        <v>66.0</v>
      </c>
      <c r="L145" s="9" t="s">
        <v>30</v>
      </c>
      <c r="M145" s="10"/>
      <c r="N145" s="10"/>
    </row>
    <row r="146" ht="14.25" customHeight="1">
      <c r="A146" s="5" t="s">
        <v>196</v>
      </c>
      <c r="B146" s="5" t="s">
        <v>27</v>
      </c>
      <c r="C146" s="6">
        <v>45516.0</v>
      </c>
      <c r="D146" s="5" t="s">
        <v>34</v>
      </c>
      <c r="E146" s="5" t="s">
        <v>62</v>
      </c>
      <c r="F146" s="5">
        <v>1878.0</v>
      </c>
      <c r="G146" s="5">
        <v>62.0</v>
      </c>
      <c r="H146" s="5">
        <v>179.0</v>
      </c>
      <c r="I146" s="5">
        <v>37560.0</v>
      </c>
      <c r="J146" s="5">
        <v>36874.0</v>
      </c>
      <c r="K146" s="5">
        <v>142.0</v>
      </c>
      <c r="L146" s="9" t="s">
        <v>21</v>
      </c>
      <c r="M146" s="10"/>
      <c r="N146" s="10"/>
    </row>
    <row r="147" ht="14.25" customHeight="1">
      <c r="A147" s="5" t="s">
        <v>197</v>
      </c>
      <c r="B147" s="5" t="s">
        <v>24</v>
      </c>
      <c r="C147" s="6">
        <v>45448.0</v>
      </c>
      <c r="D147" s="5" t="s">
        <v>14</v>
      </c>
      <c r="E147" s="5" t="s">
        <v>25</v>
      </c>
      <c r="F147" s="5">
        <v>3065.0</v>
      </c>
      <c r="G147" s="5">
        <v>772.0</v>
      </c>
      <c r="H147" s="5">
        <v>142.0</v>
      </c>
      <c r="I147" s="5">
        <v>18390.0</v>
      </c>
      <c r="J147" s="5">
        <v>17875.0</v>
      </c>
      <c r="K147" s="5">
        <v>200.0</v>
      </c>
      <c r="L147" s="7" t="s">
        <v>30</v>
      </c>
      <c r="M147" s="7" t="s">
        <v>17</v>
      </c>
      <c r="N147" s="8"/>
    </row>
    <row r="148" ht="14.25" customHeight="1">
      <c r="A148" s="5" t="s">
        <v>198</v>
      </c>
      <c r="B148" s="5" t="s">
        <v>27</v>
      </c>
      <c r="C148" s="6">
        <v>45586.0</v>
      </c>
      <c r="D148" s="5" t="s">
        <v>14</v>
      </c>
      <c r="E148" s="5" t="s">
        <v>58</v>
      </c>
      <c r="F148" s="5">
        <v>3256.0</v>
      </c>
      <c r="G148" s="5">
        <v>459.0</v>
      </c>
      <c r="H148" s="5">
        <v>266.0</v>
      </c>
      <c r="I148" s="5">
        <v>26048.0</v>
      </c>
      <c r="J148" s="5">
        <v>25529.0</v>
      </c>
      <c r="K148" s="5">
        <v>143.0</v>
      </c>
      <c r="L148" s="9" t="s">
        <v>21</v>
      </c>
      <c r="M148" s="10"/>
      <c r="N148" s="10"/>
    </row>
    <row r="149" ht="14.25" customHeight="1">
      <c r="A149" s="5" t="s">
        <v>199</v>
      </c>
      <c r="B149" s="5" t="s">
        <v>27</v>
      </c>
      <c r="C149" s="6">
        <v>45762.0</v>
      </c>
      <c r="D149" s="5" t="s">
        <v>53</v>
      </c>
      <c r="E149" s="5" t="s">
        <v>60</v>
      </c>
      <c r="F149" s="5">
        <v>4133.0</v>
      </c>
      <c r="G149" s="5">
        <v>466.0</v>
      </c>
      <c r="H149" s="5">
        <v>327.0</v>
      </c>
      <c r="I149" s="5">
        <v>24798.0</v>
      </c>
      <c r="J149" s="5">
        <v>24620.0</v>
      </c>
      <c r="K149" s="5">
        <v>176.0</v>
      </c>
      <c r="L149" s="9" t="s">
        <v>30</v>
      </c>
      <c r="M149" s="10"/>
      <c r="N149" s="10"/>
    </row>
    <row r="150" ht="14.25" customHeight="1">
      <c r="A150" s="5" t="s">
        <v>200</v>
      </c>
      <c r="B150" s="5" t="s">
        <v>13</v>
      </c>
      <c r="C150" s="6">
        <v>45459.0</v>
      </c>
      <c r="D150" s="5" t="s">
        <v>53</v>
      </c>
      <c r="E150" s="5" t="s">
        <v>92</v>
      </c>
      <c r="F150" s="5">
        <v>1702.0</v>
      </c>
      <c r="G150" s="5">
        <v>750.0</v>
      </c>
      <c r="H150" s="5">
        <v>179.0</v>
      </c>
      <c r="I150" s="5">
        <v>34040.0</v>
      </c>
      <c r="J150" s="5">
        <v>33174.0</v>
      </c>
      <c r="K150" s="5">
        <v>76.0</v>
      </c>
      <c r="L150" s="9" t="s">
        <v>30</v>
      </c>
      <c r="M150" s="10"/>
      <c r="N150" s="10"/>
    </row>
    <row r="151" ht="14.25" customHeight="1">
      <c r="A151" s="5" t="s">
        <v>201</v>
      </c>
      <c r="B151" s="5" t="s">
        <v>24</v>
      </c>
      <c r="C151" s="6">
        <v>45526.0</v>
      </c>
      <c r="D151" s="5" t="s">
        <v>34</v>
      </c>
      <c r="E151" s="5" t="s">
        <v>49</v>
      </c>
      <c r="F151" s="5">
        <v>4295.0</v>
      </c>
      <c r="G151" s="5">
        <v>853.0</v>
      </c>
      <c r="H151" s="5">
        <v>325.0</v>
      </c>
      <c r="I151" s="5">
        <v>85900.0</v>
      </c>
      <c r="J151" s="5">
        <v>85788.0</v>
      </c>
      <c r="K151" s="5">
        <v>290.0</v>
      </c>
      <c r="L151" s="9" t="s">
        <v>21</v>
      </c>
      <c r="M151" s="10"/>
      <c r="N151" s="10"/>
    </row>
    <row r="152" ht="14.25" customHeight="1">
      <c r="A152" s="5" t="s">
        <v>202</v>
      </c>
      <c r="B152" s="5" t="s">
        <v>27</v>
      </c>
      <c r="C152" s="6">
        <v>45499.0</v>
      </c>
      <c r="D152" s="5" t="s">
        <v>39</v>
      </c>
      <c r="E152" s="5" t="s">
        <v>131</v>
      </c>
      <c r="F152" s="5">
        <v>3559.0</v>
      </c>
      <c r="G152" s="5">
        <v>59.0</v>
      </c>
      <c r="H152" s="5">
        <v>289.0</v>
      </c>
      <c r="I152" s="5">
        <v>35590.0</v>
      </c>
      <c r="J152" s="5">
        <v>35105.0</v>
      </c>
      <c r="K152" s="5">
        <v>122.0</v>
      </c>
      <c r="L152" s="9" t="s">
        <v>30</v>
      </c>
      <c r="M152" s="10"/>
      <c r="N152" s="10"/>
    </row>
    <row r="153" ht="14.25" customHeight="1">
      <c r="A153" s="5" t="s">
        <v>203</v>
      </c>
      <c r="B153" s="5" t="s">
        <v>33</v>
      </c>
      <c r="C153" s="6">
        <v>45769.0</v>
      </c>
      <c r="D153" s="5" t="s">
        <v>39</v>
      </c>
      <c r="E153" s="5" t="s">
        <v>44</v>
      </c>
      <c r="F153" s="5">
        <v>4804.0</v>
      </c>
      <c r="G153" s="5">
        <v>550.0</v>
      </c>
      <c r="H153" s="5">
        <v>270.0</v>
      </c>
      <c r="I153" s="5">
        <v>28824.0</v>
      </c>
      <c r="J153" s="5">
        <v>28370.0</v>
      </c>
      <c r="K153" s="5">
        <v>47.0</v>
      </c>
      <c r="L153" s="9" t="s">
        <v>30</v>
      </c>
      <c r="M153" s="10"/>
      <c r="N153" s="10"/>
    </row>
    <row r="154" ht="14.25" customHeight="1">
      <c r="A154" s="5" t="s">
        <v>204</v>
      </c>
      <c r="B154" s="5" t="s">
        <v>13</v>
      </c>
      <c r="C154" s="6">
        <v>45658.0</v>
      </c>
      <c r="D154" s="5" t="s">
        <v>53</v>
      </c>
      <c r="E154" s="5" t="s">
        <v>92</v>
      </c>
      <c r="F154" s="5">
        <v>754.0</v>
      </c>
      <c r="G154" s="5">
        <v>197.0</v>
      </c>
      <c r="H154" s="5">
        <v>257.0</v>
      </c>
      <c r="I154" s="5">
        <v>6786.0</v>
      </c>
      <c r="J154" s="5">
        <v>6221.0</v>
      </c>
      <c r="K154" s="5">
        <v>212.0</v>
      </c>
      <c r="L154" s="9" t="s">
        <v>21</v>
      </c>
      <c r="M154" s="10"/>
      <c r="N154" s="10"/>
    </row>
    <row r="155" ht="14.25" customHeight="1">
      <c r="A155" s="5" t="s">
        <v>205</v>
      </c>
      <c r="B155" s="5" t="s">
        <v>27</v>
      </c>
      <c r="C155" s="6">
        <v>45574.0</v>
      </c>
      <c r="D155" s="5" t="s">
        <v>34</v>
      </c>
      <c r="E155" s="5" t="s">
        <v>62</v>
      </c>
      <c r="F155" s="5">
        <v>985.0</v>
      </c>
      <c r="G155" s="5">
        <v>932.0</v>
      </c>
      <c r="H155" s="5">
        <v>287.0</v>
      </c>
      <c r="I155" s="5">
        <v>6895.0</v>
      </c>
      <c r="J155" s="5">
        <v>6757.0</v>
      </c>
      <c r="K155" s="5">
        <v>64.0</v>
      </c>
      <c r="L155" s="9" t="s">
        <v>16</v>
      </c>
      <c r="M155" s="10"/>
      <c r="N155" s="10"/>
    </row>
    <row r="156" ht="14.25" customHeight="1">
      <c r="A156" s="5" t="s">
        <v>206</v>
      </c>
      <c r="B156" s="5" t="s">
        <v>24</v>
      </c>
      <c r="C156" s="6">
        <v>45647.0</v>
      </c>
      <c r="D156" s="5" t="s">
        <v>39</v>
      </c>
      <c r="E156" s="5" t="s">
        <v>40</v>
      </c>
      <c r="F156" s="5">
        <v>2283.0</v>
      </c>
      <c r="G156" s="5">
        <v>210.0</v>
      </c>
      <c r="H156" s="5">
        <v>130.0</v>
      </c>
      <c r="I156" s="5">
        <v>22830.0</v>
      </c>
      <c r="J156" s="5">
        <v>22617.0</v>
      </c>
      <c r="K156" s="5">
        <v>143.0</v>
      </c>
      <c r="L156" s="9" t="s">
        <v>16</v>
      </c>
      <c r="M156" s="10"/>
      <c r="N156" s="10"/>
    </row>
    <row r="157" ht="14.25" customHeight="1">
      <c r="A157" s="5" t="s">
        <v>207</v>
      </c>
      <c r="B157" s="5" t="s">
        <v>33</v>
      </c>
      <c r="C157" s="6">
        <v>45587.0</v>
      </c>
      <c r="D157" s="5" t="s">
        <v>34</v>
      </c>
      <c r="E157" s="5" t="s">
        <v>35</v>
      </c>
      <c r="F157" s="5">
        <v>3352.0</v>
      </c>
      <c r="G157" s="5">
        <v>941.0</v>
      </c>
      <c r="H157" s="5">
        <v>482.0</v>
      </c>
      <c r="I157" s="5">
        <v>43576.0</v>
      </c>
      <c r="J157" s="5">
        <v>43338.0</v>
      </c>
      <c r="K157" s="5">
        <v>240.0</v>
      </c>
      <c r="L157" s="9" t="s">
        <v>16</v>
      </c>
      <c r="M157" s="10"/>
      <c r="N157" s="10"/>
    </row>
    <row r="158" ht="14.25" customHeight="1">
      <c r="A158" s="5" t="s">
        <v>208</v>
      </c>
      <c r="B158" s="5" t="s">
        <v>24</v>
      </c>
      <c r="C158" s="6">
        <v>45496.0</v>
      </c>
      <c r="D158" s="5" t="s">
        <v>28</v>
      </c>
      <c r="E158" s="5" t="s">
        <v>98</v>
      </c>
      <c r="F158" s="5">
        <v>4775.0</v>
      </c>
      <c r="G158" s="5">
        <v>173.0</v>
      </c>
      <c r="H158" s="5">
        <v>206.0</v>
      </c>
      <c r="I158" s="5">
        <v>47750.0</v>
      </c>
      <c r="J158" s="5">
        <v>47544.0</v>
      </c>
      <c r="K158" s="5">
        <v>187.0</v>
      </c>
      <c r="L158" s="9" t="s">
        <v>16</v>
      </c>
      <c r="M158" s="10"/>
      <c r="N158" s="10"/>
    </row>
    <row r="159" ht="14.25" customHeight="1">
      <c r="A159" s="5" t="s">
        <v>209</v>
      </c>
      <c r="B159" s="5" t="s">
        <v>27</v>
      </c>
      <c r="C159" s="6">
        <v>45515.0</v>
      </c>
      <c r="D159" s="5" t="s">
        <v>28</v>
      </c>
      <c r="E159" s="5" t="s">
        <v>29</v>
      </c>
      <c r="F159" s="5">
        <v>1762.0</v>
      </c>
      <c r="G159" s="5">
        <v>405.0</v>
      </c>
      <c r="H159" s="5">
        <v>423.0</v>
      </c>
      <c r="I159" s="5">
        <v>22906.0</v>
      </c>
      <c r="J159" s="5">
        <v>21925.0</v>
      </c>
      <c r="K159" s="5">
        <v>25.0</v>
      </c>
      <c r="L159" s="9" t="s">
        <v>21</v>
      </c>
      <c r="M159" s="10"/>
      <c r="N159" s="10"/>
    </row>
    <row r="160" ht="14.25" customHeight="1">
      <c r="A160" s="5" t="s">
        <v>210</v>
      </c>
      <c r="B160" s="5" t="s">
        <v>33</v>
      </c>
      <c r="C160" s="6">
        <v>45621.0</v>
      </c>
      <c r="D160" s="5" t="s">
        <v>28</v>
      </c>
      <c r="E160" s="5" t="s">
        <v>51</v>
      </c>
      <c r="F160" s="5">
        <v>2120.0</v>
      </c>
      <c r="G160" s="5">
        <v>158.0</v>
      </c>
      <c r="H160" s="5">
        <v>488.0</v>
      </c>
      <c r="I160" s="5">
        <v>12720.0</v>
      </c>
      <c r="J160" s="5">
        <v>12085.0</v>
      </c>
      <c r="K160" s="5">
        <v>17.0</v>
      </c>
      <c r="L160" s="9" t="s">
        <v>16</v>
      </c>
      <c r="M160" s="10"/>
      <c r="N160" s="10"/>
    </row>
    <row r="161" ht="14.25" customHeight="1">
      <c r="A161" s="5" t="s">
        <v>211</v>
      </c>
      <c r="B161" s="5" t="s">
        <v>13</v>
      </c>
      <c r="C161" s="6">
        <v>45528.0</v>
      </c>
      <c r="D161" s="5" t="s">
        <v>53</v>
      </c>
      <c r="E161" s="5" t="s">
        <v>92</v>
      </c>
      <c r="F161" s="5">
        <v>1082.0</v>
      </c>
      <c r="G161" s="5">
        <v>209.0</v>
      </c>
      <c r="H161" s="5">
        <v>484.0</v>
      </c>
      <c r="I161" s="5">
        <v>19476.0</v>
      </c>
      <c r="J161" s="5">
        <v>18654.0</v>
      </c>
      <c r="K161" s="5">
        <v>20.0</v>
      </c>
      <c r="L161" s="9" t="s">
        <v>21</v>
      </c>
      <c r="M161" s="10"/>
      <c r="N161" s="10"/>
    </row>
    <row r="162" ht="14.25" customHeight="1">
      <c r="A162" s="5" t="s">
        <v>212</v>
      </c>
      <c r="B162" s="5" t="s">
        <v>13</v>
      </c>
      <c r="C162" s="6">
        <v>45707.0</v>
      </c>
      <c r="D162" s="5" t="s">
        <v>19</v>
      </c>
      <c r="E162" s="5" t="s">
        <v>20</v>
      </c>
      <c r="F162" s="5">
        <v>4671.0</v>
      </c>
      <c r="G162" s="5">
        <v>876.0</v>
      </c>
      <c r="H162" s="5">
        <v>366.0</v>
      </c>
      <c r="I162" s="5">
        <v>51381.0</v>
      </c>
      <c r="J162" s="5">
        <v>50565.0</v>
      </c>
      <c r="K162" s="5">
        <v>245.0</v>
      </c>
      <c r="L162" s="9" t="s">
        <v>21</v>
      </c>
      <c r="M162" s="10"/>
      <c r="N162" s="10"/>
    </row>
    <row r="163" ht="14.25" customHeight="1">
      <c r="A163" s="5" t="s">
        <v>213</v>
      </c>
      <c r="B163" s="5" t="s">
        <v>33</v>
      </c>
      <c r="C163" s="6">
        <v>45748.0</v>
      </c>
      <c r="D163" s="5" t="s">
        <v>28</v>
      </c>
      <c r="E163" s="5" t="s">
        <v>51</v>
      </c>
      <c r="F163" s="5">
        <v>3430.0</v>
      </c>
      <c r="G163" s="5">
        <v>566.0</v>
      </c>
      <c r="H163" s="5">
        <v>164.0</v>
      </c>
      <c r="I163" s="5">
        <v>48020.0</v>
      </c>
      <c r="J163" s="5">
        <v>47305.0</v>
      </c>
      <c r="K163" s="5">
        <v>120.0</v>
      </c>
      <c r="L163" s="9" t="s">
        <v>16</v>
      </c>
      <c r="M163" s="10"/>
      <c r="N163" s="10"/>
    </row>
    <row r="164" ht="14.25" customHeight="1">
      <c r="A164" s="5" t="s">
        <v>214</v>
      </c>
      <c r="B164" s="5" t="s">
        <v>27</v>
      </c>
      <c r="C164" s="6">
        <v>45755.0</v>
      </c>
      <c r="D164" s="5" t="s">
        <v>39</v>
      </c>
      <c r="E164" s="5" t="s">
        <v>131</v>
      </c>
      <c r="F164" s="5">
        <v>4501.0</v>
      </c>
      <c r="G164" s="5">
        <v>375.0</v>
      </c>
      <c r="H164" s="5">
        <v>323.0</v>
      </c>
      <c r="I164" s="5">
        <v>22505.0</v>
      </c>
      <c r="J164" s="5">
        <v>21836.0</v>
      </c>
      <c r="K164" s="5">
        <v>132.0</v>
      </c>
      <c r="L164" s="9" t="s">
        <v>21</v>
      </c>
      <c r="M164" s="10"/>
      <c r="N164" s="10"/>
    </row>
    <row r="165" ht="14.25" customHeight="1">
      <c r="A165" s="5" t="s">
        <v>215</v>
      </c>
      <c r="B165" s="5" t="s">
        <v>24</v>
      </c>
      <c r="C165" s="6">
        <v>45715.0</v>
      </c>
      <c r="D165" s="5" t="s">
        <v>19</v>
      </c>
      <c r="E165" s="5" t="s">
        <v>70</v>
      </c>
      <c r="F165" s="5">
        <v>4934.0</v>
      </c>
      <c r="G165" s="5">
        <v>971.0</v>
      </c>
      <c r="H165" s="5">
        <v>156.0</v>
      </c>
      <c r="I165" s="5">
        <v>39472.0</v>
      </c>
      <c r="J165" s="5">
        <v>39025.0</v>
      </c>
      <c r="K165" s="5">
        <v>169.0</v>
      </c>
      <c r="L165" s="7" t="s">
        <v>21</v>
      </c>
      <c r="M165" s="7" t="s">
        <v>17</v>
      </c>
      <c r="N165" s="8"/>
    </row>
    <row r="166" ht="14.25" customHeight="1">
      <c r="A166" s="5" t="s">
        <v>216</v>
      </c>
      <c r="B166" s="5" t="s">
        <v>13</v>
      </c>
      <c r="C166" s="6">
        <v>45637.0</v>
      </c>
      <c r="D166" s="5" t="s">
        <v>19</v>
      </c>
      <c r="E166" s="5" t="s">
        <v>20</v>
      </c>
      <c r="F166" s="5">
        <v>3239.0</v>
      </c>
      <c r="G166" s="5">
        <v>43.0</v>
      </c>
      <c r="H166" s="5">
        <v>211.0</v>
      </c>
      <c r="I166" s="5">
        <v>22673.0</v>
      </c>
      <c r="J166" s="5">
        <v>22171.0</v>
      </c>
      <c r="K166" s="5">
        <v>230.0</v>
      </c>
      <c r="L166" s="9" t="s">
        <v>21</v>
      </c>
      <c r="M166" s="10"/>
      <c r="N166" s="10"/>
    </row>
    <row r="167" ht="14.25" customHeight="1">
      <c r="A167" s="5" t="s">
        <v>217</v>
      </c>
      <c r="B167" s="5" t="s">
        <v>13</v>
      </c>
      <c r="C167" s="6">
        <v>45704.0</v>
      </c>
      <c r="D167" s="5" t="s">
        <v>14</v>
      </c>
      <c r="E167" s="5" t="s">
        <v>15</v>
      </c>
      <c r="F167" s="5">
        <v>1076.0</v>
      </c>
      <c r="G167" s="5">
        <v>313.0</v>
      </c>
      <c r="H167" s="5">
        <v>306.0</v>
      </c>
      <c r="I167" s="5">
        <v>11836.0</v>
      </c>
      <c r="J167" s="5">
        <v>11596.0</v>
      </c>
      <c r="K167" s="5">
        <v>104.0</v>
      </c>
      <c r="L167" s="9" t="s">
        <v>16</v>
      </c>
      <c r="M167" s="10"/>
      <c r="N167" s="10"/>
    </row>
    <row r="168" ht="14.25" customHeight="1">
      <c r="A168" s="5" t="s">
        <v>218</v>
      </c>
      <c r="B168" s="5" t="s">
        <v>27</v>
      </c>
      <c r="C168" s="6">
        <v>45624.0</v>
      </c>
      <c r="D168" s="5" t="s">
        <v>19</v>
      </c>
      <c r="E168" s="5" t="s">
        <v>75</v>
      </c>
      <c r="F168" s="5">
        <v>4771.0</v>
      </c>
      <c r="G168" s="5">
        <v>818.0</v>
      </c>
      <c r="H168" s="5">
        <v>56.0</v>
      </c>
      <c r="I168" s="5">
        <v>57252.0</v>
      </c>
      <c r="J168" s="5">
        <v>56378.0</v>
      </c>
      <c r="K168" s="5">
        <v>150.0</v>
      </c>
      <c r="L168" s="9" t="s">
        <v>16</v>
      </c>
      <c r="M168" s="10"/>
      <c r="N168" s="10"/>
    </row>
    <row r="169" ht="14.25" customHeight="1">
      <c r="A169" s="5" t="s">
        <v>219</v>
      </c>
      <c r="B169" s="5" t="s">
        <v>33</v>
      </c>
      <c r="C169" s="6">
        <v>45608.0</v>
      </c>
      <c r="D169" s="5" t="s">
        <v>19</v>
      </c>
      <c r="E169" s="5" t="s">
        <v>42</v>
      </c>
      <c r="F169" s="5">
        <v>2418.0</v>
      </c>
      <c r="G169" s="5">
        <v>754.0</v>
      </c>
      <c r="H169" s="5">
        <v>54.0</v>
      </c>
      <c r="I169" s="5">
        <v>43524.0</v>
      </c>
      <c r="J169" s="5">
        <v>42743.0</v>
      </c>
      <c r="K169" s="5">
        <v>182.0</v>
      </c>
      <c r="L169" s="9" t="s">
        <v>30</v>
      </c>
      <c r="M169" s="10"/>
      <c r="N169" s="10"/>
    </row>
    <row r="170" ht="14.25" customHeight="1">
      <c r="A170" s="5" t="s">
        <v>220</v>
      </c>
      <c r="B170" s="5" t="s">
        <v>24</v>
      </c>
      <c r="C170" s="6">
        <v>45629.0</v>
      </c>
      <c r="D170" s="5" t="s">
        <v>53</v>
      </c>
      <c r="E170" s="5" t="s">
        <v>133</v>
      </c>
      <c r="F170" s="5">
        <v>3809.0</v>
      </c>
      <c r="G170" s="5">
        <v>273.0</v>
      </c>
      <c r="H170" s="5">
        <v>200.0</v>
      </c>
      <c r="I170" s="5">
        <v>34281.0</v>
      </c>
      <c r="J170" s="5">
        <v>33534.0</v>
      </c>
      <c r="K170" s="5">
        <v>83.0</v>
      </c>
      <c r="L170" s="9" t="s">
        <v>30</v>
      </c>
      <c r="M170" s="10"/>
      <c r="N170" s="10"/>
    </row>
    <row r="171" ht="14.25" customHeight="1">
      <c r="A171" s="5" t="s">
        <v>221</v>
      </c>
      <c r="B171" s="5" t="s">
        <v>13</v>
      </c>
      <c r="C171" s="6">
        <v>45775.0</v>
      </c>
      <c r="D171" s="5" t="s">
        <v>19</v>
      </c>
      <c r="E171" s="5" t="s">
        <v>20</v>
      </c>
      <c r="F171" s="5">
        <v>3577.0</v>
      </c>
      <c r="G171" s="5">
        <v>596.0</v>
      </c>
      <c r="H171" s="5">
        <v>493.0</v>
      </c>
      <c r="I171" s="5">
        <v>67963.0</v>
      </c>
      <c r="J171" s="5">
        <v>67839.0</v>
      </c>
      <c r="K171" s="5">
        <v>53.0</v>
      </c>
      <c r="L171" s="9" t="s">
        <v>21</v>
      </c>
      <c r="M171" s="10"/>
      <c r="N171" s="10"/>
    </row>
    <row r="172" ht="14.25" customHeight="1">
      <c r="A172" s="5" t="s">
        <v>222</v>
      </c>
      <c r="B172" s="5" t="s">
        <v>24</v>
      </c>
      <c r="C172" s="6">
        <v>45657.0</v>
      </c>
      <c r="D172" s="5" t="s">
        <v>53</v>
      </c>
      <c r="E172" s="5" t="s">
        <v>133</v>
      </c>
      <c r="F172" s="5">
        <v>1018.0</v>
      </c>
      <c r="G172" s="5">
        <v>447.0</v>
      </c>
      <c r="H172" s="5">
        <v>332.0</v>
      </c>
      <c r="I172" s="5">
        <v>18324.0</v>
      </c>
      <c r="J172" s="5">
        <v>18164.0</v>
      </c>
      <c r="K172" s="5">
        <v>38.0</v>
      </c>
      <c r="L172" s="9" t="s">
        <v>16</v>
      </c>
      <c r="M172" s="10"/>
      <c r="N172" s="10"/>
    </row>
    <row r="173" ht="14.25" customHeight="1">
      <c r="A173" s="5" t="s">
        <v>223</v>
      </c>
      <c r="B173" s="5" t="s">
        <v>33</v>
      </c>
      <c r="C173" s="6">
        <v>45518.0</v>
      </c>
      <c r="D173" s="5" t="s">
        <v>34</v>
      </c>
      <c r="E173" s="5" t="s">
        <v>35</v>
      </c>
      <c r="F173" s="5">
        <v>3073.0</v>
      </c>
      <c r="G173" s="5">
        <v>553.0</v>
      </c>
      <c r="H173" s="5">
        <v>174.0</v>
      </c>
      <c r="I173" s="5">
        <v>52241.0</v>
      </c>
      <c r="J173" s="5">
        <v>51605.0</v>
      </c>
      <c r="K173" s="5">
        <v>246.0</v>
      </c>
      <c r="L173" s="9" t="s">
        <v>30</v>
      </c>
      <c r="M173" s="10"/>
      <c r="N173" s="10"/>
    </row>
    <row r="174" ht="14.25" customHeight="1">
      <c r="A174" s="5" t="s">
        <v>224</v>
      </c>
      <c r="B174" s="5" t="s">
        <v>13</v>
      </c>
      <c r="C174" s="6">
        <v>45631.0</v>
      </c>
      <c r="D174" s="5" t="s">
        <v>53</v>
      </c>
      <c r="E174" s="5" t="s">
        <v>92</v>
      </c>
      <c r="F174" s="5">
        <v>1330.0</v>
      </c>
      <c r="G174" s="5">
        <v>925.0</v>
      </c>
      <c r="H174" s="5">
        <v>35.0</v>
      </c>
      <c r="I174" s="5">
        <v>15960.0</v>
      </c>
      <c r="J174" s="5">
        <v>15379.0</v>
      </c>
      <c r="K174" s="5">
        <v>229.0</v>
      </c>
      <c r="L174" s="9" t="s">
        <v>16</v>
      </c>
      <c r="M174" s="10"/>
      <c r="N174" s="10"/>
    </row>
    <row r="175" ht="14.25" customHeight="1">
      <c r="A175" s="5" t="s">
        <v>225</v>
      </c>
      <c r="B175" s="5" t="s">
        <v>33</v>
      </c>
      <c r="C175" s="6">
        <v>45465.0</v>
      </c>
      <c r="D175" s="5" t="s">
        <v>19</v>
      </c>
      <c r="E175" s="5" t="s">
        <v>42</v>
      </c>
      <c r="F175" s="5">
        <v>3828.0</v>
      </c>
      <c r="G175" s="5">
        <v>148.0</v>
      </c>
      <c r="H175" s="5">
        <v>253.0</v>
      </c>
      <c r="I175" s="5">
        <v>30624.0</v>
      </c>
      <c r="J175" s="5">
        <v>30229.0</v>
      </c>
      <c r="K175" s="5">
        <v>235.0</v>
      </c>
      <c r="L175" s="9" t="s">
        <v>30</v>
      </c>
      <c r="M175" s="10"/>
      <c r="N175" s="10"/>
    </row>
    <row r="176" ht="14.25" customHeight="1">
      <c r="A176" s="5" t="s">
        <v>226</v>
      </c>
      <c r="B176" s="5" t="s">
        <v>27</v>
      </c>
      <c r="C176" s="6">
        <v>45674.0</v>
      </c>
      <c r="D176" s="5" t="s">
        <v>14</v>
      </c>
      <c r="E176" s="5" t="s">
        <v>58</v>
      </c>
      <c r="F176" s="5">
        <v>142.0</v>
      </c>
      <c r="G176" s="5">
        <v>784.0</v>
      </c>
      <c r="H176" s="5">
        <v>183.0</v>
      </c>
      <c r="I176" s="5">
        <v>1704.0</v>
      </c>
      <c r="J176" s="5">
        <v>995.0</v>
      </c>
      <c r="K176" s="5">
        <v>154.0</v>
      </c>
      <c r="L176" s="9" t="s">
        <v>16</v>
      </c>
      <c r="M176" s="10"/>
      <c r="N176" s="10"/>
    </row>
    <row r="177" ht="14.25" customHeight="1">
      <c r="A177" s="5" t="s">
        <v>227</v>
      </c>
      <c r="B177" s="5" t="s">
        <v>33</v>
      </c>
      <c r="C177" s="6">
        <v>45463.0</v>
      </c>
      <c r="D177" s="5" t="s">
        <v>53</v>
      </c>
      <c r="E177" s="5" t="s">
        <v>54</v>
      </c>
      <c r="F177" s="5">
        <v>3798.0</v>
      </c>
      <c r="G177" s="5">
        <v>31.0</v>
      </c>
      <c r="H177" s="5">
        <v>279.0</v>
      </c>
      <c r="I177" s="5">
        <v>75960.0</v>
      </c>
      <c r="J177" s="5">
        <v>75813.0</v>
      </c>
      <c r="K177" s="5">
        <v>266.0</v>
      </c>
      <c r="L177" s="9" t="s">
        <v>21</v>
      </c>
      <c r="M177" s="10"/>
      <c r="N177" s="10"/>
    </row>
    <row r="178" ht="14.25" customHeight="1">
      <c r="A178" s="5" t="s">
        <v>228</v>
      </c>
      <c r="B178" s="5" t="s">
        <v>27</v>
      </c>
      <c r="C178" s="6">
        <v>45483.0</v>
      </c>
      <c r="D178" s="5" t="s">
        <v>34</v>
      </c>
      <c r="E178" s="5" t="s">
        <v>62</v>
      </c>
      <c r="F178" s="5">
        <v>3099.0</v>
      </c>
      <c r="G178" s="5">
        <v>694.0</v>
      </c>
      <c r="H178" s="5">
        <v>171.0</v>
      </c>
      <c r="I178" s="5">
        <v>43386.0</v>
      </c>
      <c r="J178" s="5">
        <v>42921.0</v>
      </c>
      <c r="K178" s="5">
        <v>52.0</v>
      </c>
      <c r="L178" s="9" t="s">
        <v>21</v>
      </c>
      <c r="M178" s="10"/>
      <c r="N178" s="10"/>
    </row>
    <row r="179" ht="14.25" customHeight="1">
      <c r="A179" s="5" t="s">
        <v>229</v>
      </c>
      <c r="B179" s="5" t="s">
        <v>27</v>
      </c>
      <c r="C179" s="6">
        <v>45603.0</v>
      </c>
      <c r="D179" s="5" t="s">
        <v>53</v>
      </c>
      <c r="E179" s="5" t="s">
        <v>60</v>
      </c>
      <c r="F179" s="5">
        <v>129.0</v>
      </c>
      <c r="G179" s="5">
        <v>643.0</v>
      </c>
      <c r="H179" s="5">
        <v>136.0</v>
      </c>
      <c r="I179" s="5">
        <v>1290.0</v>
      </c>
      <c r="J179" s="5">
        <v>839.0</v>
      </c>
      <c r="K179" s="5">
        <v>238.0</v>
      </c>
      <c r="L179" s="9" t="s">
        <v>21</v>
      </c>
      <c r="M179" s="10"/>
      <c r="N179" s="10"/>
    </row>
    <row r="180" ht="14.25" customHeight="1">
      <c r="A180" s="5" t="s">
        <v>230</v>
      </c>
      <c r="B180" s="5" t="s">
        <v>33</v>
      </c>
      <c r="C180" s="6">
        <v>45488.0</v>
      </c>
      <c r="D180" s="5" t="s">
        <v>34</v>
      </c>
      <c r="E180" s="5" t="s">
        <v>35</v>
      </c>
      <c r="F180" s="5">
        <v>3796.0</v>
      </c>
      <c r="G180" s="5">
        <v>667.0</v>
      </c>
      <c r="H180" s="5">
        <v>395.0</v>
      </c>
      <c r="I180" s="5">
        <v>64532.0</v>
      </c>
      <c r="J180" s="5">
        <v>63550.0</v>
      </c>
      <c r="K180" s="5">
        <v>292.0</v>
      </c>
      <c r="L180" s="9" t="s">
        <v>21</v>
      </c>
      <c r="M180" s="10"/>
      <c r="N180" s="10"/>
    </row>
    <row r="181" ht="14.25" customHeight="1">
      <c r="A181" s="5" t="s">
        <v>231</v>
      </c>
      <c r="B181" s="5" t="s">
        <v>24</v>
      </c>
      <c r="C181" s="6">
        <v>45629.0</v>
      </c>
      <c r="D181" s="5" t="s">
        <v>19</v>
      </c>
      <c r="E181" s="5" t="s">
        <v>70</v>
      </c>
      <c r="F181" s="5">
        <v>3711.0</v>
      </c>
      <c r="G181" s="5">
        <v>352.0</v>
      </c>
      <c r="H181" s="5">
        <v>290.0</v>
      </c>
      <c r="I181" s="5">
        <v>48243.0</v>
      </c>
      <c r="J181" s="5">
        <v>47579.0</v>
      </c>
      <c r="K181" s="5">
        <v>11.0</v>
      </c>
      <c r="L181" s="9" t="s">
        <v>21</v>
      </c>
      <c r="M181" s="10"/>
      <c r="N181" s="10"/>
    </row>
    <row r="182" ht="14.25" customHeight="1">
      <c r="A182" s="5" t="s">
        <v>232</v>
      </c>
      <c r="B182" s="5" t="s">
        <v>24</v>
      </c>
      <c r="C182" s="6">
        <v>45737.0</v>
      </c>
      <c r="D182" s="5" t="s">
        <v>39</v>
      </c>
      <c r="E182" s="5" t="s">
        <v>40</v>
      </c>
      <c r="F182" s="5">
        <v>606.0</v>
      </c>
      <c r="G182" s="5">
        <v>789.0</v>
      </c>
      <c r="H182" s="5">
        <v>470.0</v>
      </c>
      <c r="I182" s="5">
        <v>7878.0</v>
      </c>
      <c r="J182" s="5">
        <v>7389.0</v>
      </c>
      <c r="K182" s="5">
        <v>239.0</v>
      </c>
      <c r="L182" s="9" t="s">
        <v>30</v>
      </c>
      <c r="M182" s="10"/>
      <c r="N182" s="10"/>
    </row>
    <row r="183" ht="14.25" customHeight="1">
      <c r="A183" s="5" t="s">
        <v>233</v>
      </c>
      <c r="B183" s="5" t="s">
        <v>33</v>
      </c>
      <c r="C183" s="6">
        <v>45504.0</v>
      </c>
      <c r="D183" s="5" t="s">
        <v>39</v>
      </c>
      <c r="E183" s="5" t="s">
        <v>44</v>
      </c>
      <c r="F183" s="5">
        <v>4689.0</v>
      </c>
      <c r="G183" s="5">
        <v>134.0</v>
      </c>
      <c r="H183" s="5">
        <v>403.0</v>
      </c>
      <c r="I183" s="5">
        <v>51579.0</v>
      </c>
      <c r="J183" s="5">
        <v>50924.0</v>
      </c>
      <c r="K183" s="5">
        <v>173.0</v>
      </c>
      <c r="L183" s="9" t="s">
        <v>21</v>
      </c>
      <c r="M183" s="10"/>
      <c r="N183" s="10"/>
    </row>
    <row r="184" ht="14.25" customHeight="1">
      <c r="A184" s="5" t="s">
        <v>234</v>
      </c>
      <c r="B184" s="5" t="s">
        <v>27</v>
      </c>
      <c r="C184" s="6">
        <v>45643.0</v>
      </c>
      <c r="D184" s="5" t="s">
        <v>28</v>
      </c>
      <c r="E184" s="5" t="s">
        <v>29</v>
      </c>
      <c r="F184" s="5">
        <v>360.0</v>
      </c>
      <c r="G184" s="5">
        <v>590.0</v>
      </c>
      <c r="H184" s="5">
        <v>393.0</v>
      </c>
      <c r="I184" s="5">
        <v>4680.0</v>
      </c>
      <c r="J184" s="5">
        <v>4322.0</v>
      </c>
      <c r="K184" s="5">
        <v>208.0</v>
      </c>
      <c r="L184" s="9" t="s">
        <v>16</v>
      </c>
      <c r="M184" s="10"/>
      <c r="N184" s="10"/>
    </row>
    <row r="185" ht="14.25" customHeight="1">
      <c r="A185" s="5" t="s">
        <v>235</v>
      </c>
      <c r="B185" s="5" t="s">
        <v>13</v>
      </c>
      <c r="C185" s="6">
        <v>45501.0</v>
      </c>
      <c r="D185" s="5" t="s">
        <v>39</v>
      </c>
      <c r="E185" s="5" t="s">
        <v>85</v>
      </c>
      <c r="F185" s="5">
        <v>3215.0</v>
      </c>
      <c r="G185" s="5">
        <v>960.0</v>
      </c>
      <c r="H185" s="5">
        <v>202.0</v>
      </c>
      <c r="I185" s="5">
        <v>32150.0</v>
      </c>
      <c r="J185" s="5">
        <v>31404.0</v>
      </c>
      <c r="K185" s="5">
        <v>251.0</v>
      </c>
      <c r="L185" s="9" t="s">
        <v>30</v>
      </c>
      <c r="M185" s="10"/>
      <c r="N185" s="10"/>
    </row>
    <row r="186" ht="14.25" customHeight="1">
      <c r="A186" s="5" t="s">
        <v>236</v>
      </c>
      <c r="B186" s="5" t="s">
        <v>27</v>
      </c>
      <c r="C186" s="6">
        <v>45668.0</v>
      </c>
      <c r="D186" s="5" t="s">
        <v>34</v>
      </c>
      <c r="E186" s="5" t="s">
        <v>62</v>
      </c>
      <c r="F186" s="5">
        <v>4523.0</v>
      </c>
      <c r="G186" s="5">
        <v>61.0</v>
      </c>
      <c r="H186" s="5">
        <v>157.0</v>
      </c>
      <c r="I186" s="5">
        <v>49753.0</v>
      </c>
      <c r="J186" s="5">
        <v>49329.0</v>
      </c>
      <c r="K186" s="5">
        <v>71.0</v>
      </c>
      <c r="L186" s="9" t="s">
        <v>30</v>
      </c>
      <c r="M186" s="10"/>
      <c r="N186" s="10"/>
    </row>
    <row r="187" ht="14.25" customHeight="1">
      <c r="A187" s="5" t="s">
        <v>237</v>
      </c>
      <c r="B187" s="5" t="s">
        <v>33</v>
      </c>
      <c r="C187" s="6">
        <v>45528.0</v>
      </c>
      <c r="D187" s="5" t="s">
        <v>34</v>
      </c>
      <c r="E187" s="5" t="s">
        <v>35</v>
      </c>
      <c r="F187" s="5">
        <v>4292.0</v>
      </c>
      <c r="G187" s="5">
        <v>51.0</v>
      </c>
      <c r="H187" s="5">
        <v>392.0</v>
      </c>
      <c r="I187" s="5">
        <v>55796.0</v>
      </c>
      <c r="J187" s="5">
        <v>54826.0</v>
      </c>
      <c r="K187" s="5">
        <v>264.0</v>
      </c>
      <c r="L187" s="9" t="s">
        <v>30</v>
      </c>
      <c r="M187" s="10"/>
      <c r="N187" s="10"/>
    </row>
    <row r="188" ht="14.25" customHeight="1">
      <c r="A188" s="5" t="s">
        <v>238</v>
      </c>
      <c r="B188" s="5" t="s">
        <v>13</v>
      </c>
      <c r="C188" s="6">
        <v>45648.0</v>
      </c>
      <c r="D188" s="5" t="s">
        <v>14</v>
      </c>
      <c r="E188" s="5" t="s">
        <v>15</v>
      </c>
      <c r="F188" s="5">
        <v>1644.0</v>
      </c>
      <c r="G188" s="5">
        <v>546.0</v>
      </c>
      <c r="H188" s="5">
        <v>150.0</v>
      </c>
      <c r="I188" s="5">
        <v>27948.0</v>
      </c>
      <c r="J188" s="5">
        <v>27184.0</v>
      </c>
      <c r="K188" s="5">
        <v>300.0</v>
      </c>
      <c r="L188" s="9" t="s">
        <v>30</v>
      </c>
      <c r="M188" s="10"/>
      <c r="N188" s="10"/>
    </row>
    <row r="189" ht="14.25" customHeight="1">
      <c r="A189" s="5" t="s">
        <v>239</v>
      </c>
      <c r="B189" s="5" t="s">
        <v>24</v>
      </c>
      <c r="C189" s="6">
        <v>45449.0</v>
      </c>
      <c r="D189" s="5" t="s">
        <v>14</v>
      </c>
      <c r="E189" s="5" t="s">
        <v>25</v>
      </c>
      <c r="F189" s="5">
        <v>2728.0</v>
      </c>
      <c r="G189" s="5">
        <v>533.0</v>
      </c>
      <c r="H189" s="5">
        <v>215.0</v>
      </c>
      <c r="I189" s="5">
        <v>40920.0</v>
      </c>
      <c r="J189" s="5">
        <v>40816.0</v>
      </c>
      <c r="K189" s="5">
        <v>137.0</v>
      </c>
      <c r="L189" s="9" t="s">
        <v>16</v>
      </c>
      <c r="M189" s="10"/>
      <c r="N189" s="10"/>
    </row>
    <row r="190" ht="14.25" customHeight="1">
      <c r="A190" s="5" t="s">
        <v>240</v>
      </c>
      <c r="B190" s="5" t="s">
        <v>33</v>
      </c>
      <c r="C190" s="6">
        <v>45740.0</v>
      </c>
      <c r="D190" s="5" t="s">
        <v>14</v>
      </c>
      <c r="E190" s="5" t="s">
        <v>47</v>
      </c>
      <c r="F190" s="5">
        <v>3360.0</v>
      </c>
      <c r="G190" s="5">
        <v>525.0</v>
      </c>
      <c r="H190" s="5">
        <v>500.0</v>
      </c>
      <c r="I190" s="5">
        <v>60480.0</v>
      </c>
      <c r="J190" s="5">
        <v>59610.0</v>
      </c>
      <c r="K190" s="5">
        <v>192.0</v>
      </c>
      <c r="L190" s="9" t="s">
        <v>21</v>
      </c>
      <c r="M190" s="10"/>
      <c r="N190" s="10"/>
    </row>
    <row r="191" ht="14.25" customHeight="1">
      <c r="A191" s="5" t="s">
        <v>241</v>
      </c>
      <c r="B191" s="5" t="s">
        <v>24</v>
      </c>
      <c r="C191" s="6">
        <v>45569.0</v>
      </c>
      <c r="D191" s="5" t="s">
        <v>19</v>
      </c>
      <c r="E191" s="5" t="s">
        <v>70</v>
      </c>
      <c r="F191" s="5">
        <v>1963.0</v>
      </c>
      <c r="G191" s="5">
        <v>213.0</v>
      </c>
      <c r="H191" s="5">
        <v>19.0</v>
      </c>
      <c r="I191" s="5">
        <v>39260.0</v>
      </c>
      <c r="J191" s="5">
        <v>38771.0</v>
      </c>
      <c r="K191" s="5">
        <v>145.0</v>
      </c>
      <c r="L191" s="9" t="s">
        <v>16</v>
      </c>
      <c r="M191" s="10"/>
      <c r="N191" s="10"/>
    </row>
    <row r="192" ht="14.25" customHeight="1">
      <c r="A192" s="5" t="s">
        <v>242</v>
      </c>
      <c r="B192" s="5" t="s">
        <v>24</v>
      </c>
      <c r="C192" s="6">
        <v>45629.0</v>
      </c>
      <c r="D192" s="5" t="s">
        <v>28</v>
      </c>
      <c r="E192" s="5" t="s">
        <v>98</v>
      </c>
      <c r="F192" s="5">
        <v>4285.0</v>
      </c>
      <c r="G192" s="5">
        <v>886.0</v>
      </c>
      <c r="H192" s="5">
        <v>376.0</v>
      </c>
      <c r="I192" s="5">
        <v>55705.0</v>
      </c>
      <c r="J192" s="5">
        <v>55556.0</v>
      </c>
      <c r="K192" s="5">
        <v>51.0</v>
      </c>
      <c r="L192" s="9" t="s">
        <v>16</v>
      </c>
      <c r="M192" s="10"/>
      <c r="N192" s="10"/>
    </row>
    <row r="193" ht="14.25" customHeight="1">
      <c r="A193" s="5" t="s">
        <v>243</v>
      </c>
      <c r="B193" s="5" t="s">
        <v>27</v>
      </c>
      <c r="C193" s="6">
        <v>45625.0</v>
      </c>
      <c r="D193" s="5" t="s">
        <v>53</v>
      </c>
      <c r="E193" s="5" t="s">
        <v>60</v>
      </c>
      <c r="F193" s="5">
        <v>1176.0</v>
      </c>
      <c r="G193" s="5">
        <v>464.0</v>
      </c>
      <c r="H193" s="5">
        <v>394.0</v>
      </c>
      <c r="I193" s="5">
        <v>14112.0</v>
      </c>
      <c r="J193" s="5">
        <v>13588.0</v>
      </c>
      <c r="K193" s="5">
        <v>272.0</v>
      </c>
      <c r="L193" s="9" t="s">
        <v>30</v>
      </c>
      <c r="M193" s="10"/>
      <c r="N193" s="10"/>
    </row>
    <row r="194" ht="14.25" customHeight="1">
      <c r="A194" s="5" t="s">
        <v>244</v>
      </c>
      <c r="B194" s="5" t="s">
        <v>13</v>
      </c>
      <c r="C194" s="6">
        <v>45546.0</v>
      </c>
      <c r="D194" s="5" t="s">
        <v>39</v>
      </c>
      <c r="E194" s="5" t="s">
        <v>85</v>
      </c>
      <c r="F194" s="5">
        <v>4858.0</v>
      </c>
      <c r="G194" s="5">
        <v>317.0</v>
      </c>
      <c r="H194" s="5">
        <v>129.0</v>
      </c>
      <c r="I194" s="5">
        <v>53438.0</v>
      </c>
      <c r="J194" s="5">
        <v>52687.0</v>
      </c>
      <c r="K194" s="5">
        <v>223.0</v>
      </c>
      <c r="L194" s="9" t="s">
        <v>30</v>
      </c>
      <c r="M194" s="10"/>
      <c r="N194" s="10"/>
    </row>
    <row r="195" ht="14.25" customHeight="1">
      <c r="A195" s="5" t="s">
        <v>245</v>
      </c>
      <c r="B195" s="5" t="s">
        <v>24</v>
      </c>
      <c r="C195" s="6">
        <v>45567.0</v>
      </c>
      <c r="D195" s="5" t="s">
        <v>28</v>
      </c>
      <c r="E195" s="5" t="s">
        <v>98</v>
      </c>
      <c r="F195" s="5">
        <v>4350.0</v>
      </c>
      <c r="G195" s="5">
        <v>771.0</v>
      </c>
      <c r="H195" s="5">
        <v>7.0</v>
      </c>
      <c r="I195" s="5">
        <v>60900.0</v>
      </c>
      <c r="J195" s="5">
        <v>60592.0</v>
      </c>
      <c r="K195" s="5">
        <v>195.0</v>
      </c>
      <c r="L195" s="9" t="s">
        <v>30</v>
      </c>
      <c r="M195" s="10"/>
      <c r="N195" s="10"/>
    </row>
    <row r="196" ht="14.25" customHeight="1">
      <c r="A196" s="5" t="s">
        <v>246</v>
      </c>
      <c r="B196" s="5" t="s">
        <v>27</v>
      </c>
      <c r="C196" s="6">
        <v>45519.0</v>
      </c>
      <c r="D196" s="5" t="s">
        <v>34</v>
      </c>
      <c r="E196" s="5" t="s">
        <v>62</v>
      </c>
      <c r="F196" s="5">
        <v>914.0</v>
      </c>
      <c r="G196" s="5">
        <v>464.0</v>
      </c>
      <c r="H196" s="5">
        <v>246.0</v>
      </c>
      <c r="I196" s="5">
        <v>11882.0</v>
      </c>
      <c r="J196" s="5">
        <v>11500.0</v>
      </c>
      <c r="K196" s="5">
        <v>282.0</v>
      </c>
      <c r="L196" s="7" t="s">
        <v>16</v>
      </c>
      <c r="M196" s="7" t="s">
        <v>21</v>
      </c>
      <c r="N196" s="7" t="s">
        <v>17</v>
      </c>
    </row>
    <row r="197" ht="14.25" customHeight="1">
      <c r="A197" s="5" t="s">
        <v>247</v>
      </c>
      <c r="B197" s="5" t="s">
        <v>27</v>
      </c>
      <c r="C197" s="6">
        <v>45645.0</v>
      </c>
      <c r="D197" s="5" t="s">
        <v>19</v>
      </c>
      <c r="E197" s="5" t="s">
        <v>75</v>
      </c>
      <c r="F197" s="5">
        <v>1813.0</v>
      </c>
      <c r="G197" s="5">
        <v>623.0</v>
      </c>
      <c r="H197" s="5">
        <v>72.0</v>
      </c>
      <c r="I197" s="5">
        <v>19943.0</v>
      </c>
      <c r="J197" s="5">
        <v>18959.0</v>
      </c>
      <c r="K197" s="5">
        <v>85.0</v>
      </c>
      <c r="L197" s="9" t="s">
        <v>30</v>
      </c>
      <c r="M197" s="10"/>
      <c r="N197" s="10"/>
    </row>
    <row r="198" ht="14.25" customHeight="1">
      <c r="A198" s="5" t="s">
        <v>248</v>
      </c>
      <c r="B198" s="5" t="s">
        <v>13</v>
      </c>
      <c r="C198" s="6">
        <v>45587.0</v>
      </c>
      <c r="D198" s="5" t="s">
        <v>14</v>
      </c>
      <c r="E198" s="5" t="s">
        <v>15</v>
      </c>
      <c r="F198" s="5">
        <v>4782.0</v>
      </c>
      <c r="G198" s="5">
        <v>721.0</v>
      </c>
      <c r="H198" s="5">
        <v>82.0</v>
      </c>
      <c r="I198" s="5">
        <v>86076.0</v>
      </c>
      <c r="J198" s="5">
        <v>85339.0</v>
      </c>
      <c r="K198" s="5">
        <v>19.0</v>
      </c>
      <c r="L198" s="9" t="s">
        <v>30</v>
      </c>
      <c r="M198" s="10"/>
      <c r="N198" s="10"/>
    </row>
    <row r="199" ht="14.25" customHeight="1">
      <c r="A199" s="5" t="s">
        <v>249</v>
      </c>
      <c r="B199" s="5" t="s">
        <v>13</v>
      </c>
      <c r="C199" s="6">
        <v>45549.0</v>
      </c>
      <c r="D199" s="5" t="s">
        <v>39</v>
      </c>
      <c r="E199" s="5" t="s">
        <v>85</v>
      </c>
      <c r="F199" s="5">
        <v>1048.0</v>
      </c>
      <c r="G199" s="5">
        <v>374.0</v>
      </c>
      <c r="H199" s="5">
        <v>450.0</v>
      </c>
      <c r="I199" s="5">
        <v>9432.0</v>
      </c>
      <c r="J199" s="5">
        <v>8882.0</v>
      </c>
      <c r="K199" s="5">
        <v>158.0</v>
      </c>
      <c r="L199" s="9" t="s">
        <v>21</v>
      </c>
      <c r="M199" s="10"/>
      <c r="N199" s="10"/>
    </row>
    <row r="200" ht="14.25" customHeight="1">
      <c r="A200" s="5" t="s">
        <v>250</v>
      </c>
      <c r="B200" s="5" t="s">
        <v>24</v>
      </c>
      <c r="C200" s="6">
        <v>45626.0</v>
      </c>
      <c r="D200" s="5" t="s">
        <v>34</v>
      </c>
      <c r="E200" s="5" t="s">
        <v>49</v>
      </c>
      <c r="F200" s="5">
        <v>2509.0</v>
      </c>
      <c r="G200" s="5">
        <v>324.0</v>
      </c>
      <c r="H200" s="5">
        <v>171.0</v>
      </c>
      <c r="I200" s="5">
        <v>35126.0</v>
      </c>
      <c r="J200" s="5">
        <v>34685.0</v>
      </c>
      <c r="K200" s="5">
        <v>277.0</v>
      </c>
      <c r="L200" s="9" t="s">
        <v>21</v>
      </c>
      <c r="M200" s="10"/>
      <c r="N200" s="10"/>
    </row>
    <row r="201" ht="14.25" customHeight="1">
      <c r="A201" s="5" t="s">
        <v>251</v>
      </c>
      <c r="B201" s="5" t="s">
        <v>33</v>
      </c>
      <c r="C201" s="6">
        <v>45754.0</v>
      </c>
      <c r="D201" s="5" t="s">
        <v>14</v>
      </c>
      <c r="E201" s="5" t="s">
        <v>47</v>
      </c>
      <c r="F201" s="5">
        <v>3718.0</v>
      </c>
      <c r="G201" s="5">
        <v>385.0</v>
      </c>
      <c r="H201" s="5">
        <v>310.0</v>
      </c>
      <c r="I201" s="5">
        <v>70642.0</v>
      </c>
      <c r="J201" s="5">
        <v>69749.0</v>
      </c>
      <c r="K201" s="5">
        <v>233.0</v>
      </c>
      <c r="L201" s="9" t="s">
        <v>21</v>
      </c>
      <c r="M201" s="10"/>
      <c r="N201" s="10"/>
    </row>
    <row r="202" ht="14.25" customHeight="1">
      <c r="A202" s="5" t="s">
        <v>252</v>
      </c>
      <c r="B202" s="5" t="s">
        <v>13</v>
      </c>
      <c r="C202" s="6">
        <v>45672.0</v>
      </c>
      <c r="D202" s="5" t="s">
        <v>14</v>
      </c>
      <c r="E202" s="5" t="s">
        <v>15</v>
      </c>
      <c r="F202" s="5">
        <v>802.0</v>
      </c>
      <c r="G202" s="5">
        <v>262.0</v>
      </c>
      <c r="H202" s="5">
        <v>244.0</v>
      </c>
      <c r="I202" s="5">
        <v>14436.0</v>
      </c>
      <c r="J202" s="5">
        <v>14280.0</v>
      </c>
      <c r="K202" s="5">
        <v>49.0</v>
      </c>
      <c r="L202" s="9" t="s">
        <v>30</v>
      </c>
      <c r="M202" s="10"/>
      <c r="N202" s="10"/>
    </row>
    <row r="203" ht="14.25" customHeight="1">
      <c r="A203" s="5" t="s">
        <v>253</v>
      </c>
      <c r="B203" s="5" t="s">
        <v>33</v>
      </c>
      <c r="C203" s="6">
        <v>45445.0</v>
      </c>
      <c r="D203" s="5" t="s">
        <v>39</v>
      </c>
      <c r="E203" s="5" t="s">
        <v>44</v>
      </c>
      <c r="F203" s="5">
        <v>1871.0</v>
      </c>
      <c r="G203" s="5">
        <v>252.0</v>
      </c>
      <c r="H203" s="5">
        <v>335.0</v>
      </c>
      <c r="I203" s="5">
        <v>29936.0</v>
      </c>
      <c r="J203" s="5">
        <v>29576.0</v>
      </c>
      <c r="K203" s="5">
        <v>288.0</v>
      </c>
      <c r="L203" s="9" t="s">
        <v>30</v>
      </c>
      <c r="M203" s="10"/>
      <c r="N203" s="10"/>
    </row>
    <row r="204" ht="14.25" customHeight="1">
      <c r="A204" s="5" t="s">
        <v>254</v>
      </c>
      <c r="B204" s="5" t="s">
        <v>27</v>
      </c>
      <c r="C204" s="6">
        <v>45617.0</v>
      </c>
      <c r="D204" s="5" t="s">
        <v>34</v>
      </c>
      <c r="E204" s="5" t="s">
        <v>62</v>
      </c>
      <c r="F204" s="5">
        <v>3773.0</v>
      </c>
      <c r="G204" s="5">
        <v>299.0</v>
      </c>
      <c r="H204" s="5">
        <v>38.0</v>
      </c>
      <c r="I204" s="5">
        <v>71687.0</v>
      </c>
      <c r="J204" s="5">
        <v>71447.0</v>
      </c>
      <c r="K204" s="5">
        <v>286.0</v>
      </c>
      <c r="L204" s="9" t="s">
        <v>16</v>
      </c>
      <c r="M204" s="10"/>
      <c r="N204" s="10"/>
    </row>
    <row r="205" ht="14.25" customHeight="1">
      <c r="A205" s="5" t="s">
        <v>255</v>
      </c>
      <c r="B205" s="5" t="s">
        <v>27</v>
      </c>
      <c r="C205" s="6">
        <v>45658.0</v>
      </c>
      <c r="D205" s="5" t="s">
        <v>34</v>
      </c>
      <c r="E205" s="5" t="s">
        <v>62</v>
      </c>
      <c r="F205" s="5">
        <v>2234.0</v>
      </c>
      <c r="G205" s="5">
        <v>653.0</v>
      </c>
      <c r="H205" s="5">
        <v>432.0</v>
      </c>
      <c r="I205" s="5">
        <v>11170.0</v>
      </c>
      <c r="J205" s="5">
        <v>10569.0</v>
      </c>
      <c r="K205" s="5">
        <v>198.0</v>
      </c>
      <c r="L205" s="9" t="s">
        <v>16</v>
      </c>
      <c r="M205" s="10"/>
      <c r="N205" s="10"/>
    </row>
    <row r="206" ht="14.25" customHeight="1">
      <c r="A206" s="5" t="s">
        <v>256</v>
      </c>
      <c r="B206" s="5" t="s">
        <v>13</v>
      </c>
      <c r="C206" s="6">
        <v>45771.0</v>
      </c>
      <c r="D206" s="5" t="s">
        <v>53</v>
      </c>
      <c r="E206" s="5" t="s">
        <v>92</v>
      </c>
      <c r="F206" s="5">
        <v>3820.0</v>
      </c>
      <c r="G206" s="5">
        <v>697.0</v>
      </c>
      <c r="H206" s="5">
        <v>268.0</v>
      </c>
      <c r="I206" s="5">
        <v>45840.0</v>
      </c>
      <c r="J206" s="5">
        <v>45631.0</v>
      </c>
      <c r="K206" s="5">
        <v>171.0</v>
      </c>
      <c r="L206" s="7" t="s">
        <v>21</v>
      </c>
      <c r="M206" s="7" t="s">
        <v>191</v>
      </c>
      <c r="N206" s="8"/>
    </row>
    <row r="207" ht="14.25" customHeight="1">
      <c r="A207" s="5" t="s">
        <v>257</v>
      </c>
      <c r="B207" s="5" t="s">
        <v>13</v>
      </c>
      <c r="C207" s="6">
        <v>45467.0</v>
      </c>
      <c r="D207" s="5" t="s">
        <v>19</v>
      </c>
      <c r="E207" s="5" t="s">
        <v>20</v>
      </c>
      <c r="F207" s="5">
        <v>941.0</v>
      </c>
      <c r="G207" s="5">
        <v>121.0</v>
      </c>
      <c r="H207" s="5">
        <v>458.0</v>
      </c>
      <c r="I207" s="5">
        <v>14115.0</v>
      </c>
      <c r="J207" s="5">
        <v>13838.0</v>
      </c>
      <c r="K207" s="5">
        <v>87.0</v>
      </c>
      <c r="L207" s="9" t="s">
        <v>30</v>
      </c>
      <c r="M207" s="10"/>
      <c r="N207" s="10"/>
    </row>
    <row r="208" ht="14.25" customHeight="1">
      <c r="A208" s="5" t="s">
        <v>258</v>
      </c>
      <c r="B208" s="5" t="s">
        <v>13</v>
      </c>
      <c r="C208" s="6">
        <v>45655.0</v>
      </c>
      <c r="D208" s="5" t="s">
        <v>34</v>
      </c>
      <c r="E208" s="5" t="s">
        <v>37</v>
      </c>
      <c r="F208" s="5">
        <v>4274.0</v>
      </c>
      <c r="G208" s="5">
        <v>340.0</v>
      </c>
      <c r="H208" s="5">
        <v>281.0</v>
      </c>
      <c r="I208" s="5">
        <v>34192.0</v>
      </c>
      <c r="J208" s="5">
        <v>33446.0</v>
      </c>
      <c r="K208" s="5">
        <v>129.0</v>
      </c>
      <c r="L208" s="7" t="s">
        <v>21</v>
      </c>
      <c r="M208" s="7" t="s">
        <v>191</v>
      </c>
      <c r="N208" s="8"/>
    </row>
    <row r="209" ht="14.25" customHeight="1">
      <c r="A209" s="5" t="s">
        <v>259</v>
      </c>
      <c r="B209" s="5" t="s">
        <v>24</v>
      </c>
      <c r="C209" s="6">
        <v>45467.0</v>
      </c>
      <c r="D209" s="5" t="s">
        <v>53</v>
      </c>
      <c r="E209" s="5" t="s">
        <v>133</v>
      </c>
      <c r="F209" s="5">
        <v>2949.0</v>
      </c>
      <c r="G209" s="5">
        <v>476.0</v>
      </c>
      <c r="H209" s="5">
        <v>403.0</v>
      </c>
      <c r="I209" s="5">
        <v>44235.0</v>
      </c>
      <c r="J209" s="5">
        <v>43705.0</v>
      </c>
      <c r="K209" s="5">
        <v>135.0</v>
      </c>
      <c r="L209" s="9" t="s">
        <v>21</v>
      </c>
      <c r="M209" s="10"/>
      <c r="N209" s="10"/>
    </row>
    <row r="210" ht="14.25" customHeight="1">
      <c r="A210" s="5" t="s">
        <v>260</v>
      </c>
      <c r="B210" s="5" t="s">
        <v>13</v>
      </c>
      <c r="C210" s="6">
        <v>45735.0</v>
      </c>
      <c r="D210" s="5" t="s">
        <v>53</v>
      </c>
      <c r="E210" s="5" t="s">
        <v>92</v>
      </c>
      <c r="F210" s="5">
        <v>3160.0</v>
      </c>
      <c r="G210" s="5">
        <v>204.0</v>
      </c>
      <c r="H210" s="5">
        <v>297.0</v>
      </c>
      <c r="I210" s="5">
        <v>44240.0</v>
      </c>
      <c r="J210" s="5">
        <v>43666.0</v>
      </c>
      <c r="K210" s="5">
        <v>49.0</v>
      </c>
      <c r="L210" s="7" t="s">
        <v>16</v>
      </c>
      <c r="M210" s="7" t="s">
        <v>17</v>
      </c>
      <c r="N210" s="8"/>
    </row>
    <row r="211" ht="14.25" customHeight="1">
      <c r="A211" s="5" t="s">
        <v>261</v>
      </c>
      <c r="B211" s="5" t="s">
        <v>24</v>
      </c>
      <c r="C211" s="6">
        <v>45707.0</v>
      </c>
      <c r="D211" s="5" t="s">
        <v>39</v>
      </c>
      <c r="E211" s="5" t="s">
        <v>40</v>
      </c>
      <c r="F211" s="5">
        <v>257.0</v>
      </c>
      <c r="G211" s="5">
        <v>966.0</v>
      </c>
      <c r="H211" s="5">
        <v>398.0</v>
      </c>
      <c r="I211" s="5">
        <v>3341.0</v>
      </c>
      <c r="J211" s="5">
        <v>2753.0</v>
      </c>
      <c r="K211" s="5">
        <v>287.0</v>
      </c>
      <c r="L211" s="9" t="s">
        <v>16</v>
      </c>
      <c r="M211" s="10"/>
      <c r="N211" s="10"/>
    </row>
    <row r="212" ht="14.25" customHeight="1">
      <c r="A212" s="5" t="s">
        <v>262</v>
      </c>
      <c r="B212" s="5" t="s">
        <v>13</v>
      </c>
      <c r="C212" s="6">
        <v>45491.0</v>
      </c>
      <c r="D212" s="5" t="s">
        <v>34</v>
      </c>
      <c r="E212" s="5" t="s">
        <v>37</v>
      </c>
      <c r="F212" s="5">
        <v>2120.0</v>
      </c>
      <c r="G212" s="5">
        <v>38.0</v>
      </c>
      <c r="H212" s="5">
        <v>212.0</v>
      </c>
      <c r="I212" s="5">
        <v>12720.0</v>
      </c>
      <c r="J212" s="5">
        <v>12564.0</v>
      </c>
      <c r="K212" s="5">
        <v>21.0</v>
      </c>
      <c r="L212" s="9" t="s">
        <v>16</v>
      </c>
      <c r="M212" s="10"/>
      <c r="N212" s="10"/>
    </row>
    <row r="213" ht="14.25" customHeight="1">
      <c r="A213" s="5" t="s">
        <v>263</v>
      </c>
      <c r="B213" s="5" t="s">
        <v>24</v>
      </c>
      <c r="C213" s="6">
        <v>45719.0</v>
      </c>
      <c r="D213" s="5" t="s">
        <v>53</v>
      </c>
      <c r="E213" s="5" t="s">
        <v>133</v>
      </c>
      <c r="F213" s="5">
        <v>3874.0</v>
      </c>
      <c r="G213" s="5">
        <v>884.0</v>
      </c>
      <c r="H213" s="5">
        <v>19.0</v>
      </c>
      <c r="I213" s="5">
        <v>38740.0</v>
      </c>
      <c r="J213" s="5">
        <v>38552.0</v>
      </c>
      <c r="K213" s="5">
        <v>219.0</v>
      </c>
      <c r="L213" s="9" t="s">
        <v>21</v>
      </c>
      <c r="M213" s="10"/>
      <c r="N213" s="10"/>
    </row>
    <row r="214" ht="14.25" customHeight="1">
      <c r="A214" s="5" t="s">
        <v>264</v>
      </c>
      <c r="B214" s="5" t="s">
        <v>33</v>
      </c>
      <c r="C214" s="6">
        <v>45778.0</v>
      </c>
      <c r="D214" s="5" t="s">
        <v>34</v>
      </c>
      <c r="E214" s="5" t="s">
        <v>35</v>
      </c>
      <c r="F214" s="5">
        <v>2696.0</v>
      </c>
      <c r="G214" s="5">
        <v>628.0</v>
      </c>
      <c r="H214" s="5">
        <v>443.0</v>
      </c>
      <c r="I214" s="5">
        <v>45832.0</v>
      </c>
      <c r="J214" s="5">
        <v>45632.0</v>
      </c>
      <c r="K214" s="5">
        <v>248.0</v>
      </c>
      <c r="L214" s="9" t="s">
        <v>30</v>
      </c>
      <c r="M214" s="10"/>
      <c r="N214" s="10"/>
    </row>
    <row r="215" ht="14.25" customHeight="1">
      <c r="A215" s="5" t="s">
        <v>265</v>
      </c>
      <c r="B215" s="5" t="s">
        <v>27</v>
      </c>
      <c r="C215" s="6">
        <v>45649.0</v>
      </c>
      <c r="D215" s="5" t="s">
        <v>39</v>
      </c>
      <c r="E215" s="5" t="s">
        <v>131</v>
      </c>
      <c r="F215" s="5">
        <v>521.0</v>
      </c>
      <c r="G215" s="5">
        <v>746.0</v>
      </c>
      <c r="H215" s="5">
        <v>315.0</v>
      </c>
      <c r="I215" s="5">
        <v>4168.0</v>
      </c>
      <c r="J215" s="5">
        <v>3399.0</v>
      </c>
      <c r="K215" s="5">
        <v>282.0</v>
      </c>
      <c r="L215" s="9" t="s">
        <v>16</v>
      </c>
      <c r="M215" s="10"/>
      <c r="N215" s="10"/>
    </row>
    <row r="216" ht="14.25" customHeight="1">
      <c r="A216" s="5" t="s">
        <v>266</v>
      </c>
      <c r="B216" s="5" t="s">
        <v>33</v>
      </c>
      <c r="C216" s="6">
        <v>45783.0</v>
      </c>
      <c r="D216" s="5" t="s">
        <v>39</v>
      </c>
      <c r="E216" s="5" t="s">
        <v>44</v>
      </c>
      <c r="F216" s="5">
        <v>4872.0</v>
      </c>
      <c r="G216" s="5">
        <v>925.0</v>
      </c>
      <c r="H216" s="5">
        <v>176.0</v>
      </c>
      <c r="I216" s="5">
        <v>82824.0</v>
      </c>
      <c r="J216" s="5">
        <v>82543.0</v>
      </c>
      <c r="K216" s="5">
        <v>89.0</v>
      </c>
      <c r="L216" s="9" t="s">
        <v>30</v>
      </c>
      <c r="M216" s="10"/>
      <c r="N216" s="10"/>
    </row>
    <row r="217" ht="14.25" customHeight="1">
      <c r="A217" s="5" t="s">
        <v>267</v>
      </c>
      <c r="B217" s="5" t="s">
        <v>24</v>
      </c>
      <c r="C217" s="6">
        <v>45502.0</v>
      </c>
      <c r="D217" s="5" t="s">
        <v>28</v>
      </c>
      <c r="E217" s="5" t="s">
        <v>98</v>
      </c>
      <c r="F217" s="5">
        <v>1509.0</v>
      </c>
      <c r="G217" s="5">
        <v>88.0</v>
      </c>
      <c r="H217" s="5">
        <v>163.0</v>
      </c>
      <c r="I217" s="5">
        <v>30180.0</v>
      </c>
      <c r="J217" s="5">
        <v>29689.0</v>
      </c>
      <c r="K217" s="5">
        <v>119.0</v>
      </c>
      <c r="L217" s="9" t="s">
        <v>30</v>
      </c>
      <c r="M217" s="10"/>
      <c r="N217" s="10"/>
    </row>
    <row r="218" ht="14.25" customHeight="1">
      <c r="A218" s="5" t="s">
        <v>268</v>
      </c>
      <c r="B218" s="5" t="s">
        <v>33</v>
      </c>
      <c r="C218" s="6">
        <v>45629.0</v>
      </c>
      <c r="D218" s="5" t="s">
        <v>39</v>
      </c>
      <c r="E218" s="5" t="s">
        <v>44</v>
      </c>
      <c r="F218" s="5">
        <v>4606.0</v>
      </c>
      <c r="G218" s="5">
        <v>931.0</v>
      </c>
      <c r="H218" s="5">
        <v>230.0</v>
      </c>
      <c r="I218" s="5">
        <v>92120.0</v>
      </c>
      <c r="J218" s="5">
        <v>91440.0</v>
      </c>
      <c r="K218" s="5">
        <v>56.0</v>
      </c>
      <c r="L218" s="9" t="s">
        <v>21</v>
      </c>
      <c r="M218" s="10"/>
      <c r="N218" s="10"/>
    </row>
    <row r="219" ht="14.25" customHeight="1">
      <c r="A219" s="5" t="s">
        <v>269</v>
      </c>
      <c r="B219" s="5" t="s">
        <v>33</v>
      </c>
      <c r="C219" s="6">
        <v>45454.0</v>
      </c>
      <c r="D219" s="5" t="s">
        <v>34</v>
      </c>
      <c r="E219" s="5" t="s">
        <v>35</v>
      </c>
      <c r="F219" s="5">
        <v>1869.0</v>
      </c>
      <c r="G219" s="5">
        <v>453.0</v>
      </c>
      <c r="H219" s="5">
        <v>490.0</v>
      </c>
      <c r="I219" s="5">
        <v>14952.0</v>
      </c>
      <c r="J219" s="5">
        <v>14309.0</v>
      </c>
      <c r="K219" s="5">
        <v>275.0</v>
      </c>
      <c r="L219" s="9" t="s">
        <v>21</v>
      </c>
      <c r="M219" s="10"/>
      <c r="N219" s="10"/>
    </row>
    <row r="220" ht="14.25" customHeight="1">
      <c r="A220" s="5" t="s">
        <v>270</v>
      </c>
      <c r="B220" s="5" t="s">
        <v>13</v>
      </c>
      <c r="C220" s="6">
        <v>45685.0</v>
      </c>
      <c r="D220" s="5" t="s">
        <v>14</v>
      </c>
      <c r="E220" s="5" t="s">
        <v>15</v>
      </c>
      <c r="F220" s="5">
        <v>1188.0</v>
      </c>
      <c r="G220" s="5">
        <v>470.0</v>
      </c>
      <c r="H220" s="5">
        <v>174.0</v>
      </c>
      <c r="I220" s="5">
        <v>7128.0</v>
      </c>
      <c r="J220" s="5">
        <v>6145.0</v>
      </c>
      <c r="K220" s="5">
        <v>270.0</v>
      </c>
      <c r="L220" s="9" t="s">
        <v>21</v>
      </c>
      <c r="M220" s="10"/>
      <c r="N220" s="10"/>
    </row>
    <row r="221" ht="14.25" customHeight="1">
      <c r="A221" s="5" t="s">
        <v>271</v>
      </c>
      <c r="B221" s="5" t="s">
        <v>27</v>
      </c>
      <c r="C221" s="6">
        <v>45445.0</v>
      </c>
      <c r="D221" s="5" t="s">
        <v>28</v>
      </c>
      <c r="E221" s="5" t="s">
        <v>29</v>
      </c>
      <c r="F221" s="5">
        <v>84.0</v>
      </c>
      <c r="G221" s="5">
        <v>897.0</v>
      </c>
      <c r="H221" s="5">
        <v>85.0</v>
      </c>
      <c r="I221" s="5">
        <v>588.0</v>
      </c>
      <c r="J221" s="5">
        <v>8.0</v>
      </c>
      <c r="K221" s="5">
        <v>12.0</v>
      </c>
      <c r="L221" s="9" t="s">
        <v>30</v>
      </c>
      <c r="M221" s="10"/>
      <c r="N221" s="10"/>
    </row>
    <row r="222" ht="14.25" customHeight="1">
      <c r="A222" s="5" t="s">
        <v>272</v>
      </c>
      <c r="B222" s="5" t="s">
        <v>33</v>
      </c>
      <c r="C222" s="6">
        <v>45739.0</v>
      </c>
      <c r="D222" s="5" t="s">
        <v>53</v>
      </c>
      <c r="E222" s="5" t="s">
        <v>54</v>
      </c>
      <c r="F222" s="5">
        <v>4453.0</v>
      </c>
      <c r="G222" s="5">
        <v>111.0</v>
      </c>
      <c r="H222" s="5">
        <v>420.0</v>
      </c>
      <c r="I222" s="5">
        <v>31171.0</v>
      </c>
      <c r="J222" s="5">
        <v>30565.0</v>
      </c>
      <c r="K222" s="5">
        <v>23.0</v>
      </c>
      <c r="L222" s="9" t="s">
        <v>21</v>
      </c>
      <c r="M222" s="10"/>
      <c r="N222" s="10"/>
    </row>
    <row r="223" ht="14.25" customHeight="1">
      <c r="A223" s="5" t="s">
        <v>273</v>
      </c>
      <c r="B223" s="5" t="s">
        <v>33</v>
      </c>
      <c r="C223" s="6">
        <v>45573.0</v>
      </c>
      <c r="D223" s="5" t="s">
        <v>14</v>
      </c>
      <c r="E223" s="5" t="s">
        <v>47</v>
      </c>
      <c r="F223" s="5">
        <v>1814.0</v>
      </c>
      <c r="G223" s="5">
        <v>653.0</v>
      </c>
      <c r="H223" s="5">
        <v>363.0</v>
      </c>
      <c r="I223" s="5">
        <v>25396.0</v>
      </c>
      <c r="J223" s="5">
        <v>25286.0</v>
      </c>
      <c r="K223" s="5">
        <v>39.0</v>
      </c>
      <c r="L223" s="7" t="s">
        <v>16</v>
      </c>
      <c r="M223" s="7" t="s">
        <v>191</v>
      </c>
      <c r="N223" s="8"/>
    </row>
    <row r="224" ht="14.25" customHeight="1">
      <c r="A224" s="5" t="s">
        <v>274</v>
      </c>
      <c r="B224" s="5" t="s">
        <v>13</v>
      </c>
      <c r="C224" s="6">
        <v>45608.0</v>
      </c>
      <c r="D224" s="5" t="s">
        <v>39</v>
      </c>
      <c r="E224" s="5" t="s">
        <v>85</v>
      </c>
      <c r="F224" s="5">
        <v>3338.0</v>
      </c>
      <c r="G224" s="5">
        <v>277.0</v>
      </c>
      <c r="H224" s="5">
        <v>118.0</v>
      </c>
      <c r="I224" s="5">
        <v>60084.0</v>
      </c>
      <c r="J224" s="5">
        <v>59842.0</v>
      </c>
      <c r="K224" s="5">
        <v>252.0</v>
      </c>
      <c r="L224" s="9" t="s">
        <v>21</v>
      </c>
      <c r="M224" s="10"/>
      <c r="N224" s="10"/>
    </row>
    <row r="225" ht="14.25" customHeight="1">
      <c r="A225" s="5" t="s">
        <v>275</v>
      </c>
      <c r="B225" s="5" t="s">
        <v>33</v>
      </c>
      <c r="C225" s="6">
        <v>45790.0</v>
      </c>
      <c r="D225" s="5" t="s">
        <v>39</v>
      </c>
      <c r="E225" s="5" t="s">
        <v>44</v>
      </c>
      <c r="F225" s="5">
        <v>602.0</v>
      </c>
      <c r="G225" s="5">
        <v>594.0</v>
      </c>
      <c r="H225" s="5">
        <v>156.0</v>
      </c>
      <c r="I225" s="5">
        <v>4214.0</v>
      </c>
      <c r="J225" s="5">
        <v>3363.0</v>
      </c>
      <c r="K225" s="5">
        <v>164.0</v>
      </c>
      <c r="L225" s="9" t="s">
        <v>21</v>
      </c>
      <c r="M225" s="10"/>
      <c r="N225" s="10"/>
    </row>
    <row r="226" ht="14.25" customHeight="1">
      <c r="A226" s="5" t="s">
        <v>276</v>
      </c>
      <c r="B226" s="5" t="s">
        <v>13</v>
      </c>
      <c r="C226" s="6">
        <v>45463.0</v>
      </c>
      <c r="D226" s="5" t="s">
        <v>34</v>
      </c>
      <c r="E226" s="5" t="s">
        <v>37</v>
      </c>
      <c r="F226" s="5">
        <v>4672.0</v>
      </c>
      <c r="G226" s="5">
        <v>325.0</v>
      </c>
      <c r="H226" s="5">
        <v>32.0</v>
      </c>
      <c r="I226" s="5">
        <v>88768.0</v>
      </c>
      <c r="J226" s="5">
        <v>87833.0</v>
      </c>
      <c r="K226" s="5">
        <v>118.0</v>
      </c>
      <c r="L226" s="9" t="s">
        <v>30</v>
      </c>
      <c r="M226" s="10"/>
      <c r="N226" s="10"/>
    </row>
    <row r="227" ht="14.25" customHeight="1">
      <c r="A227" s="5" t="s">
        <v>277</v>
      </c>
      <c r="B227" s="5" t="s">
        <v>27</v>
      </c>
      <c r="C227" s="6">
        <v>45511.0</v>
      </c>
      <c r="D227" s="5" t="s">
        <v>34</v>
      </c>
      <c r="E227" s="5" t="s">
        <v>62</v>
      </c>
      <c r="F227" s="5">
        <v>1741.0</v>
      </c>
      <c r="G227" s="5">
        <v>164.0</v>
      </c>
      <c r="H227" s="5">
        <v>318.0</v>
      </c>
      <c r="I227" s="5">
        <v>8705.0</v>
      </c>
      <c r="J227" s="5">
        <v>8272.0</v>
      </c>
      <c r="K227" s="5">
        <v>121.0</v>
      </c>
      <c r="L227" s="9" t="s">
        <v>21</v>
      </c>
      <c r="M227" s="10"/>
      <c r="N227" s="10"/>
    </row>
    <row r="228" ht="14.25" customHeight="1">
      <c r="A228" s="5" t="s">
        <v>278</v>
      </c>
      <c r="B228" s="5" t="s">
        <v>27</v>
      </c>
      <c r="C228" s="6">
        <v>45455.0</v>
      </c>
      <c r="D228" s="5" t="s">
        <v>19</v>
      </c>
      <c r="E228" s="5" t="s">
        <v>75</v>
      </c>
      <c r="F228" s="5">
        <v>246.0</v>
      </c>
      <c r="G228" s="5">
        <v>149.0</v>
      </c>
      <c r="H228" s="5">
        <v>130.0</v>
      </c>
      <c r="I228" s="5">
        <v>4674.0</v>
      </c>
      <c r="J228" s="5">
        <v>4390.0</v>
      </c>
      <c r="K228" s="5">
        <v>217.0</v>
      </c>
      <c r="L228" s="9" t="s">
        <v>16</v>
      </c>
      <c r="M228" s="10"/>
      <c r="N228" s="10"/>
    </row>
    <row r="229" ht="14.25" customHeight="1">
      <c r="A229" s="5" t="s">
        <v>279</v>
      </c>
      <c r="B229" s="5" t="s">
        <v>27</v>
      </c>
      <c r="C229" s="6">
        <v>45474.0</v>
      </c>
      <c r="D229" s="5" t="s">
        <v>28</v>
      </c>
      <c r="E229" s="5" t="s">
        <v>29</v>
      </c>
      <c r="F229" s="5">
        <v>4808.0</v>
      </c>
      <c r="G229" s="5">
        <v>772.0</v>
      </c>
      <c r="H229" s="5">
        <v>320.0</v>
      </c>
      <c r="I229" s="5">
        <v>72120.0</v>
      </c>
      <c r="J229" s="5">
        <v>71696.0</v>
      </c>
      <c r="K229" s="5">
        <v>195.0</v>
      </c>
      <c r="L229" s="9" t="s">
        <v>30</v>
      </c>
      <c r="M229" s="10"/>
      <c r="N229" s="10"/>
    </row>
    <row r="230" ht="14.25" customHeight="1">
      <c r="A230" s="5" t="s">
        <v>280</v>
      </c>
      <c r="B230" s="5" t="s">
        <v>27</v>
      </c>
      <c r="C230" s="6">
        <v>45476.0</v>
      </c>
      <c r="D230" s="5" t="s">
        <v>34</v>
      </c>
      <c r="E230" s="5" t="s">
        <v>62</v>
      </c>
      <c r="F230" s="5">
        <v>4799.0</v>
      </c>
      <c r="G230" s="5">
        <v>694.0</v>
      </c>
      <c r="H230" s="5">
        <v>289.0</v>
      </c>
      <c r="I230" s="5">
        <v>43191.0</v>
      </c>
      <c r="J230" s="5">
        <v>42228.0</v>
      </c>
      <c r="K230" s="5">
        <v>118.0</v>
      </c>
      <c r="L230" s="9" t="s">
        <v>21</v>
      </c>
      <c r="M230" s="10"/>
      <c r="N230" s="10"/>
    </row>
    <row r="231" ht="14.25" customHeight="1">
      <c r="A231" s="5" t="s">
        <v>281</v>
      </c>
      <c r="B231" s="5" t="s">
        <v>33</v>
      </c>
      <c r="C231" s="6">
        <v>45488.0</v>
      </c>
      <c r="D231" s="5" t="s">
        <v>14</v>
      </c>
      <c r="E231" s="5" t="s">
        <v>47</v>
      </c>
      <c r="F231" s="5">
        <v>3663.0</v>
      </c>
      <c r="G231" s="5">
        <v>17.0</v>
      </c>
      <c r="H231" s="5">
        <v>295.0</v>
      </c>
      <c r="I231" s="5">
        <v>51282.0</v>
      </c>
      <c r="J231" s="5">
        <v>50567.0</v>
      </c>
      <c r="K231" s="5">
        <v>84.0</v>
      </c>
      <c r="L231" s="9" t="s">
        <v>30</v>
      </c>
      <c r="M231" s="10"/>
      <c r="N231" s="10"/>
    </row>
    <row r="232" ht="14.25" customHeight="1">
      <c r="A232" s="5" t="s">
        <v>282</v>
      </c>
      <c r="B232" s="5" t="s">
        <v>27</v>
      </c>
      <c r="C232" s="6">
        <v>45778.0</v>
      </c>
      <c r="D232" s="5" t="s">
        <v>19</v>
      </c>
      <c r="E232" s="5" t="s">
        <v>75</v>
      </c>
      <c r="F232" s="5">
        <v>1430.0</v>
      </c>
      <c r="G232" s="5">
        <v>376.0</v>
      </c>
      <c r="H232" s="5">
        <v>33.0</v>
      </c>
      <c r="I232" s="5">
        <v>21450.0</v>
      </c>
      <c r="J232" s="5">
        <v>20509.0</v>
      </c>
      <c r="K232" s="5">
        <v>251.0</v>
      </c>
      <c r="L232" s="9" t="s">
        <v>16</v>
      </c>
      <c r="M232" s="10"/>
      <c r="N232" s="10"/>
    </row>
    <row r="233" ht="14.25" customHeight="1">
      <c r="A233" s="5" t="s">
        <v>283</v>
      </c>
      <c r="B233" s="5" t="s">
        <v>13</v>
      </c>
      <c r="C233" s="6">
        <v>45776.0</v>
      </c>
      <c r="D233" s="5" t="s">
        <v>28</v>
      </c>
      <c r="E233" s="5" t="s">
        <v>95</v>
      </c>
      <c r="F233" s="5">
        <v>249.0</v>
      </c>
      <c r="G233" s="5">
        <v>592.0</v>
      </c>
      <c r="H233" s="5">
        <v>230.0</v>
      </c>
      <c r="I233" s="5">
        <v>1494.0</v>
      </c>
      <c r="J233" s="5">
        <v>1044.0</v>
      </c>
      <c r="K233" s="5">
        <v>201.0</v>
      </c>
      <c r="L233" s="9" t="s">
        <v>30</v>
      </c>
      <c r="M233" s="10"/>
      <c r="N233" s="10"/>
    </row>
    <row r="234" ht="14.25" customHeight="1">
      <c r="A234" s="5" t="s">
        <v>284</v>
      </c>
      <c r="B234" s="5" t="s">
        <v>33</v>
      </c>
      <c r="C234" s="6">
        <v>45724.0</v>
      </c>
      <c r="D234" s="5" t="s">
        <v>39</v>
      </c>
      <c r="E234" s="5" t="s">
        <v>44</v>
      </c>
      <c r="F234" s="5">
        <v>2382.0</v>
      </c>
      <c r="G234" s="5">
        <v>265.0</v>
      </c>
      <c r="H234" s="5">
        <v>134.0</v>
      </c>
      <c r="I234" s="5">
        <v>38112.0</v>
      </c>
      <c r="J234" s="5">
        <v>37437.0</v>
      </c>
      <c r="K234" s="5">
        <v>249.0</v>
      </c>
      <c r="L234" s="9" t="s">
        <v>16</v>
      </c>
      <c r="M234" s="10"/>
      <c r="N234" s="10"/>
    </row>
    <row r="235" ht="14.25" customHeight="1">
      <c r="A235" s="5" t="s">
        <v>285</v>
      </c>
      <c r="B235" s="5" t="s">
        <v>33</v>
      </c>
      <c r="C235" s="6">
        <v>45444.0</v>
      </c>
      <c r="D235" s="5" t="s">
        <v>19</v>
      </c>
      <c r="E235" s="5" t="s">
        <v>42</v>
      </c>
      <c r="F235" s="5">
        <v>1272.0</v>
      </c>
      <c r="G235" s="5">
        <v>465.0</v>
      </c>
      <c r="H235" s="5">
        <v>99.0</v>
      </c>
      <c r="I235" s="5">
        <v>24168.0</v>
      </c>
      <c r="J235" s="5">
        <v>23719.0</v>
      </c>
      <c r="K235" s="5">
        <v>42.0</v>
      </c>
      <c r="L235" s="9" t="s">
        <v>21</v>
      </c>
      <c r="M235" s="10"/>
      <c r="N235" s="10"/>
    </row>
    <row r="236" ht="14.25" customHeight="1">
      <c r="A236" s="5" t="s">
        <v>286</v>
      </c>
      <c r="B236" s="5" t="s">
        <v>33</v>
      </c>
      <c r="C236" s="6">
        <v>45648.0</v>
      </c>
      <c r="D236" s="5" t="s">
        <v>39</v>
      </c>
      <c r="E236" s="5" t="s">
        <v>44</v>
      </c>
      <c r="F236" s="5">
        <v>3196.0</v>
      </c>
      <c r="G236" s="5">
        <v>941.0</v>
      </c>
      <c r="H236" s="5">
        <v>376.0</v>
      </c>
      <c r="I236" s="5">
        <v>35156.0</v>
      </c>
      <c r="J236" s="5">
        <v>34444.0</v>
      </c>
      <c r="K236" s="5">
        <v>241.0</v>
      </c>
      <c r="L236" s="9" t="s">
        <v>21</v>
      </c>
      <c r="M236" s="10"/>
      <c r="N236" s="10"/>
    </row>
    <row r="237" ht="14.25" customHeight="1">
      <c r="A237" s="5" t="s">
        <v>287</v>
      </c>
      <c r="B237" s="5" t="s">
        <v>33</v>
      </c>
      <c r="C237" s="6">
        <v>45523.0</v>
      </c>
      <c r="D237" s="5" t="s">
        <v>19</v>
      </c>
      <c r="E237" s="5" t="s">
        <v>42</v>
      </c>
      <c r="F237" s="5">
        <v>1257.0</v>
      </c>
      <c r="G237" s="5">
        <v>19.0</v>
      </c>
      <c r="H237" s="5">
        <v>351.0</v>
      </c>
      <c r="I237" s="5">
        <v>12570.0</v>
      </c>
      <c r="J237" s="5">
        <v>11660.0</v>
      </c>
      <c r="K237" s="5">
        <v>194.0</v>
      </c>
      <c r="L237" s="7" t="s">
        <v>16</v>
      </c>
      <c r="M237" s="7" t="s">
        <v>17</v>
      </c>
      <c r="N237" s="7" t="s">
        <v>30</v>
      </c>
    </row>
    <row r="238" ht="14.25" customHeight="1">
      <c r="A238" s="5" t="s">
        <v>288</v>
      </c>
      <c r="B238" s="5" t="s">
        <v>27</v>
      </c>
      <c r="C238" s="6">
        <v>45587.0</v>
      </c>
      <c r="D238" s="5" t="s">
        <v>28</v>
      </c>
      <c r="E238" s="5" t="s">
        <v>29</v>
      </c>
      <c r="F238" s="5">
        <v>3770.0</v>
      </c>
      <c r="G238" s="5">
        <v>917.0</v>
      </c>
      <c r="H238" s="5">
        <v>129.0</v>
      </c>
      <c r="I238" s="5">
        <v>71630.0</v>
      </c>
      <c r="J238" s="5">
        <v>71322.0</v>
      </c>
      <c r="K238" s="5">
        <v>76.0</v>
      </c>
      <c r="L238" s="9" t="s">
        <v>16</v>
      </c>
      <c r="M238" s="10"/>
      <c r="N238" s="10"/>
    </row>
    <row r="239" ht="14.25" customHeight="1">
      <c r="A239" s="5" t="s">
        <v>289</v>
      </c>
      <c r="B239" s="5" t="s">
        <v>13</v>
      </c>
      <c r="C239" s="6">
        <v>45489.0</v>
      </c>
      <c r="D239" s="5" t="s">
        <v>19</v>
      </c>
      <c r="E239" s="5" t="s">
        <v>20</v>
      </c>
      <c r="F239" s="5">
        <v>4725.0</v>
      </c>
      <c r="G239" s="5">
        <v>400.0</v>
      </c>
      <c r="H239" s="5">
        <v>362.0</v>
      </c>
      <c r="I239" s="5">
        <v>75600.0</v>
      </c>
      <c r="J239" s="5">
        <v>74927.0</v>
      </c>
      <c r="K239" s="5">
        <v>43.0</v>
      </c>
      <c r="L239" s="9" t="s">
        <v>16</v>
      </c>
      <c r="M239" s="10"/>
      <c r="N239" s="10"/>
    </row>
    <row r="240" ht="14.25" customHeight="1">
      <c r="A240" s="5" t="s">
        <v>290</v>
      </c>
      <c r="B240" s="5" t="s">
        <v>24</v>
      </c>
      <c r="C240" s="6">
        <v>45712.0</v>
      </c>
      <c r="D240" s="5" t="s">
        <v>19</v>
      </c>
      <c r="E240" s="5" t="s">
        <v>70</v>
      </c>
      <c r="F240" s="5">
        <v>4188.0</v>
      </c>
      <c r="G240" s="5">
        <v>942.0</v>
      </c>
      <c r="H240" s="5">
        <v>118.0</v>
      </c>
      <c r="I240" s="5">
        <v>20940.0</v>
      </c>
      <c r="J240" s="5">
        <v>20471.0</v>
      </c>
      <c r="K240" s="5">
        <v>102.0</v>
      </c>
      <c r="L240" s="9" t="s">
        <v>16</v>
      </c>
      <c r="M240" s="10"/>
      <c r="N240" s="10"/>
    </row>
    <row r="241" ht="14.25" customHeight="1">
      <c r="A241" s="5" t="s">
        <v>291</v>
      </c>
      <c r="B241" s="5" t="s">
        <v>13</v>
      </c>
      <c r="C241" s="6">
        <v>45530.0</v>
      </c>
      <c r="D241" s="5" t="s">
        <v>34</v>
      </c>
      <c r="E241" s="5" t="s">
        <v>37</v>
      </c>
      <c r="F241" s="5">
        <v>929.0</v>
      </c>
      <c r="G241" s="5">
        <v>192.0</v>
      </c>
      <c r="H241" s="5">
        <v>322.0</v>
      </c>
      <c r="I241" s="5">
        <v>16722.0</v>
      </c>
      <c r="J241" s="5">
        <v>15996.0</v>
      </c>
      <c r="K241" s="5">
        <v>145.0</v>
      </c>
      <c r="L241" s="7" t="s">
        <v>30</v>
      </c>
      <c r="M241" s="7" t="s">
        <v>21</v>
      </c>
      <c r="N241" s="7" t="s">
        <v>17</v>
      </c>
    </row>
    <row r="242" ht="14.25" customHeight="1">
      <c r="A242" s="5" t="s">
        <v>292</v>
      </c>
      <c r="B242" s="5" t="s">
        <v>33</v>
      </c>
      <c r="C242" s="6">
        <v>45675.0</v>
      </c>
      <c r="D242" s="5" t="s">
        <v>28</v>
      </c>
      <c r="E242" s="5" t="s">
        <v>51</v>
      </c>
      <c r="F242" s="5">
        <v>4321.0</v>
      </c>
      <c r="G242" s="5">
        <v>874.0</v>
      </c>
      <c r="H242" s="5">
        <v>172.0</v>
      </c>
      <c r="I242" s="5">
        <v>30247.0</v>
      </c>
      <c r="J242" s="5">
        <v>29254.0</v>
      </c>
      <c r="K242" s="5">
        <v>122.0</v>
      </c>
      <c r="L242" s="9" t="s">
        <v>21</v>
      </c>
      <c r="M242" s="10"/>
      <c r="N242" s="10"/>
    </row>
    <row r="243" ht="14.25" customHeight="1">
      <c r="A243" s="5" t="s">
        <v>293</v>
      </c>
      <c r="B243" s="5" t="s">
        <v>33</v>
      </c>
      <c r="C243" s="6">
        <v>45480.0</v>
      </c>
      <c r="D243" s="5" t="s">
        <v>14</v>
      </c>
      <c r="E243" s="5" t="s">
        <v>47</v>
      </c>
      <c r="F243" s="5">
        <v>4767.0</v>
      </c>
      <c r="G243" s="5">
        <v>190.0</v>
      </c>
      <c r="H243" s="5">
        <v>340.0</v>
      </c>
      <c r="I243" s="5">
        <v>28602.0</v>
      </c>
      <c r="J243" s="5">
        <v>28044.0</v>
      </c>
      <c r="K243" s="5">
        <v>210.0</v>
      </c>
      <c r="L243" s="9" t="s">
        <v>30</v>
      </c>
      <c r="M243" s="10"/>
      <c r="N243" s="10"/>
    </row>
    <row r="244" ht="14.25" customHeight="1">
      <c r="A244" s="5" t="s">
        <v>294</v>
      </c>
      <c r="B244" s="5" t="s">
        <v>13</v>
      </c>
      <c r="C244" s="6">
        <v>45722.0</v>
      </c>
      <c r="D244" s="5" t="s">
        <v>39</v>
      </c>
      <c r="E244" s="5" t="s">
        <v>85</v>
      </c>
      <c r="F244" s="5">
        <v>3592.0</v>
      </c>
      <c r="G244" s="5">
        <v>911.0</v>
      </c>
      <c r="H244" s="5">
        <v>375.0</v>
      </c>
      <c r="I244" s="5">
        <v>50288.0</v>
      </c>
      <c r="J244" s="5">
        <v>49490.0</v>
      </c>
      <c r="K244" s="5">
        <v>32.0</v>
      </c>
      <c r="L244" s="9" t="s">
        <v>16</v>
      </c>
      <c r="M244" s="10"/>
      <c r="N244" s="10"/>
    </row>
    <row r="245" ht="14.25" customHeight="1">
      <c r="A245" s="5" t="s">
        <v>295</v>
      </c>
      <c r="B245" s="5" t="s">
        <v>24</v>
      </c>
      <c r="C245" s="6">
        <v>45590.0</v>
      </c>
      <c r="D245" s="5" t="s">
        <v>53</v>
      </c>
      <c r="E245" s="5" t="s">
        <v>133</v>
      </c>
      <c r="F245" s="5">
        <v>4661.0</v>
      </c>
      <c r="G245" s="5">
        <v>935.0</v>
      </c>
      <c r="H245" s="5">
        <v>433.0</v>
      </c>
      <c r="I245" s="5">
        <v>23305.0</v>
      </c>
      <c r="J245" s="5">
        <v>22583.0</v>
      </c>
      <c r="K245" s="5">
        <v>63.0</v>
      </c>
      <c r="L245" s="9" t="s">
        <v>16</v>
      </c>
      <c r="M245" s="10"/>
      <c r="N245" s="10"/>
    </row>
    <row r="246" ht="14.25" customHeight="1">
      <c r="A246" s="5" t="s">
        <v>296</v>
      </c>
      <c r="B246" s="5" t="s">
        <v>33</v>
      </c>
      <c r="C246" s="6">
        <v>45669.0</v>
      </c>
      <c r="D246" s="5" t="s">
        <v>14</v>
      </c>
      <c r="E246" s="5" t="s">
        <v>47</v>
      </c>
      <c r="F246" s="5">
        <v>4134.0</v>
      </c>
      <c r="G246" s="5">
        <v>824.0</v>
      </c>
      <c r="H246" s="5">
        <v>99.0</v>
      </c>
      <c r="I246" s="5">
        <v>41340.0</v>
      </c>
      <c r="J246" s="5">
        <v>41050.0</v>
      </c>
      <c r="K246" s="5">
        <v>177.0</v>
      </c>
      <c r="L246" s="9" t="s">
        <v>30</v>
      </c>
      <c r="M246" s="10"/>
      <c r="N246" s="10"/>
    </row>
    <row r="247" ht="14.25" customHeight="1">
      <c r="A247" s="5" t="s">
        <v>297</v>
      </c>
      <c r="B247" s="5" t="s">
        <v>33</v>
      </c>
      <c r="C247" s="6">
        <v>45576.0</v>
      </c>
      <c r="D247" s="5" t="s">
        <v>39</v>
      </c>
      <c r="E247" s="5" t="s">
        <v>44</v>
      </c>
      <c r="F247" s="5">
        <v>400.0</v>
      </c>
      <c r="G247" s="5">
        <v>680.0</v>
      </c>
      <c r="H247" s="5">
        <v>434.0</v>
      </c>
      <c r="I247" s="5">
        <v>6400.0</v>
      </c>
      <c r="J247" s="5">
        <v>5472.0</v>
      </c>
      <c r="K247" s="5">
        <v>160.0</v>
      </c>
      <c r="L247" s="9" t="s">
        <v>16</v>
      </c>
      <c r="M247" s="10"/>
      <c r="N247" s="10"/>
    </row>
    <row r="248" ht="14.25" customHeight="1">
      <c r="A248" s="5" t="s">
        <v>298</v>
      </c>
      <c r="B248" s="5" t="s">
        <v>33</v>
      </c>
      <c r="C248" s="6">
        <v>45531.0</v>
      </c>
      <c r="D248" s="5" t="s">
        <v>14</v>
      </c>
      <c r="E248" s="5" t="s">
        <v>47</v>
      </c>
      <c r="F248" s="5">
        <v>3960.0</v>
      </c>
      <c r="G248" s="5">
        <v>266.0</v>
      </c>
      <c r="H248" s="5">
        <v>8.0</v>
      </c>
      <c r="I248" s="5">
        <v>35640.0</v>
      </c>
      <c r="J248" s="5">
        <v>34850.0</v>
      </c>
      <c r="K248" s="5">
        <v>208.0</v>
      </c>
      <c r="L248" s="7" t="s">
        <v>16</v>
      </c>
      <c r="M248" s="7" t="s">
        <v>30</v>
      </c>
      <c r="N248" s="7" t="s">
        <v>22</v>
      </c>
    </row>
    <row r="249" ht="14.25" customHeight="1">
      <c r="A249" s="5" t="s">
        <v>299</v>
      </c>
      <c r="B249" s="5" t="s">
        <v>33</v>
      </c>
      <c r="C249" s="6">
        <v>45690.0</v>
      </c>
      <c r="D249" s="5" t="s">
        <v>28</v>
      </c>
      <c r="E249" s="5" t="s">
        <v>51</v>
      </c>
      <c r="F249" s="5">
        <v>886.0</v>
      </c>
      <c r="G249" s="5">
        <v>126.0</v>
      </c>
      <c r="H249" s="5">
        <v>153.0</v>
      </c>
      <c r="I249" s="5">
        <v>4430.0</v>
      </c>
      <c r="J249" s="5">
        <v>4037.0</v>
      </c>
      <c r="K249" s="5">
        <v>212.0</v>
      </c>
      <c r="L249" s="9" t="s">
        <v>30</v>
      </c>
      <c r="M249" s="10"/>
      <c r="N249" s="10"/>
    </row>
    <row r="250" ht="14.25" customHeight="1">
      <c r="A250" s="5" t="s">
        <v>300</v>
      </c>
      <c r="B250" s="5" t="s">
        <v>13</v>
      </c>
      <c r="C250" s="6">
        <v>45491.0</v>
      </c>
      <c r="D250" s="5" t="s">
        <v>39</v>
      </c>
      <c r="E250" s="5" t="s">
        <v>85</v>
      </c>
      <c r="F250" s="5">
        <v>827.0</v>
      </c>
      <c r="G250" s="5">
        <v>77.0</v>
      </c>
      <c r="H250" s="5">
        <v>402.0</v>
      </c>
      <c r="I250" s="5">
        <v>14886.0</v>
      </c>
      <c r="J250" s="5">
        <v>14129.0</v>
      </c>
      <c r="K250" s="5">
        <v>254.0</v>
      </c>
      <c r="L250" s="9" t="s">
        <v>30</v>
      </c>
      <c r="M250" s="10"/>
      <c r="N250" s="10"/>
    </row>
    <row r="251" ht="14.25" customHeight="1">
      <c r="A251" s="5" t="s">
        <v>301</v>
      </c>
      <c r="B251" s="5" t="s">
        <v>33</v>
      </c>
      <c r="C251" s="6">
        <v>45465.0</v>
      </c>
      <c r="D251" s="5" t="s">
        <v>14</v>
      </c>
      <c r="E251" s="5" t="s">
        <v>47</v>
      </c>
      <c r="F251" s="5">
        <v>3813.0</v>
      </c>
      <c r="G251" s="5">
        <v>935.0</v>
      </c>
      <c r="H251" s="5">
        <v>274.0</v>
      </c>
      <c r="I251" s="5">
        <v>68634.0</v>
      </c>
      <c r="J251" s="5">
        <v>68488.0</v>
      </c>
      <c r="K251" s="5">
        <v>251.0</v>
      </c>
      <c r="L251" s="9" t="s">
        <v>16</v>
      </c>
      <c r="M251" s="10"/>
      <c r="N251" s="10"/>
    </row>
    <row r="252" ht="14.25" customHeight="1">
      <c r="A252" s="5" t="s">
        <v>302</v>
      </c>
      <c r="B252" s="5" t="s">
        <v>27</v>
      </c>
      <c r="C252" s="6">
        <v>45743.0</v>
      </c>
      <c r="D252" s="5" t="s">
        <v>34</v>
      </c>
      <c r="E252" s="5" t="s">
        <v>62</v>
      </c>
      <c r="F252" s="5">
        <v>1377.0</v>
      </c>
      <c r="G252" s="5">
        <v>796.0</v>
      </c>
      <c r="H252" s="5">
        <v>387.0</v>
      </c>
      <c r="I252" s="5">
        <v>22032.0</v>
      </c>
      <c r="J252" s="5">
        <v>21869.0</v>
      </c>
      <c r="K252" s="5">
        <v>189.0</v>
      </c>
      <c r="L252" s="9" t="s">
        <v>16</v>
      </c>
      <c r="M252" s="10"/>
      <c r="N252" s="10"/>
    </row>
    <row r="253" ht="14.25" customHeight="1">
      <c r="A253" s="5" t="s">
        <v>303</v>
      </c>
      <c r="B253" s="5" t="s">
        <v>33</v>
      </c>
      <c r="C253" s="6">
        <v>45775.0</v>
      </c>
      <c r="D253" s="5" t="s">
        <v>34</v>
      </c>
      <c r="E253" s="5" t="s">
        <v>35</v>
      </c>
      <c r="F253" s="5">
        <v>2089.0</v>
      </c>
      <c r="G253" s="5">
        <v>476.0</v>
      </c>
      <c r="H253" s="5">
        <v>69.0</v>
      </c>
      <c r="I253" s="5">
        <v>16712.0</v>
      </c>
      <c r="J253" s="5">
        <v>16309.0</v>
      </c>
      <c r="K253" s="5">
        <v>64.0</v>
      </c>
      <c r="L253" s="9" t="s">
        <v>16</v>
      </c>
      <c r="M253" s="10"/>
      <c r="N253" s="10"/>
    </row>
    <row r="254" ht="14.25" customHeight="1">
      <c r="A254" s="5" t="s">
        <v>304</v>
      </c>
      <c r="B254" s="5" t="s">
        <v>13</v>
      </c>
      <c r="C254" s="6">
        <v>45507.0</v>
      </c>
      <c r="D254" s="5" t="s">
        <v>14</v>
      </c>
      <c r="E254" s="5" t="s">
        <v>15</v>
      </c>
      <c r="F254" s="5">
        <v>3791.0</v>
      </c>
      <c r="G254" s="5">
        <v>593.0</v>
      </c>
      <c r="H254" s="5">
        <v>228.0</v>
      </c>
      <c r="I254" s="5">
        <v>53074.0</v>
      </c>
      <c r="J254" s="5">
        <v>52613.0</v>
      </c>
      <c r="K254" s="5">
        <v>205.0</v>
      </c>
      <c r="L254" s="9" t="s">
        <v>30</v>
      </c>
      <c r="M254" s="10"/>
      <c r="N254" s="10"/>
    </row>
    <row r="255" ht="14.25" customHeight="1">
      <c r="A255" s="5" t="s">
        <v>305</v>
      </c>
      <c r="B255" s="5" t="s">
        <v>13</v>
      </c>
      <c r="C255" s="6">
        <v>45671.0</v>
      </c>
      <c r="D255" s="5" t="s">
        <v>39</v>
      </c>
      <c r="E255" s="5" t="s">
        <v>85</v>
      </c>
      <c r="F255" s="5">
        <v>2692.0</v>
      </c>
      <c r="G255" s="5">
        <v>115.0</v>
      </c>
      <c r="H255" s="5">
        <v>64.0</v>
      </c>
      <c r="I255" s="5">
        <v>21536.0</v>
      </c>
      <c r="J255" s="5">
        <v>21120.0</v>
      </c>
      <c r="K255" s="5">
        <v>224.0</v>
      </c>
      <c r="L255" s="9" t="s">
        <v>16</v>
      </c>
      <c r="M255" s="10"/>
      <c r="N255" s="10"/>
    </row>
    <row r="256" ht="14.25" customHeight="1">
      <c r="A256" s="5" t="s">
        <v>306</v>
      </c>
      <c r="B256" s="5" t="s">
        <v>33</v>
      </c>
      <c r="C256" s="6">
        <v>45750.0</v>
      </c>
      <c r="D256" s="5" t="s">
        <v>28</v>
      </c>
      <c r="E256" s="5" t="s">
        <v>51</v>
      </c>
      <c r="F256" s="5">
        <v>3767.0</v>
      </c>
      <c r="G256" s="5">
        <v>514.0</v>
      </c>
      <c r="H256" s="5">
        <v>238.0</v>
      </c>
      <c r="I256" s="5">
        <v>37670.0</v>
      </c>
      <c r="J256" s="5">
        <v>36807.0</v>
      </c>
      <c r="K256" s="5">
        <v>226.0</v>
      </c>
      <c r="L256" s="9" t="s">
        <v>16</v>
      </c>
      <c r="M256" s="10"/>
      <c r="N256" s="10"/>
    </row>
    <row r="257" ht="14.25" customHeight="1">
      <c r="A257" s="5" t="s">
        <v>307</v>
      </c>
      <c r="B257" s="5" t="s">
        <v>24</v>
      </c>
      <c r="C257" s="6">
        <v>45553.0</v>
      </c>
      <c r="D257" s="5" t="s">
        <v>34</v>
      </c>
      <c r="E257" s="5" t="s">
        <v>49</v>
      </c>
      <c r="F257" s="5">
        <v>2143.0</v>
      </c>
      <c r="G257" s="5">
        <v>12.0</v>
      </c>
      <c r="H257" s="5">
        <v>204.0</v>
      </c>
      <c r="I257" s="5">
        <v>40717.0</v>
      </c>
      <c r="J257" s="5">
        <v>40125.0</v>
      </c>
      <c r="K257" s="5">
        <v>248.0</v>
      </c>
      <c r="L257" s="9" t="s">
        <v>30</v>
      </c>
      <c r="M257" s="10"/>
      <c r="N257" s="10"/>
    </row>
    <row r="258" ht="14.25" customHeight="1">
      <c r="A258" s="5" t="s">
        <v>308</v>
      </c>
      <c r="B258" s="5" t="s">
        <v>33</v>
      </c>
      <c r="C258" s="6">
        <v>45753.0</v>
      </c>
      <c r="D258" s="5" t="s">
        <v>39</v>
      </c>
      <c r="E258" s="5" t="s">
        <v>44</v>
      </c>
      <c r="F258" s="5">
        <v>3090.0</v>
      </c>
      <c r="G258" s="5">
        <v>697.0</v>
      </c>
      <c r="H258" s="5">
        <v>164.0</v>
      </c>
      <c r="I258" s="5">
        <v>49440.0</v>
      </c>
      <c r="J258" s="5">
        <v>48524.0</v>
      </c>
      <c r="K258" s="5">
        <v>25.0</v>
      </c>
      <c r="L258" s="7" t="s">
        <v>30</v>
      </c>
      <c r="M258" s="7" t="s">
        <v>30</v>
      </c>
      <c r="N258" s="7" t="s">
        <v>22</v>
      </c>
    </row>
    <row r="259" ht="14.25" customHeight="1">
      <c r="A259" s="5" t="s">
        <v>309</v>
      </c>
      <c r="B259" s="5" t="s">
        <v>27</v>
      </c>
      <c r="C259" s="6">
        <v>45509.0</v>
      </c>
      <c r="D259" s="5" t="s">
        <v>28</v>
      </c>
      <c r="E259" s="5" t="s">
        <v>29</v>
      </c>
      <c r="F259" s="5">
        <v>3601.0</v>
      </c>
      <c r="G259" s="5">
        <v>695.0</v>
      </c>
      <c r="H259" s="5">
        <v>75.0</v>
      </c>
      <c r="I259" s="5">
        <v>21606.0</v>
      </c>
      <c r="J259" s="5">
        <v>21454.0</v>
      </c>
      <c r="K259" s="5">
        <v>172.0</v>
      </c>
      <c r="L259" s="9" t="s">
        <v>30</v>
      </c>
      <c r="M259" s="10"/>
      <c r="N259" s="10"/>
    </row>
    <row r="260" ht="14.25" customHeight="1">
      <c r="A260" s="5" t="s">
        <v>310</v>
      </c>
      <c r="B260" s="5" t="s">
        <v>33</v>
      </c>
      <c r="C260" s="6">
        <v>45698.0</v>
      </c>
      <c r="D260" s="5" t="s">
        <v>19</v>
      </c>
      <c r="E260" s="5" t="s">
        <v>42</v>
      </c>
      <c r="F260" s="5">
        <v>562.0</v>
      </c>
      <c r="G260" s="5">
        <v>158.0</v>
      </c>
      <c r="H260" s="5">
        <v>149.0</v>
      </c>
      <c r="I260" s="5">
        <v>3372.0</v>
      </c>
      <c r="J260" s="5">
        <v>2940.0</v>
      </c>
      <c r="K260" s="5">
        <v>93.0</v>
      </c>
      <c r="L260" s="9" t="s">
        <v>21</v>
      </c>
      <c r="M260" s="10"/>
      <c r="N260" s="10"/>
    </row>
    <row r="261" ht="14.25" customHeight="1">
      <c r="A261" s="5" t="s">
        <v>311</v>
      </c>
      <c r="B261" s="5" t="s">
        <v>27</v>
      </c>
      <c r="C261" s="6">
        <v>45700.0</v>
      </c>
      <c r="D261" s="5" t="s">
        <v>28</v>
      </c>
      <c r="E261" s="5" t="s">
        <v>29</v>
      </c>
      <c r="F261" s="5">
        <v>4332.0</v>
      </c>
      <c r="G261" s="5">
        <v>771.0</v>
      </c>
      <c r="H261" s="5">
        <v>219.0</v>
      </c>
      <c r="I261" s="5">
        <v>60648.0</v>
      </c>
      <c r="J261" s="5">
        <v>60397.0</v>
      </c>
      <c r="K261" s="5">
        <v>10.0</v>
      </c>
      <c r="L261" s="7" t="s">
        <v>21</v>
      </c>
      <c r="M261" s="7" t="s">
        <v>30</v>
      </c>
      <c r="N261" s="7" t="s">
        <v>22</v>
      </c>
    </row>
    <row r="262" ht="14.25" customHeight="1">
      <c r="A262" s="5" t="s">
        <v>312</v>
      </c>
      <c r="B262" s="5" t="s">
        <v>27</v>
      </c>
      <c r="C262" s="6">
        <v>45592.0</v>
      </c>
      <c r="D262" s="5" t="s">
        <v>39</v>
      </c>
      <c r="E262" s="5" t="s">
        <v>131</v>
      </c>
      <c r="F262" s="5">
        <v>4853.0</v>
      </c>
      <c r="G262" s="5">
        <v>837.0</v>
      </c>
      <c r="H262" s="5">
        <v>340.0</v>
      </c>
      <c r="I262" s="5">
        <v>72795.0</v>
      </c>
      <c r="J262" s="5">
        <v>72237.0</v>
      </c>
      <c r="K262" s="5">
        <v>170.0</v>
      </c>
      <c r="L262" s="9" t="s">
        <v>30</v>
      </c>
      <c r="M262" s="10"/>
      <c r="N262" s="10"/>
    </row>
    <row r="263" ht="14.25" customHeight="1">
      <c r="A263" s="5" t="s">
        <v>313</v>
      </c>
      <c r="B263" s="5" t="s">
        <v>24</v>
      </c>
      <c r="C263" s="6">
        <v>45675.0</v>
      </c>
      <c r="D263" s="5" t="s">
        <v>39</v>
      </c>
      <c r="E263" s="5" t="s">
        <v>40</v>
      </c>
      <c r="F263" s="5">
        <v>1206.0</v>
      </c>
      <c r="G263" s="5">
        <v>238.0</v>
      </c>
      <c r="H263" s="5">
        <v>36.0</v>
      </c>
      <c r="I263" s="5">
        <v>9648.0</v>
      </c>
      <c r="J263" s="5">
        <v>9417.0</v>
      </c>
      <c r="K263" s="5">
        <v>237.0</v>
      </c>
      <c r="L263" s="9" t="s">
        <v>21</v>
      </c>
      <c r="M263" s="10"/>
      <c r="N263" s="10"/>
    </row>
    <row r="264" ht="14.25" customHeight="1">
      <c r="A264" s="5" t="s">
        <v>314</v>
      </c>
      <c r="B264" s="5" t="s">
        <v>27</v>
      </c>
      <c r="C264" s="6">
        <v>45524.0</v>
      </c>
      <c r="D264" s="5" t="s">
        <v>14</v>
      </c>
      <c r="E264" s="5" t="s">
        <v>58</v>
      </c>
      <c r="F264" s="5">
        <v>2603.0</v>
      </c>
      <c r="G264" s="5">
        <v>690.0</v>
      </c>
      <c r="H264" s="5">
        <v>205.0</v>
      </c>
      <c r="I264" s="5">
        <v>13015.0</v>
      </c>
      <c r="J264" s="5">
        <v>12130.0</v>
      </c>
      <c r="K264" s="5">
        <v>20.0</v>
      </c>
      <c r="L264" s="9" t="s">
        <v>16</v>
      </c>
      <c r="M264" s="10"/>
      <c r="N264" s="10"/>
    </row>
    <row r="265" ht="14.25" customHeight="1">
      <c r="A265" s="5" t="s">
        <v>315</v>
      </c>
      <c r="B265" s="5" t="s">
        <v>13</v>
      </c>
      <c r="C265" s="6">
        <v>45687.0</v>
      </c>
      <c r="D265" s="5" t="s">
        <v>39</v>
      </c>
      <c r="E265" s="5" t="s">
        <v>85</v>
      </c>
      <c r="F265" s="5">
        <v>59.0</v>
      </c>
      <c r="G265" s="5">
        <v>163.0</v>
      </c>
      <c r="H265" s="5">
        <v>93.0</v>
      </c>
      <c r="I265" s="5">
        <v>590.0</v>
      </c>
      <c r="J265" s="5">
        <v>475.0</v>
      </c>
      <c r="K265" s="5">
        <v>293.0</v>
      </c>
      <c r="L265" s="9" t="s">
        <v>21</v>
      </c>
      <c r="M265" s="10"/>
      <c r="N265" s="10"/>
    </row>
    <row r="266" ht="14.25" customHeight="1">
      <c r="A266" s="5" t="s">
        <v>316</v>
      </c>
      <c r="B266" s="5" t="s">
        <v>13</v>
      </c>
      <c r="C266" s="6">
        <v>45708.0</v>
      </c>
      <c r="D266" s="5" t="s">
        <v>34</v>
      </c>
      <c r="E266" s="5" t="s">
        <v>37</v>
      </c>
      <c r="F266" s="5">
        <v>1877.0</v>
      </c>
      <c r="G266" s="5">
        <v>745.0</v>
      </c>
      <c r="H266" s="5">
        <v>225.0</v>
      </c>
      <c r="I266" s="5">
        <v>11262.0</v>
      </c>
      <c r="J266" s="5">
        <v>10967.0</v>
      </c>
      <c r="K266" s="5">
        <v>41.0</v>
      </c>
      <c r="L266" s="9" t="s">
        <v>30</v>
      </c>
      <c r="M266" s="10"/>
      <c r="N266" s="10"/>
    </row>
    <row r="267" ht="14.25" customHeight="1">
      <c r="A267" s="5" t="s">
        <v>317</v>
      </c>
      <c r="B267" s="5" t="s">
        <v>33</v>
      </c>
      <c r="C267" s="6">
        <v>45621.0</v>
      </c>
      <c r="D267" s="5" t="s">
        <v>28</v>
      </c>
      <c r="E267" s="5" t="s">
        <v>51</v>
      </c>
      <c r="F267" s="5">
        <v>4182.0</v>
      </c>
      <c r="G267" s="5">
        <v>640.0</v>
      </c>
      <c r="H267" s="5">
        <v>240.0</v>
      </c>
      <c r="I267" s="5">
        <v>50184.0</v>
      </c>
      <c r="J267" s="5">
        <v>49351.0</v>
      </c>
      <c r="K267" s="5">
        <v>10.0</v>
      </c>
      <c r="L267" s="9" t="s">
        <v>21</v>
      </c>
      <c r="M267" s="10"/>
      <c r="N267" s="10"/>
    </row>
    <row r="268" ht="14.25" customHeight="1">
      <c r="A268" s="5" t="s">
        <v>318</v>
      </c>
      <c r="B268" s="5" t="s">
        <v>13</v>
      </c>
      <c r="C268" s="6">
        <v>45569.0</v>
      </c>
      <c r="D268" s="5" t="s">
        <v>14</v>
      </c>
      <c r="E268" s="5" t="s">
        <v>15</v>
      </c>
      <c r="F268" s="5">
        <v>4187.0</v>
      </c>
      <c r="G268" s="5">
        <v>66.0</v>
      </c>
      <c r="H268" s="5">
        <v>31.0</v>
      </c>
      <c r="I268" s="5">
        <v>66992.0</v>
      </c>
      <c r="J268" s="5">
        <v>66614.0</v>
      </c>
      <c r="K268" s="5">
        <v>62.0</v>
      </c>
      <c r="L268" s="9" t="s">
        <v>16</v>
      </c>
      <c r="M268" s="10"/>
      <c r="N268" s="10"/>
    </row>
    <row r="269" ht="14.25" customHeight="1">
      <c r="A269" s="5" t="s">
        <v>319</v>
      </c>
      <c r="B269" s="5" t="s">
        <v>27</v>
      </c>
      <c r="C269" s="6">
        <v>45760.0</v>
      </c>
      <c r="D269" s="5" t="s">
        <v>14</v>
      </c>
      <c r="E269" s="5" t="s">
        <v>58</v>
      </c>
      <c r="F269" s="5">
        <v>4579.0</v>
      </c>
      <c r="G269" s="5">
        <v>125.0</v>
      </c>
      <c r="H269" s="5">
        <v>300.0</v>
      </c>
      <c r="I269" s="5">
        <v>59527.0</v>
      </c>
      <c r="J269" s="5">
        <v>59400.0</v>
      </c>
      <c r="K269" s="5">
        <v>269.0</v>
      </c>
      <c r="L269" s="9" t="s">
        <v>30</v>
      </c>
      <c r="M269" s="10"/>
      <c r="N269" s="10"/>
    </row>
    <row r="270" ht="14.25" customHeight="1">
      <c r="A270" s="5" t="s">
        <v>320</v>
      </c>
      <c r="B270" s="5" t="s">
        <v>27</v>
      </c>
      <c r="C270" s="6">
        <v>45601.0</v>
      </c>
      <c r="D270" s="5" t="s">
        <v>53</v>
      </c>
      <c r="E270" s="5" t="s">
        <v>60</v>
      </c>
      <c r="F270" s="5">
        <v>4561.0</v>
      </c>
      <c r="G270" s="5">
        <v>51.0</v>
      </c>
      <c r="H270" s="5">
        <v>441.0</v>
      </c>
      <c r="I270" s="5">
        <v>22805.0</v>
      </c>
      <c r="J270" s="5">
        <v>21890.0</v>
      </c>
      <c r="K270" s="5">
        <v>45.0</v>
      </c>
      <c r="L270" s="9" t="s">
        <v>21</v>
      </c>
      <c r="M270" s="10"/>
      <c r="N270" s="10"/>
    </row>
    <row r="271" ht="14.25" customHeight="1">
      <c r="A271" s="5" t="s">
        <v>321</v>
      </c>
      <c r="B271" s="5" t="s">
        <v>24</v>
      </c>
      <c r="C271" s="6">
        <v>45672.0</v>
      </c>
      <c r="D271" s="5" t="s">
        <v>14</v>
      </c>
      <c r="E271" s="5" t="s">
        <v>25</v>
      </c>
      <c r="F271" s="5">
        <v>3774.0</v>
      </c>
      <c r="G271" s="5">
        <v>239.0</v>
      </c>
      <c r="H271" s="5">
        <v>39.0</v>
      </c>
      <c r="I271" s="5">
        <v>60384.0</v>
      </c>
      <c r="J271" s="5">
        <v>59490.0</v>
      </c>
      <c r="K271" s="5">
        <v>241.0</v>
      </c>
      <c r="L271" s="9" t="s">
        <v>21</v>
      </c>
      <c r="M271" s="10"/>
      <c r="N271" s="10"/>
    </row>
    <row r="272" ht="14.25" customHeight="1">
      <c r="A272" s="5" t="s">
        <v>322</v>
      </c>
      <c r="B272" s="5" t="s">
        <v>27</v>
      </c>
      <c r="C272" s="6">
        <v>45582.0</v>
      </c>
      <c r="D272" s="5" t="s">
        <v>53</v>
      </c>
      <c r="E272" s="5" t="s">
        <v>60</v>
      </c>
      <c r="F272" s="5">
        <v>3575.0</v>
      </c>
      <c r="G272" s="5">
        <v>749.0</v>
      </c>
      <c r="H272" s="5">
        <v>111.0</v>
      </c>
      <c r="I272" s="5">
        <v>21450.0</v>
      </c>
      <c r="J272" s="5">
        <v>20785.0</v>
      </c>
      <c r="K272" s="5">
        <v>195.0</v>
      </c>
      <c r="L272" s="9" t="s">
        <v>30</v>
      </c>
      <c r="M272" s="10"/>
      <c r="N272" s="10"/>
    </row>
    <row r="273" ht="14.25" customHeight="1">
      <c r="A273" s="5" t="s">
        <v>323</v>
      </c>
      <c r="B273" s="5" t="s">
        <v>27</v>
      </c>
      <c r="C273" s="6">
        <v>45743.0</v>
      </c>
      <c r="D273" s="5" t="s">
        <v>19</v>
      </c>
      <c r="E273" s="5" t="s">
        <v>75</v>
      </c>
      <c r="F273" s="5">
        <v>4941.0</v>
      </c>
      <c r="G273" s="5">
        <v>414.0</v>
      </c>
      <c r="H273" s="5">
        <v>266.0</v>
      </c>
      <c r="I273" s="5">
        <v>39528.0</v>
      </c>
      <c r="J273" s="5">
        <v>39154.0</v>
      </c>
      <c r="K273" s="5">
        <v>217.0</v>
      </c>
      <c r="L273" s="9" t="s">
        <v>21</v>
      </c>
      <c r="M273" s="10"/>
      <c r="N273" s="10"/>
    </row>
    <row r="274" ht="14.25" customHeight="1">
      <c r="A274" s="5" t="s">
        <v>324</v>
      </c>
      <c r="B274" s="5" t="s">
        <v>24</v>
      </c>
      <c r="C274" s="6">
        <v>45577.0</v>
      </c>
      <c r="D274" s="5" t="s">
        <v>28</v>
      </c>
      <c r="E274" s="5" t="s">
        <v>98</v>
      </c>
      <c r="F274" s="5">
        <v>3641.0</v>
      </c>
      <c r="G274" s="5">
        <v>226.0</v>
      </c>
      <c r="H274" s="5">
        <v>46.0</v>
      </c>
      <c r="I274" s="5">
        <v>40051.0</v>
      </c>
      <c r="J274" s="5">
        <v>39319.0</v>
      </c>
      <c r="K274" s="5">
        <v>296.0</v>
      </c>
      <c r="L274" s="9" t="s">
        <v>30</v>
      </c>
      <c r="M274" s="10"/>
      <c r="N274" s="10"/>
    </row>
    <row r="275" ht="14.25" customHeight="1">
      <c r="A275" s="5" t="s">
        <v>325</v>
      </c>
      <c r="B275" s="5" t="s">
        <v>13</v>
      </c>
      <c r="C275" s="6">
        <v>45658.0</v>
      </c>
      <c r="D275" s="5" t="s">
        <v>34</v>
      </c>
      <c r="E275" s="5" t="s">
        <v>37</v>
      </c>
      <c r="F275" s="5">
        <v>3535.0</v>
      </c>
      <c r="G275" s="5">
        <v>494.0</v>
      </c>
      <c r="H275" s="5">
        <v>152.0</v>
      </c>
      <c r="I275" s="5">
        <v>53025.0</v>
      </c>
      <c r="J275" s="5">
        <v>52791.0</v>
      </c>
      <c r="K275" s="5">
        <v>44.0</v>
      </c>
      <c r="L275" s="9" t="s">
        <v>21</v>
      </c>
      <c r="M275" s="10"/>
      <c r="N275" s="10"/>
    </row>
    <row r="276" ht="14.25" customHeight="1">
      <c r="A276" s="5" t="s">
        <v>326</v>
      </c>
      <c r="B276" s="5" t="s">
        <v>33</v>
      </c>
      <c r="C276" s="6">
        <v>45509.0</v>
      </c>
      <c r="D276" s="5" t="s">
        <v>14</v>
      </c>
      <c r="E276" s="5" t="s">
        <v>47</v>
      </c>
      <c r="F276" s="5">
        <v>1741.0</v>
      </c>
      <c r="G276" s="5">
        <v>831.0</v>
      </c>
      <c r="H276" s="5">
        <v>345.0</v>
      </c>
      <c r="I276" s="5">
        <v>17410.0</v>
      </c>
      <c r="J276" s="5">
        <v>16844.0</v>
      </c>
      <c r="K276" s="5">
        <v>58.0</v>
      </c>
      <c r="L276" s="9" t="s">
        <v>30</v>
      </c>
      <c r="M276" s="10"/>
      <c r="N276" s="10"/>
    </row>
    <row r="277" ht="14.25" customHeight="1">
      <c r="A277" s="5" t="s">
        <v>327</v>
      </c>
      <c r="B277" s="5" t="s">
        <v>13</v>
      </c>
      <c r="C277" s="6">
        <v>45450.0</v>
      </c>
      <c r="D277" s="5" t="s">
        <v>34</v>
      </c>
      <c r="E277" s="5" t="s">
        <v>37</v>
      </c>
      <c r="F277" s="5">
        <v>1556.0</v>
      </c>
      <c r="G277" s="5">
        <v>195.0</v>
      </c>
      <c r="H277" s="5">
        <v>131.0</v>
      </c>
      <c r="I277" s="5">
        <v>9336.0</v>
      </c>
      <c r="J277" s="5">
        <v>8875.0</v>
      </c>
      <c r="K277" s="5">
        <v>137.0</v>
      </c>
      <c r="L277" s="9" t="s">
        <v>21</v>
      </c>
      <c r="M277" s="10"/>
      <c r="N277" s="10"/>
    </row>
    <row r="278" ht="14.25" customHeight="1">
      <c r="A278" s="5" t="s">
        <v>328</v>
      </c>
      <c r="B278" s="5" t="s">
        <v>33</v>
      </c>
      <c r="C278" s="6">
        <v>45753.0</v>
      </c>
      <c r="D278" s="5" t="s">
        <v>39</v>
      </c>
      <c r="E278" s="5" t="s">
        <v>44</v>
      </c>
      <c r="F278" s="5">
        <v>4236.0</v>
      </c>
      <c r="G278" s="5">
        <v>711.0</v>
      </c>
      <c r="H278" s="5">
        <v>298.0</v>
      </c>
      <c r="I278" s="5">
        <v>21180.0</v>
      </c>
      <c r="J278" s="5">
        <v>20516.0</v>
      </c>
      <c r="K278" s="5">
        <v>238.0</v>
      </c>
      <c r="L278" s="9" t="s">
        <v>16</v>
      </c>
      <c r="M278" s="10"/>
      <c r="N278" s="10"/>
    </row>
    <row r="279" ht="14.25" customHeight="1">
      <c r="A279" s="5" t="s">
        <v>329</v>
      </c>
      <c r="B279" s="5" t="s">
        <v>13</v>
      </c>
      <c r="C279" s="6">
        <v>45622.0</v>
      </c>
      <c r="D279" s="5" t="s">
        <v>19</v>
      </c>
      <c r="E279" s="5" t="s">
        <v>20</v>
      </c>
      <c r="F279" s="5">
        <v>4516.0</v>
      </c>
      <c r="G279" s="5">
        <v>836.0</v>
      </c>
      <c r="H279" s="5">
        <v>169.0</v>
      </c>
      <c r="I279" s="5">
        <v>49676.0</v>
      </c>
      <c r="J279" s="5">
        <v>49257.0</v>
      </c>
      <c r="K279" s="5">
        <v>282.0</v>
      </c>
      <c r="L279" s="9" t="s">
        <v>30</v>
      </c>
      <c r="M279" s="10"/>
      <c r="N279" s="10"/>
    </row>
    <row r="280" ht="14.25" customHeight="1">
      <c r="A280" s="5" t="s">
        <v>330</v>
      </c>
      <c r="B280" s="5" t="s">
        <v>24</v>
      </c>
      <c r="C280" s="6">
        <v>45537.0</v>
      </c>
      <c r="D280" s="5" t="s">
        <v>39</v>
      </c>
      <c r="E280" s="5" t="s">
        <v>40</v>
      </c>
      <c r="F280" s="5">
        <v>4905.0</v>
      </c>
      <c r="G280" s="5">
        <v>845.0</v>
      </c>
      <c r="H280" s="5">
        <v>129.0</v>
      </c>
      <c r="I280" s="5">
        <v>98100.0</v>
      </c>
      <c r="J280" s="5">
        <v>97772.0</v>
      </c>
      <c r="K280" s="5">
        <v>279.0</v>
      </c>
      <c r="L280" s="9" t="s">
        <v>21</v>
      </c>
      <c r="M280" s="10"/>
      <c r="N280" s="10"/>
    </row>
    <row r="281" ht="14.25" customHeight="1">
      <c r="A281" s="5" t="s">
        <v>331</v>
      </c>
      <c r="B281" s="5" t="s">
        <v>24</v>
      </c>
      <c r="C281" s="6">
        <v>45586.0</v>
      </c>
      <c r="D281" s="5" t="s">
        <v>53</v>
      </c>
      <c r="E281" s="5" t="s">
        <v>133</v>
      </c>
      <c r="F281" s="5">
        <v>4275.0</v>
      </c>
      <c r="G281" s="5">
        <v>680.0</v>
      </c>
      <c r="H281" s="5">
        <v>385.0</v>
      </c>
      <c r="I281" s="5">
        <v>64125.0</v>
      </c>
      <c r="J281" s="5">
        <v>63650.0</v>
      </c>
      <c r="K281" s="5">
        <v>104.0</v>
      </c>
      <c r="L281" s="7" t="s">
        <v>30</v>
      </c>
      <c r="M281" s="7" t="s">
        <v>21</v>
      </c>
      <c r="N281" s="7" t="s">
        <v>17</v>
      </c>
    </row>
    <row r="282" ht="14.25" customHeight="1">
      <c r="A282" s="5" t="s">
        <v>332</v>
      </c>
      <c r="B282" s="5" t="s">
        <v>24</v>
      </c>
      <c r="C282" s="6">
        <v>45738.0</v>
      </c>
      <c r="D282" s="5" t="s">
        <v>39</v>
      </c>
      <c r="E282" s="5" t="s">
        <v>40</v>
      </c>
      <c r="F282" s="5">
        <v>3166.0</v>
      </c>
      <c r="G282" s="5">
        <v>90.0</v>
      </c>
      <c r="H282" s="5">
        <v>341.0</v>
      </c>
      <c r="I282" s="5">
        <v>56988.0</v>
      </c>
      <c r="J282" s="5">
        <v>56125.0</v>
      </c>
      <c r="K282" s="5">
        <v>135.0</v>
      </c>
      <c r="L282" s="9" t="s">
        <v>30</v>
      </c>
      <c r="M282" s="10"/>
      <c r="N282" s="10"/>
    </row>
    <row r="283" ht="14.25" customHeight="1">
      <c r="A283" s="5" t="s">
        <v>333</v>
      </c>
      <c r="B283" s="5" t="s">
        <v>27</v>
      </c>
      <c r="C283" s="6">
        <v>45568.0</v>
      </c>
      <c r="D283" s="5" t="s">
        <v>53</v>
      </c>
      <c r="E283" s="5" t="s">
        <v>60</v>
      </c>
      <c r="F283" s="5">
        <v>1488.0</v>
      </c>
      <c r="G283" s="5">
        <v>417.0</v>
      </c>
      <c r="H283" s="5">
        <v>168.0</v>
      </c>
      <c r="I283" s="5">
        <v>19344.0</v>
      </c>
      <c r="J283" s="5">
        <v>18395.0</v>
      </c>
      <c r="K283" s="5">
        <v>30.0</v>
      </c>
      <c r="L283" s="9" t="s">
        <v>16</v>
      </c>
      <c r="M283" s="10"/>
      <c r="N283" s="10"/>
    </row>
    <row r="284" ht="14.25" customHeight="1">
      <c r="A284" s="5" t="s">
        <v>334</v>
      </c>
      <c r="B284" s="5" t="s">
        <v>13</v>
      </c>
      <c r="C284" s="6">
        <v>45786.0</v>
      </c>
      <c r="D284" s="5" t="s">
        <v>14</v>
      </c>
      <c r="E284" s="5" t="s">
        <v>15</v>
      </c>
      <c r="F284" s="5">
        <v>3367.0</v>
      </c>
      <c r="G284" s="5">
        <v>302.0</v>
      </c>
      <c r="H284" s="5">
        <v>57.0</v>
      </c>
      <c r="I284" s="5">
        <v>63973.0</v>
      </c>
      <c r="J284" s="5">
        <v>63789.0</v>
      </c>
      <c r="K284" s="5">
        <v>157.0</v>
      </c>
      <c r="L284" s="9" t="s">
        <v>16</v>
      </c>
      <c r="M284" s="10"/>
      <c r="N284" s="10"/>
    </row>
    <row r="285" ht="14.25" customHeight="1">
      <c r="A285" s="5" t="s">
        <v>335</v>
      </c>
      <c r="B285" s="5" t="s">
        <v>13</v>
      </c>
      <c r="C285" s="6">
        <v>45552.0</v>
      </c>
      <c r="D285" s="5" t="s">
        <v>19</v>
      </c>
      <c r="E285" s="5" t="s">
        <v>20</v>
      </c>
      <c r="F285" s="5">
        <v>571.0</v>
      </c>
      <c r="G285" s="5">
        <v>190.0</v>
      </c>
      <c r="H285" s="5">
        <v>352.0</v>
      </c>
      <c r="I285" s="5">
        <v>9707.0</v>
      </c>
      <c r="J285" s="5">
        <v>9418.0</v>
      </c>
      <c r="K285" s="5">
        <v>231.0</v>
      </c>
      <c r="L285" s="9" t="s">
        <v>21</v>
      </c>
      <c r="M285" s="10"/>
      <c r="N285" s="10"/>
    </row>
    <row r="286" ht="14.25" customHeight="1">
      <c r="A286" s="5" t="s">
        <v>336</v>
      </c>
      <c r="B286" s="5" t="s">
        <v>24</v>
      </c>
      <c r="C286" s="6">
        <v>45491.0</v>
      </c>
      <c r="D286" s="5" t="s">
        <v>19</v>
      </c>
      <c r="E286" s="5" t="s">
        <v>70</v>
      </c>
      <c r="F286" s="5">
        <v>4021.0</v>
      </c>
      <c r="G286" s="5">
        <v>794.0</v>
      </c>
      <c r="H286" s="5">
        <v>77.0</v>
      </c>
      <c r="I286" s="5">
        <v>36189.0</v>
      </c>
      <c r="J286" s="5">
        <v>35505.0</v>
      </c>
      <c r="K286" s="5">
        <v>174.0</v>
      </c>
      <c r="L286" s="9" t="s">
        <v>30</v>
      </c>
      <c r="M286" s="10"/>
      <c r="N286" s="10"/>
    </row>
    <row r="287" ht="14.25" customHeight="1">
      <c r="A287" s="5" t="s">
        <v>337</v>
      </c>
      <c r="B287" s="5" t="s">
        <v>24</v>
      </c>
      <c r="C287" s="6">
        <v>45560.0</v>
      </c>
      <c r="D287" s="5" t="s">
        <v>53</v>
      </c>
      <c r="E287" s="5" t="s">
        <v>133</v>
      </c>
      <c r="F287" s="5">
        <v>3389.0</v>
      </c>
      <c r="G287" s="5">
        <v>344.0</v>
      </c>
      <c r="H287" s="5">
        <v>229.0</v>
      </c>
      <c r="I287" s="5">
        <v>20334.0</v>
      </c>
      <c r="J287" s="5">
        <v>19443.0</v>
      </c>
      <c r="K287" s="5">
        <v>228.0</v>
      </c>
      <c r="L287" s="9" t="s">
        <v>16</v>
      </c>
      <c r="M287" s="10"/>
      <c r="N287" s="10"/>
    </row>
    <row r="288" ht="14.25" customHeight="1">
      <c r="A288" s="5" t="s">
        <v>338</v>
      </c>
      <c r="B288" s="5" t="s">
        <v>27</v>
      </c>
      <c r="C288" s="6">
        <v>45519.0</v>
      </c>
      <c r="D288" s="5" t="s">
        <v>14</v>
      </c>
      <c r="E288" s="5" t="s">
        <v>58</v>
      </c>
      <c r="F288" s="5">
        <v>1164.0</v>
      </c>
      <c r="G288" s="5">
        <v>616.0</v>
      </c>
      <c r="H288" s="5">
        <v>324.0</v>
      </c>
      <c r="I288" s="5">
        <v>6984.0</v>
      </c>
      <c r="J288" s="5">
        <v>6636.0</v>
      </c>
      <c r="K288" s="5">
        <v>82.0</v>
      </c>
      <c r="L288" s="9" t="s">
        <v>30</v>
      </c>
      <c r="M288" s="10"/>
      <c r="N288" s="10"/>
    </row>
    <row r="289" ht="14.25" customHeight="1">
      <c r="A289" s="5" t="s">
        <v>339</v>
      </c>
      <c r="B289" s="5" t="s">
        <v>24</v>
      </c>
      <c r="C289" s="6">
        <v>45764.0</v>
      </c>
      <c r="D289" s="5" t="s">
        <v>34</v>
      </c>
      <c r="E289" s="5" t="s">
        <v>49</v>
      </c>
      <c r="F289" s="5">
        <v>4780.0</v>
      </c>
      <c r="G289" s="5">
        <v>691.0</v>
      </c>
      <c r="H289" s="5">
        <v>380.0</v>
      </c>
      <c r="I289" s="5">
        <v>86040.0</v>
      </c>
      <c r="J289" s="5">
        <v>85743.0</v>
      </c>
      <c r="K289" s="5">
        <v>262.0</v>
      </c>
      <c r="L289" s="9" t="s">
        <v>16</v>
      </c>
      <c r="M289" s="10"/>
      <c r="N289" s="10"/>
    </row>
    <row r="290" ht="14.25" customHeight="1">
      <c r="A290" s="5" t="s">
        <v>340</v>
      </c>
      <c r="B290" s="5" t="s">
        <v>33</v>
      </c>
      <c r="C290" s="6">
        <v>45624.0</v>
      </c>
      <c r="D290" s="5" t="s">
        <v>34</v>
      </c>
      <c r="E290" s="5" t="s">
        <v>35</v>
      </c>
      <c r="F290" s="5">
        <v>2751.0</v>
      </c>
      <c r="G290" s="5">
        <v>33.0</v>
      </c>
      <c r="H290" s="5">
        <v>430.0</v>
      </c>
      <c r="I290" s="5">
        <v>44016.0</v>
      </c>
      <c r="J290" s="5">
        <v>43415.0</v>
      </c>
      <c r="K290" s="5">
        <v>129.0</v>
      </c>
      <c r="L290" s="9" t="s">
        <v>16</v>
      </c>
      <c r="M290" s="10"/>
      <c r="N290" s="10"/>
    </row>
    <row r="291" ht="14.25" customHeight="1">
      <c r="A291" s="5" t="s">
        <v>341</v>
      </c>
      <c r="B291" s="5" t="s">
        <v>27</v>
      </c>
      <c r="C291" s="6">
        <v>45646.0</v>
      </c>
      <c r="D291" s="5" t="s">
        <v>34</v>
      </c>
      <c r="E291" s="5" t="s">
        <v>62</v>
      </c>
      <c r="F291" s="5">
        <v>2107.0</v>
      </c>
      <c r="G291" s="5">
        <v>550.0</v>
      </c>
      <c r="H291" s="5">
        <v>349.0</v>
      </c>
      <c r="I291" s="5">
        <v>35819.0</v>
      </c>
      <c r="J291" s="5">
        <v>35340.0</v>
      </c>
      <c r="K291" s="5">
        <v>191.0</v>
      </c>
      <c r="L291" s="9" t="s">
        <v>30</v>
      </c>
      <c r="M291" s="10"/>
      <c r="N291" s="10"/>
    </row>
    <row r="292" ht="14.25" customHeight="1">
      <c r="A292" s="5" t="s">
        <v>342</v>
      </c>
      <c r="B292" s="5" t="s">
        <v>33</v>
      </c>
      <c r="C292" s="6">
        <v>45602.0</v>
      </c>
      <c r="D292" s="5" t="s">
        <v>53</v>
      </c>
      <c r="E292" s="5" t="s">
        <v>54</v>
      </c>
      <c r="F292" s="5">
        <v>4663.0</v>
      </c>
      <c r="G292" s="5">
        <v>145.0</v>
      </c>
      <c r="H292" s="5">
        <v>225.0</v>
      </c>
      <c r="I292" s="5">
        <v>69945.0</v>
      </c>
      <c r="J292" s="5">
        <v>69596.0</v>
      </c>
      <c r="K292" s="5">
        <v>35.0</v>
      </c>
      <c r="L292" s="9" t="s">
        <v>30</v>
      </c>
      <c r="M292" s="10"/>
      <c r="N292" s="10"/>
    </row>
    <row r="293" ht="14.25" customHeight="1">
      <c r="A293" s="5" t="s">
        <v>343</v>
      </c>
      <c r="B293" s="5" t="s">
        <v>33</v>
      </c>
      <c r="C293" s="6">
        <v>45613.0</v>
      </c>
      <c r="D293" s="5" t="s">
        <v>19</v>
      </c>
      <c r="E293" s="5" t="s">
        <v>42</v>
      </c>
      <c r="F293" s="5">
        <v>880.0</v>
      </c>
      <c r="G293" s="5">
        <v>297.0</v>
      </c>
      <c r="H293" s="5">
        <v>345.0</v>
      </c>
      <c r="I293" s="5">
        <v>12320.0</v>
      </c>
      <c r="J293" s="5">
        <v>11978.0</v>
      </c>
      <c r="K293" s="5">
        <v>238.0</v>
      </c>
      <c r="L293" s="7" t="s">
        <v>21</v>
      </c>
      <c r="M293" s="7" t="s">
        <v>17</v>
      </c>
      <c r="N293" s="8"/>
    </row>
    <row r="294" ht="14.25" customHeight="1">
      <c r="A294" s="5" t="s">
        <v>344</v>
      </c>
      <c r="B294" s="5" t="s">
        <v>33</v>
      </c>
      <c r="C294" s="6">
        <v>45791.0</v>
      </c>
      <c r="D294" s="5" t="s">
        <v>19</v>
      </c>
      <c r="E294" s="5" t="s">
        <v>42</v>
      </c>
      <c r="F294" s="5">
        <v>2634.0</v>
      </c>
      <c r="G294" s="5">
        <v>726.0</v>
      </c>
      <c r="H294" s="5">
        <v>241.0</v>
      </c>
      <c r="I294" s="5">
        <v>28974.0</v>
      </c>
      <c r="J294" s="5">
        <v>28102.0</v>
      </c>
      <c r="K294" s="5">
        <v>277.0</v>
      </c>
      <c r="L294" s="9" t="s">
        <v>30</v>
      </c>
      <c r="M294" s="10"/>
      <c r="N294" s="10"/>
    </row>
    <row r="295" ht="14.25" customHeight="1">
      <c r="A295" s="5" t="s">
        <v>345</v>
      </c>
      <c r="B295" s="5" t="s">
        <v>33</v>
      </c>
      <c r="C295" s="6">
        <v>45462.0</v>
      </c>
      <c r="D295" s="5" t="s">
        <v>34</v>
      </c>
      <c r="E295" s="5" t="s">
        <v>35</v>
      </c>
      <c r="F295" s="5">
        <v>4731.0</v>
      </c>
      <c r="G295" s="5">
        <v>173.0</v>
      </c>
      <c r="H295" s="5">
        <v>276.0</v>
      </c>
      <c r="I295" s="5">
        <v>28386.0</v>
      </c>
      <c r="J295" s="5">
        <v>28185.0</v>
      </c>
      <c r="K295" s="5">
        <v>89.0</v>
      </c>
      <c r="L295" s="9" t="s">
        <v>30</v>
      </c>
      <c r="M295" s="10"/>
      <c r="N295" s="10"/>
    </row>
    <row r="296" ht="14.25" customHeight="1">
      <c r="A296" s="5" t="s">
        <v>346</v>
      </c>
      <c r="B296" s="5" t="s">
        <v>13</v>
      </c>
      <c r="C296" s="6">
        <v>45783.0</v>
      </c>
      <c r="D296" s="5" t="s">
        <v>39</v>
      </c>
      <c r="E296" s="5" t="s">
        <v>85</v>
      </c>
      <c r="F296" s="5">
        <v>1952.0</v>
      </c>
      <c r="G296" s="5">
        <v>344.0</v>
      </c>
      <c r="H296" s="5">
        <v>287.0</v>
      </c>
      <c r="I296" s="5">
        <v>15616.0</v>
      </c>
      <c r="J296" s="5">
        <v>15403.0</v>
      </c>
      <c r="K296" s="5">
        <v>235.0</v>
      </c>
      <c r="L296" s="7" t="s">
        <v>16</v>
      </c>
      <c r="M296" s="7" t="s">
        <v>21</v>
      </c>
      <c r="N296" s="7" t="s">
        <v>17</v>
      </c>
    </row>
    <row r="297" ht="14.25" customHeight="1">
      <c r="A297" s="5" t="s">
        <v>347</v>
      </c>
      <c r="B297" s="5" t="s">
        <v>13</v>
      </c>
      <c r="C297" s="6">
        <v>45699.0</v>
      </c>
      <c r="D297" s="5" t="s">
        <v>53</v>
      </c>
      <c r="E297" s="5" t="s">
        <v>92</v>
      </c>
      <c r="F297" s="5">
        <v>3440.0</v>
      </c>
      <c r="G297" s="5">
        <v>13.0</v>
      </c>
      <c r="H297" s="5">
        <v>20.0</v>
      </c>
      <c r="I297" s="5">
        <v>58480.0</v>
      </c>
      <c r="J297" s="5">
        <v>58146.0</v>
      </c>
      <c r="K297" s="5">
        <v>210.0</v>
      </c>
      <c r="L297" s="7" t="s">
        <v>21</v>
      </c>
      <c r="M297" s="7" t="s">
        <v>191</v>
      </c>
      <c r="N297" s="8"/>
    </row>
    <row r="298" ht="14.25" customHeight="1">
      <c r="A298" s="5" t="s">
        <v>348</v>
      </c>
      <c r="B298" s="5" t="s">
        <v>13</v>
      </c>
      <c r="C298" s="6">
        <v>45650.0</v>
      </c>
      <c r="D298" s="5" t="s">
        <v>19</v>
      </c>
      <c r="E298" s="5" t="s">
        <v>20</v>
      </c>
      <c r="F298" s="5">
        <v>2166.0</v>
      </c>
      <c r="G298" s="5">
        <v>354.0</v>
      </c>
      <c r="H298" s="5">
        <v>117.0</v>
      </c>
      <c r="I298" s="5">
        <v>10830.0</v>
      </c>
      <c r="J298" s="5">
        <v>10245.0</v>
      </c>
      <c r="K298" s="5">
        <v>24.0</v>
      </c>
      <c r="L298" s="9" t="s">
        <v>30</v>
      </c>
      <c r="M298" s="10"/>
      <c r="N298" s="10"/>
    </row>
    <row r="299" ht="14.25" customHeight="1">
      <c r="A299" s="5" t="s">
        <v>349</v>
      </c>
      <c r="B299" s="5" t="s">
        <v>33</v>
      </c>
      <c r="C299" s="6">
        <v>45589.0</v>
      </c>
      <c r="D299" s="5" t="s">
        <v>39</v>
      </c>
      <c r="E299" s="5" t="s">
        <v>44</v>
      </c>
      <c r="F299" s="5">
        <v>4303.0</v>
      </c>
      <c r="G299" s="5">
        <v>451.0</v>
      </c>
      <c r="H299" s="5">
        <v>286.0</v>
      </c>
      <c r="I299" s="5">
        <v>86060.0</v>
      </c>
      <c r="J299" s="5">
        <v>85823.0</v>
      </c>
      <c r="K299" s="5">
        <v>14.0</v>
      </c>
      <c r="L299" s="9" t="s">
        <v>21</v>
      </c>
      <c r="M299" s="10"/>
      <c r="N299" s="10"/>
    </row>
    <row r="300" ht="14.25" customHeight="1">
      <c r="A300" s="5" t="s">
        <v>350</v>
      </c>
      <c r="B300" s="5" t="s">
        <v>33</v>
      </c>
      <c r="C300" s="6">
        <v>45530.0</v>
      </c>
      <c r="D300" s="5" t="s">
        <v>39</v>
      </c>
      <c r="E300" s="5" t="s">
        <v>44</v>
      </c>
      <c r="F300" s="5">
        <v>2581.0</v>
      </c>
      <c r="G300" s="5">
        <v>517.0</v>
      </c>
      <c r="H300" s="5">
        <v>117.0</v>
      </c>
      <c r="I300" s="5">
        <v>23229.0</v>
      </c>
      <c r="J300" s="5">
        <v>22331.0</v>
      </c>
      <c r="K300" s="5">
        <v>70.0</v>
      </c>
      <c r="L300" s="9" t="s">
        <v>16</v>
      </c>
      <c r="M300" s="10"/>
      <c r="N300" s="10"/>
    </row>
    <row r="301" ht="14.25" customHeight="1">
      <c r="A301" s="5" t="s">
        <v>351</v>
      </c>
      <c r="B301" s="5" t="s">
        <v>13</v>
      </c>
      <c r="C301" s="6">
        <v>45535.0</v>
      </c>
      <c r="D301" s="5" t="s">
        <v>34</v>
      </c>
      <c r="E301" s="5" t="s">
        <v>37</v>
      </c>
      <c r="F301" s="5">
        <v>4494.0</v>
      </c>
      <c r="G301" s="5">
        <v>717.0</v>
      </c>
      <c r="H301" s="5">
        <v>45.0</v>
      </c>
      <c r="I301" s="5">
        <v>62916.0</v>
      </c>
      <c r="J301" s="5">
        <v>62688.0</v>
      </c>
      <c r="K301" s="5">
        <v>191.0</v>
      </c>
      <c r="L301" s="7" t="s">
        <v>21</v>
      </c>
      <c r="M301" s="7" t="s">
        <v>30</v>
      </c>
      <c r="N301" s="7" t="s">
        <v>22</v>
      </c>
    </row>
    <row r="302" ht="14.25" customHeight="1">
      <c r="A302" s="5"/>
      <c r="B302" s="5"/>
      <c r="C302" s="6"/>
      <c r="D302" s="5"/>
      <c r="E302" s="5"/>
      <c r="F302" s="5"/>
      <c r="G302" s="5"/>
      <c r="H302" s="5"/>
      <c r="I302" s="5"/>
      <c r="J302" s="5"/>
      <c r="K302" s="5"/>
      <c r="L302" s="5"/>
      <c r="M302" s="5"/>
      <c r="N302" s="5"/>
    </row>
    <row r="303" ht="14.25" customHeight="1">
      <c r="A303" s="5"/>
      <c r="B303" s="5"/>
      <c r="C303" s="6"/>
      <c r="D303" s="5"/>
      <c r="E303" s="5"/>
      <c r="F303" s="5"/>
      <c r="G303" s="5"/>
      <c r="H303" s="5"/>
      <c r="I303" s="5"/>
      <c r="J303" s="5"/>
      <c r="K303" s="5"/>
      <c r="L303" s="5"/>
      <c r="M303" s="5"/>
      <c r="N303" s="5"/>
    </row>
    <row r="304" ht="14.25" customHeight="1">
      <c r="A304" s="5"/>
      <c r="B304" s="5"/>
      <c r="C304" s="6"/>
      <c r="D304" s="5"/>
      <c r="E304" s="5"/>
      <c r="F304" s="5"/>
      <c r="G304" s="5"/>
      <c r="H304" s="5"/>
      <c r="I304" s="5"/>
      <c r="J304" s="5"/>
      <c r="K304" s="5"/>
      <c r="L304" s="5"/>
      <c r="M304" s="5"/>
      <c r="N304" s="5"/>
    </row>
    <row r="305" ht="14.25" customHeight="1">
      <c r="A305" s="5"/>
      <c r="B305" s="5"/>
      <c r="C305" s="6"/>
      <c r="D305" s="5"/>
      <c r="E305" s="5"/>
      <c r="F305" s="5"/>
      <c r="G305" s="5"/>
      <c r="H305" s="5"/>
      <c r="I305" s="5"/>
      <c r="J305" s="5"/>
      <c r="K305" s="5"/>
      <c r="L305" s="5"/>
      <c r="M305" s="5"/>
      <c r="N305" s="5"/>
    </row>
    <row r="306" ht="14.25" customHeight="1">
      <c r="A306" s="5"/>
      <c r="B306" s="5"/>
      <c r="C306" s="6"/>
      <c r="D306" s="5"/>
      <c r="E306" s="5"/>
      <c r="F306" s="5"/>
      <c r="G306" s="5"/>
      <c r="H306" s="5"/>
      <c r="I306" s="5"/>
      <c r="J306" s="5"/>
      <c r="K306" s="5"/>
      <c r="L306" s="5"/>
      <c r="M306" s="5"/>
      <c r="N306" s="5"/>
    </row>
    <row r="307" ht="14.25" customHeight="1">
      <c r="A307" s="5"/>
      <c r="B307" s="5"/>
      <c r="C307" s="6"/>
      <c r="D307" s="5"/>
      <c r="E307" s="5"/>
      <c r="F307" s="5"/>
      <c r="G307" s="5"/>
      <c r="H307" s="5"/>
      <c r="I307" s="5"/>
      <c r="J307" s="5"/>
      <c r="K307" s="5"/>
      <c r="L307" s="5"/>
      <c r="M307" s="5"/>
      <c r="N307" s="5"/>
    </row>
    <row r="308" ht="14.25" customHeight="1">
      <c r="A308" s="5"/>
      <c r="B308" s="5"/>
      <c r="C308" s="6"/>
      <c r="D308" s="5"/>
      <c r="E308" s="5"/>
      <c r="F308" s="5"/>
      <c r="G308" s="5"/>
      <c r="H308" s="5"/>
      <c r="I308" s="5"/>
      <c r="J308" s="5"/>
      <c r="K308" s="5"/>
      <c r="L308" s="5"/>
      <c r="M308" s="5"/>
      <c r="N308" s="5"/>
    </row>
    <row r="309" ht="14.25" customHeight="1">
      <c r="A309" s="5"/>
      <c r="B309" s="5"/>
      <c r="C309" s="6"/>
      <c r="D309" s="5"/>
      <c r="E309" s="5"/>
      <c r="F309" s="5"/>
      <c r="G309" s="5"/>
      <c r="H309" s="5"/>
      <c r="I309" s="5"/>
      <c r="J309" s="5"/>
      <c r="K309" s="5"/>
      <c r="L309" s="5"/>
      <c r="M309" s="5"/>
      <c r="N309" s="5"/>
    </row>
    <row r="310" ht="14.25" customHeight="1">
      <c r="A310" s="5"/>
      <c r="B310" s="5"/>
      <c r="C310" s="6"/>
      <c r="D310" s="5"/>
      <c r="E310" s="5"/>
      <c r="F310" s="5"/>
      <c r="G310" s="5"/>
      <c r="H310" s="5"/>
      <c r="I310" s="5"/>
      <c r="J310" s="5"/>
      <c r="K310" s="5"/>
      <c r="L310" s="5"/>
      <c r="M310" s="5"/>
      <c r="N310" s="5"/>
    </row>
    <row r="311" ht="14.25" customHeight="1">
      <c r="A311" s="5"/>
      <c r="B311" s="5"/>
      <c r="C311" s="6"/>
      <c r="D311" s="5"/>
      <c r="E311" s="5"/>
      <c r="F311" s="5"/>
      <c r="G311" s="5"/>
      <c r="H311" s="5"/>
      <c r="I311" s="5"/>
      <c r="J311" s="5"/>
      <c r="K311" s="5"/>
      <c r="L311" s="5"/>
      <c r="M311" s="5"/>
      <c r="N311" s="5"/>
    </row>
    <row r="312" ht="14.25" customHeight="1">
      <c r="A312" s="5"/>
      <c r="B312" s="5"/>
      <c r="C312" s="6"/>
      <c r="D312" s="5"/>
      <c r="E312" s="5"/>
      <c r="F312" s="5"/>
      <c r="G312" s="5"/>
      <c r="H312" s="5"/>
      <c r="I312" s="5"/>
      <c r="J312" s="5"/>
      <c r="K312" s="5"/>
      <c r="L312" s="5"/>
      <c r="M312" s="5"/>
      <c r="N312" s="5"/>
    </row>
    <row r="313" ht="14.25" customHeight="1">
      <c r="A313" s="5"/>
      <c r="B313" s="5"/>
      <c r="C313" s="6"/>
      <c r="D313" s="5"/>
      <c r="E313" s="5"/>
      <c r="F313" s="5"/>
      <c r="G313" s="5"/>
      <c r="H313" s="5"/>
      <c r="I313" s="5"/>
      <c r="J313" s="5"/>
      <c r="K313" s="5"/>
      <c r="L313" s="5"/>
      <c r="M313" s="5"/>
      <c r="N313" s="5"/>
    </row>
    <row r="314" ht="14.25" customHeight="1">
      <c r="A314" s="5"/>
      <c r="B314" s="5"/>
      <c r="C314" s="6"/>
      <c r="D314" s="5"/>
      <c r="E314" s="5"/>
      <c r="F314" s="5"/>
      <c r="G314" s="5"/>
      <c r="H314" s="5"/>
      <c r="I314" s="5"/>
      <c r="J314" s="5"/>
      <c r="K314" s="5"/>
      <c r="L314" s="5"/>
      <c r="M314" s="5"/>
      <c r="N314" s="5"/>
    </row>
    <row r="315" ht="14.25" customHeight="1">
      <c r="A315" s="5"/>
      <c r="B315" s="5"/>
      <c r="C315" s="6"/>
      <c r="D315" s="5"/>
      <c r="E315" s="5"/>
      <c r="F315" s="5"/>
      <c r="G315" s="5"/>
      <c r="H315" s="5"/>
      <c r="I315" s="5"/>
      <c r="J315" s="5"/>
      <c r="K315" s="5"/>
      <c r="L315" s="5"/>
      <c r="M315" s="5"/>
      <c r="N315" s="5"/>
    </row>
    <row r="316" ht="14.25" customHeight="1">
      <c r="A316" s="5"/>
      <c r="B316" s="5"/>
      <c r="C316" s="6"/>
      <c r="D316" s="5"/>
      <c r="E316" s="5"/>
      <c r="F316" s="5"/>
      <c r="G316" s="5"/>
      <c r="H316" s="5"/>
      <c r="I316" s="5"/>
      <c r="J316" s="5"/>
      <c r="K316" s="5"/>
      <c r="L316" s="5"/>
      <c r="M316" s="5"/>
      <c r="N316" s="5"/>
    </row>
    <row r="317" ht="14.25" customHeight="1">
      <c r="A317" s="5"/>
      <c r="B317" s="5"/>
      <c r="C317" s="6"/>
      <c r="D317" s="5"/>
      <c r="E317" s="5"/>
      <c r="F317" s="5"/>
      <c r="G317" s="5"/>
      <c r="H317" s="5"/>
      <c r="I317" s="5"/>
      <c r="J317" s="5"/>
      <c r="K317" s="5"/>
      <c r="L317" s="5"/>
      <c r="M317" s="5"/>
      <c r="N317" s="5"/>
    </row>
    <row r="318" ht="14.25" customHeight="1">
      <c r="A318" s="5"/>
      <c r="B318" s="5"/>
      <c r="C318" s="6"/>
      <c r="D318" s="5"/>
      <c r="E318" s="5"/>
      <c r="F318" s="5"/>
      <c r="G318" s="5"/>
      <c r="H318" s="5"/>
      <c r="I318" s="5"/>
      <c r="J318" s="5"/>
      <c r="K318" s="5"/>
      <c r="L318" s="5"/>
      <c r="M318" s="5"/>
      <c r="N318" s="5"/>
    </row>
    <row r="319" ht="14.25" customHeight="1">
      <c r="A319" s="5"/>
      <c r="B319" s="5"/>
      <c r="C319" s="6"/>
      <c r="D319" s="5"/>
      <c r="E319" s="5"/>
      <c r="F319" s="5"/>
      <c r="G319" s="5"/>
      <c r="H319" s="5"/>
      <c r="I319" s="5"/>
      <c r="J319" s="5"/>
      <c r="K319" s="5"/>
      <c r="L319" s="5"/>
      <c r="M319" s="5"/>
      <c r="N319" s="5"/>
    </row>
    <row r="320" ht="14.25" customHeight="1">
      <c r="A320" s="5"/>
      <c r="B320" s="5"/>
      <c r="C320" s="6"/>
      <c r="D320" s="5"/>
      <c r="E320" s="5"/>
      <c r="F320" s="5"/>
      <c r="G320" s="5"/>
      <c r="H320" s="5"/>
      <c r="I320" s="5"/>
      <c r="J320" s="5"/>
      <c r="K320" s="5"/>
      <c r="L320" s="5"/>
      <c r="M320" s="5"/>
      <c r="N320" s="5"/>
    </row>
    <row r="321" ht="14.25" customHeight="1">
      <c r="A321" s="5"/>
      <c r="B321" s="5"/>
      <c r="C321" s="6"/>
      <c r="D321" s="5"/>
      <c r="E321" s="5"/>
      <c r="F321" s="5"/>
      <c r="G321" s="5"/>
      <c r="H321" s="5"/>
      <c r="I321" s="5"/>
      <c r="J321" s="5"/>
      <c r="K321" s="5"/>
      <c r="L321" s="5"/>
      <c r="M321" s="5"/>
      <c r="N321" s="5"/>
    </row>
    <row r="322" ht="14.25" customHeight="1">
      <c r="A322" s="5"/>
      <c r="B322" s="5"/>
      <c r="C322" s="6"/>
      <c r="D322" s="5"/>
      <c r="E322" s="5"/>
      <c r="F322" s="5"/>
      <c r="G322" s="5"/>
      <c r="H322" s="5"/>
      <c r="I322" s="5"/>
      <c r="J322" s="5"/>
      <c r="K322" s="5"/>
      <c r="L322" s="5"/>
      <c r="M322" s="5"/>
      <c r="N322" s="5"/>
    </row>
    <row r="323" ht="14.25" customHeight="1">
      <c r="A323" s="5"/>
      <c r="B323" s="5"/>
      <c r="C323" s="6"/>
      <c r="D323" s="5"/>
      <c r="E323" s="5"/>
      <c r="F323" s="5"/>
      <c r="G323" s="5"/>
      <c r="H323" s="5"/>
      <c r="I323" s="5"/>
      <c r="J323" s="5"/>
      <c r="K323" s="5"/>
      <c r="L323" s="5"/>
      <c r="M323" s="5"/>
      <c r="N323" s="5"/>
    </row>
    <row r="324" ht="14.25" customHeight="1">
      <c r="A324" s="5"/>
      <c r="B324" s="5"/>
      <c r="C324" s="6"/>
      <c r="D324" s="5"/>
      <c r="E324" s="5"/>
      <c r="F324" s="5"/>
      <c r="G324" s="5"/>
      <c r="H324" s="5"/>
      <c r="I324" s="5"/>
      <c r="J324" s="5"/>
      <c r="K324" s="5"/>
      <c r="L324" s="5"/>
      <c r="M324" s="5"/>
      <c r="N324" s="5"/>
    </row>
    <row r="325" ht="14.25" customHeight="1">
      <c r="A325" s="5"/>
      <c r="B325" s="5"/>
      <c r="C325" s="6"/>
      <c r="D325" s="5"/>
      <c r="E325" s="5"/>
      <c r="F325" s="5"/>
      <c r="G325" s="5"/>
      <c r="H325" s="5"/>
      <c r="I325" s="5"/>
      <c r="J325" s="5"/>
      <c r="K325" s="5"/>
      <c r="L325" s="5"/>
      <c r="M325" s="5"/>
      <c r="N325" s="5"/>
    </row>
    <row r="326" ht="14.25" customHeight="1">
      <c r="A326" s="5"/>
      <c r="B326" s="5"/>
      <c r="C326" s="6"/>
      <c r="D326" s="5"/>
      <c r="E326" s="5"/>
      <c r="F326" s="5"/>
      <c r="G326" s="5"/>
      <c r="H326" s="5"/>
      <c r="I326" s="5"/>
      <c r="J326" s="5"/>
      <c r="K326" s="5"/>
      <c r="L326" s="5"/>
      <c r="M326" s="5"/>
      <c r="N326" s="5"/>
    </row>
    <row r="327" ht="14.25" customHeight="1">
      <c r="A327" s="5"/>
      <c r="B327" s="5"/>
      <c r="C327" s="6"/>
      <c r="D327" s="5"/>
      <c r="E327" s="5"/>
      <c r="F327" s="5"/>
      <c r="G327" s="5"/>
      <c r="H327" s="5"/>
      <c r="I327" s="5"/>
      <c r="J327" s="5"/>
      <c r="K327" s="5"/>
      <c r="L327" s="5"/>
      <c r="M327" s="5"/>
      <c r="N327" s="5"/>
    </row>
    <row r="328" ht="14.25" customHeight="1">
      <c r="A328" s="5"/>
      <c r="B328" s="5"/>
      <c r="C328" s="6"/>
      <c r="D328" s="5"/>
      <c r="E328" s="5"/>
      <c r="F328" s="5"/>
      <c r="G328" s="5"/>
      <c r="H328" s="5"/>
      <c r="I328" s="5"/>
      <c r="J328" s="5"/>
      <c r="K328" s="5"/>
      <c r="L328" s="5"/>
      <c r="M328" s="5"/>
      <c r="N328" s="5"/>
    </row>
    <row r="329" ht="14.25" customHeight="1">
      <c r="A329" s="5"/>
      <c r="B329" s="5"/>
      <c r="C329" s="6"/>
      <c r="D329" s="5"/>
      <c r="E329" s="5"/>
      <c r="F329" s="5"/>
      <c r="G329" s="5"/>
      <c r="H329" s="5"/>
      <c r="I329" s="5"/>
      <c r="J329" s="5"/>
      <c r="K329" s="5"/>
      <c r="L329" s="5"/>
      <c r="M329" s="5"/>
      <c r="N329" s="5"/>
    </row>
    <row r="330" ht="14.25" customHeight="1">
      <c r="A330" s="5"/>
      <c r="B330" s="5"/>
      <c r="C330" s="6"/>
      <c r="D330" s="5"/>
      <c r="E330" s="5"/>
      <c r="F330" s="5"/>
      <c r="G330" s="5"/>
      <c r="H330" s="5"/>
      <c r="I330" s="5"/>
      <c r="J330" s="5"/>
      <c r="K330" s="5"/>
      <c r="L330" s="5"/>
      <c r="M330" s="5"/>
      <c r="N330" s="5"/>
    </row>
    <row r="331" ht="14.25" customHeight="1">
      <c r="A331" s="5"/>
      <c r="B331" s="5"/>
      <c r="C331" s="6"/>
      <c r="D331" s="5"/>
      <c r="E331" s="5"/>
      <c r="F331" s="5"/>
      <c r="G331" s="5"/>
      <c r="H331" s="5"/>
      <c r="I331" s="5"/>
      <c r="J331" s="5"/>
      <c r="K331" s="5"/>
      <c r="L331" s="5"/>
      <c r="M331" s="5"/>
      <c r="N331" s="5"/>
    </row>
    <row r="332" ht="14.25" customHeight="1">
      <c r="A332" s="5"/>
      <c r="B332" s="5"/>
      <c r="C332" s="6"/>
      <c r="D332" s="5"/>
      <c r="E332" s="5"/>
      <c r="F332" s="5"/>
      <c r="G332" s="5"/>
      <c r="H332" s="5"/>
      <c r="I332" s="5"/>
      <c r="J332" s="5"/>
      <c r="K332" s="5"/>
      <c r="L332" s="5"/>
      <c r="M332" s="5"/>
      <c r="N332" s="5"/>
    </row>
    <row r="333" ht="14.25" customHeight="1">
      <c r="A333" s="5"/>
      <c r="B333" s="5"/>
      <c r="C333" s="6"/>
      <c r="D333" s="5"/>
      <c r="E333" s="5"/>
      <c r="F333" s="5"/>
      <c r="G333" s="5"/>
      <c r="H333" s="5"/>
      <c r="I333" s="5"/>
      <c r="J333" s="5"/>
      <c r="K333" s="5"/>
      <c r="L333" s="5"/>
      <c r="M333" s="5"/>
      <c r="N333" s="5"/>
    </row>
    <row r="334" ht="14.25" customHeight="1">
      <c r="A334" s="5"/>
      <c r="B334" s="5"/>
      <c r="C334" s="6"/>
      <c r="D334" s="5"/>
      <c r="E334" s="5"/>
      <c r="F334" s="5"/>
      <c r="G334" s="5"/>
      <c r="H334" s="5"/>
      <c r="I334" s="5"/>
      <c r="J334" s="5"/>
      <c r="K334" s="5"/>
      <c r="L334" s="5"/>
      <c r="M334" s="5"/>
      <c r="N334" s="5"/>
    </row>
    <row r="335" ht="14.25" customHeight="1">
      <c r="A335" s="5"/>
      <c r="B335" s="5"/>
      <c r="C335" s="6"/>
      <c r="D335" s="5"/>
      <c r="E335" s="5"/>
      <c r="F335" s="5"/>
      <c r="G335" s="5"/>
      <c r="H335" s="5"/>
      <c r="I335" s="5"/>
      <c r="J335" s="5"/>
      <c r="K335" s="5"/>
      <c r="L335" s="5"/>
      <c r="M335" s="5"/>
      <c r="N335" s="5"/>
    </row>
    <row r="336" ht="14.25" customHeight="1">
      <c r="A336" s="5"/>
      <c r="B336" s="5"/>
      <c r="C336" s="6"/>
      <c r="D336" s="5"/>
      <c r="E336" s="5"/>
      <c r="F336" s="5"/>
      <c r="G336" s="5"/>
      <c r="H336" s="5"/>
      <c r="I336" s="5"/>
      <c r="J336" s="5"/>
      <c r="K336" s="5"/>
      <c r="L336" s="5"/>
      <c r="M336" s="5"/>
      <c r="N336" s="5"/>
    </row>
    <row r="337" ht="14.25" customHeight="1">
      <c r="A337" s="5"/>
      <c r="B337" s="5"/>
      <c r="C337" s="6"/>
      <c r="D337" s="5"/>
      <c r="E337" s="5"/>
      <c r="F337" s="5"/>
      <c r="G337" s="5"/>
      <c r="H337" s="5"/>
      <c r="I337" s="5"/>
      <c r="J337" s="5"/>
      <c r="K337" s="5"/>
      <c r="L337" s="5"/>
      <c r="M337" s="5"/>
      <c r="N337" s="5"/>
    </row>
    <row r="338" ht="14.25" customHeight="1">
      <c r="A338" s="5"/>
      <c r="B338" s="5"/>
      <c r="C338" s="6"/>
      <c r="D338" s="5"/>
      <c r="E338" s="5"/>
      <c r="F338" s="5"/>
      <c r="G338" s="5"/>
      <c r="H338" s="5"/>
      <c r="I338" s="5"/>
      <c r="J338" s="5"/>
      <c r="K338" s="5"/>
      <c r="L338" s="5"/>
      <c r="M338" s="5"/>
      <c r="N338" s="5"/>
    </row>
    <row r="339" ht="14.25" customHeight="1">
      <c r="A339" s="5"/>
      <c r="B339" s="5"/>
      <c r="C339" s="6"/>
      <c r="D339" s="5"/>
      <c r="E339" s="5"/>
      <c r="F339" s="5"/>
      <c r="G339" s="5"/>
      <c r="H339" s="5"/>
      <c r="I339" s="5"/>
      <c r="J339" s="5"/>
      <c r="K339" s="5"/>
      <c r="L339" s="5"/>
      <c r="M339" s="5"/>
      <c r="N339" s="5"/>
    </row>
    <row r="340" ht="14.25" customHeight="1">
      <c r="A340" s="5"/>
      <c r="B340" s="5"/>
      <c r="C340" s="6"/>
      <c r="D340" s="5"/>
      <c r="E340" s="5"/>
      <c r="F340" s="5"/>
      <c r="G340" s="5"/>
      <c r="H340" s="5"/>
      <c r="I340" s="5"/>
      <c r="J340" s="5"/>
      <c r="K340" s="5"/>
      <c r="L340" s="5"/>
      <c r="M340" s="5"/>
      <c r="N340" s="5"/>
    </row>
    <row r="341" ht="14.25" customHeight="1">
      <c r="A341" s="5"/>
      <c r="B341" s="5"/>
      <c r="C341" s="6"/>
      <c r="D341" s="5"/>
      <c r="E341" s="5"/>
      <c r="F341" s="5"/>
      <c r="G341" s="5"/>
      <c r="H341" s="5"/>
      <c r="I341" s="5"/>
      <c r="J341" s="5"/>
      <c r="K341" s="5"/>
      <c r="L341" s="5"/>
      <c r="M341" s="5"/>
      <c r="N341" s="5"/>
    </row>
    <row r="342" ht="14.25" customHeight="1">
      <c r="A342" s="5"/>
      <c r="B342" s="5"/>
      <c r="C342" s="6"/>
      <c r="D342" s="5"/>
      <c r="E342" s="5"/>
      <c r="F342" s="5"/>
      <c r="G342" s="5"/>
      <c r="H342" s="5"/>
      <c r="I342" s="5"/>
      <c r="J342" s="5"/>
      <c r="K342" s="5"/>
      <c r="L342" s="5"/>
      <c r="M342" s="5"/>
      <c r="N342" s="5"/>
    </row>
    <row r="343" ht="14.25" customHeight="1">
      <c r="A343" s="5"/>
      <c r="B343" s="5"/>
      <c r="C343" s="6"/>
      <c r="D343" s="5"/>
      <c r="E343" s="5"/>
      <c r="F343" s="5"/>
      <c r="G343" s="5"/>
      <c r="H343" s="5"/>
      <c r="I343" s="5"/>
      <c r="J343" s="5"/>
      <c r="K343" s="5"/>
      <c r="L343" s="5"/>
      <c r="M343" s="5"/>
      <c r="N343" s="5"/>
    </row>
    <row r="344" ht="14.25" customHeight="1">
      <c r="A344" s="5"/>
      <c r="B344" s="5"/>
      <c r="C344" s="6"/>
      <c r="D344" s="5"/>
      <c r="E344" s="5"/>
      <c r="F344" s="5"/>
      <c r="G344" s="5"/>
      <c r="H344" s="5"/>
      <c r="I344" s="5"/>
      <c r="J344" s="5"/>
      <c r="K344" s="5"/>
      <c r="L344" s="5"/>
      <c r="M344" s="5"/>
      <c r="N344" s="5"/>
    </row>
    <row r="345" ht="14.25" customHeight="1">
      <c r="A345" s="5"/>
      <c r="B345" s="5"/>
      <c r="C345" s="6"/>
      <c r="D345" s="5"/>
      <c r="E345" s="5"/>
      <c r="F345" s="5"/>
      <c r="G345" s="5"/>
      <c r="H345" s="5"/>
      <c r="I345" s="5"/>
      <c r="J345" s="5"/>
      <c r="K345" s="5"/>
      <c r="L345" s="5"/>
      <c r="M345" s="5"/>
      <c r="N345" s="5"/>
    </row>
    <row r="346" ht="14.25" customHeight="1">
      <c r="A346" s="5"/>
      <c r="B346" s="5"/>
      <c r="C346" s="6"/>
      <c r="D346" s="5"/>
      <c r="E346" s="5"/>
      <c r="F346" s="5"/>
      <c r="G346" s="5"/>
      <c r="H346" s="5"/>
      <c r="I346" s="5"/>
      <c r="J346" s="5"/>
      <c r="K346" s="5"/>
      <c r="L346" s="5"/>
      <c r="M346" s="5"/>
      <c r="N346" s="5"/>
    </row>
    <row r="347" ht="14.25" customHeight="1">
      <c r="A347" s="5"/>
      <c r="B347" s="5"/>
      <c r="C347" s="6"/>
      <c r="D347" s="5"/>
      <c r="E347" s="5"/>
      <c r="F347" s="5"/>
      <c r="G347" s="5"/>
      <c r="H347" s="5"/>
      <c r="I347" s="5"/>
      <c r="J347" s="5"/>
      <c r="K347" s="5"/>
      <c r="L347" s="5"/>
      <c r="M347" s="5"/>
      <c r="N347" s="5"/>
    </row>
    <row r="348" ht="14.25" customHeight="1">
      <c r="A348" s="5"/>
      <c r="B348" s="5"/>
      <c r="C348" s="6"/>
      <c r="D348" s="5"/>
      <c r="E348" s="5"/>
      <c r="F348" s="5"/>
      <c r="G348" s="5"/>
      <c r="H348" s="5"/>
      <c r="I348" s="5"/>
      <c r="J348" s="5"/>
      <c r="K348" s="5"/>
      <c r="L348" s="5"/>
      <c r="M348" s="5"/>
      <c r="N348" s="5"/>
    </row>
    <row r="349" ht="14.25" customHeight="1">
      <c r="A349" s="5"/>
      <c r="B349" s="5"/>
      <c r="C349" s="6"/>
      <c r="D349" s="5"/>
      <c r="E349" s="5"/>
      <c r="F349" s="5"/>
      <c r="G349" s="5"/>
      <c r="H349" s="5"/>
      <c r="I349" s="5"/>
      <c r="J349" s="5"/>
      <c r="K349" s="5"/>
      <c r="L349" s="5"/>
      <c r="M349" s="5"/>
      <c r="N349" s="5"/>
    </row>
    <row r="350" ht="14.25" customHeight="1">
      <c r="A350" s="5"/>
      <c r="B350" s="5"/>
      <c r="C350" s="6"/>
      <c r="D350" s="5"/>
      <c r="E350" s="5"/>
      <c r="F350" s="5"/>
      <c r="G350" s="5"/>
      <c r="H350" s="5"/>
      <c r="I350" s="5"/>
      <c r="J350" s="5"/>
      <c r="K350" s="5"/>
      <c r="L350" s="5"/>
      <c r="M350" s="5"/>
      <c r="N350" s="5"/>
    </row>
    <row r="351" ht="14.25" customHeight="1">
      <c r="A351" s="5"/>
      <c r="B351" s="5"/>
      <c r="C351" s="6"/>
      <c r="D351" s="5"/>
      <c r="E351" s="5"/>
      <c r="F351" s="5"/>
      <c r="G351" s="5"/>
      <c r="H351" s="5"/>
      <c r="I351" s="5"/>
      <c r="J351" s="5"/>
      <c r="K351" s="5"/>
      <c r="L351" s="5"/>
      <c r="M351" s="5"/>
      <c r="N351" s="5"/>
    </row>
    <row r="352" ht="14.25" customHeight="1">
      <c r="A352" s="5"/>
      <c r="B352" s="5"/>
      <c r="C352" s="6"/>
      <c r="D352" s="5"/>
      <c r="E352" s="5"/>
      <c r="F352" s="5"/>
      <c r="G352" s="5"/>
      <c r="H352" s="5"/>
      <c r="I352" s="5"/>
      <c r="J352" s="5"/>
      <c r="K352" s="5"/>
      <c r="L352" s="5"/>
      <c r="M352" s="5"/>
      <c r="N352" s="5"/>
    </row>
    <row r="353" ht="14.25" customHeight="1">
      <c r="A353" s="5"/>
      <c r="B353" s="5"/>
      <c r="C353" s="6"/>
      <c r="D353" s="5"/>
      <c r="E353" s="5"/>
      <c r="F353" s="5"/>
      <c r="G353" s="5"/>
      <c r="H353" s="5"/>
      <c r="I353" s="5"/>
      <c r="J353" s="5"/>
      <c r="K353" s="5"/>
      <c r="L353" s="5"/>
      <c r="M353" s="5"/>
      <c r="N353" s="5"/>
    </row>
    <row r="354" ht="14.25" customHeight="1">
      <c r="A354" s="5"/>
      <c r="B354" s="5"/>
      <c r="C354" s="6"/>
      <c r="D354" s="5"/>
      <c r="E354" s="5"/>
      <c r="F354" s="5"/>
      <c r="G354" s="5"/>
      <c r="H354" s="5"/>
      <c r="I354" s="5"/>
      <c r="J354" s="5"/>
      <c r="K354" s="5"/>
      <c r="L354" s="5"/>
      <c r="M354" s="5"/>
      <c r="N354" s="5"/>
    </row>
    <row r="355" ht="14.25" customHeight="1">
      <c r="A355" s="5"/>
      <c r="B355" s="5"/>
      <c r="C355" s="6"/>
      <c r="D355" s="5"/>
      <c r="E355" s="5"/>
      <c r="F355" s="5"/>
      <c r="G355" s="5"/>
      <c r="H355" s="5"/>
      <c r="I355" s="5"/>
      <c r="J355" s="5"/>
      <c r="K355" s="5"/>
      <c r="L355" s="5"/>
      <c r="M355" s="5"/>
      <c r="N355" s="5"/>
    </row>
    <row r="356" ht="14.25" customHeight="1">
      <c r="A356" s="5"/>
      <c r="B356" s="5"/>
      <c r="C356" s="6"/>
      <c r="D356" s="5"/>
      <c r="E356" s="5"/>
      <c r="F356" s="5"/>
      <c r="G356" s="5"/>
      <c r="H356" s="5"/>
      <c r="I356" s="5"/>
      <c r="J356" s="5"/>
      <c r="K356" s="5"/>
      <c r="L356" s="5"/>
      <c r="M356" s="5"/>
      <c r="N356" s="5"/>
    </row>
    <row r="357" ht="14.25" customHeight="1">
      <c r="A357" s="5"/>
      <c r="B357" s="5"/>
      <c r="C357" s="6"/>
      <c r="D357" s="5"/>
      <c r="E357" s="5"/>
      <c r="F357" s="5"/>
      <c r="G357" s="5"/>
      <c r="H357" s="5"/>
      <c r="I357" s="5"/>
      <c r="J357" s="5"/>
      <c r="K357" s="5"/>
      <c r="L357" s="5"/>
      <c r="M357" s="5"/>
      <c r="N357" s="5"/>
    </row>
    <row r="358" ht="14.25" customHeight="1">
      <c r="A358" s="5"/>
      <c r="B358" s="5"/>
      <c r="C358" s="6"/>
      <c r="D358" s="5"/>
      <c r="E358" s="5"/>
      <c r="F358" s="5"/>
      <c r="G358" s="5"/>
      <c r="H358" s="5"/>
      <c r="I358" s="5"/>
      <c r="J358" s="5"/>
      <c r="K358" s="5"/>
      <c r="L358" s="5"/>
      <c r="M358" s="5"/>
      <c r="N358" s="5"/>
    </row>
    <row r="359" ht="14.25" customHeight="1">
      <c r="A359" s="5"/>
      <c r="B359" s="5"/>
      <c r="C359" s="6"/>
      <c r="D359" s="5"/>
      <c r="E359" s="5"/>
      <c r="F359" s="5"/>
      <c r="G359" s="5"/>
      <c r="H359" s="5"/>
      <c r="I359" s="5"/>
      <c r="J359" s="5"/>
      <c r="K359" s="5"/>
      <c r="L359" s="5"/>
      <c r="M359" s="5"/>
      <c r="N359" s="5"/>
    </row>
    <row r="360" ht="14.25" customHeight="1">
      <c r="A360" s="5"/>
      <c r="B360" s="5"/>
      <c r="C360" s="6"/>
      <c r="D360" s="5"/>
      <c r="E360" s="5"/>
      <c r="F360" s="5"/>
      <c r="G360" s="5"/>
      <c r="H360" s="5"/>
      <c r="I360" s="5"/>
      <c r="J360" s="5"/>
      <c r="K360" s="5"/>
      <c r="L360" s="5"/>
      <c r="M360" s="5"/>
      <c r="N360" s="5"/>
    </row>
    <row r="361" ht="14.25" customHeight="1">
      <c r="A361" s="5"/>
      <c r="B361" s="5"/>
      <c r="C361" s="6"/>
      <c r="D361" s="5"/>
      <c r="E361" s="5"/>
      <c r="F361" s="5"/>
      <c r="G361" s="5"/>
      <c r="H361" s="5"/>
      <c r="I361" s="5"/>
      <c r="J361" s="5"/>
      <c r="K361" s="5"/>
      <c r="L361" s="5"/>
      <c r="M361" s="5"/>
      <c r="N361" s="5"/>
    </row>
    <row r="362" ht="14.25" customHeight="1">
      <c r="A362" s="5"/>
      <c r="B362" s="5"/>
      <c r="C362" s="6"/>
      <c r="D362" s="5"/>
      <c r="E362" s="5"/>
      <c r="F362" s="5"/>
      <c r="G362" s="5"/>
      <c r="H362" s="5"/>
      <c r="I362" s="5"/>
      <c r="J362" s="5"/>
      <c r="K362" s="5"/>
      <c r="L362" s="5"/>
      <c r="M362" s="5"/>
      <c r="N362" s="5"/>
    </row>
    <row r="363" ht="14.25" customHeight="1">
      <c r="A363" s="5"/>
      <c r="B363" s="5"/>
      <c r="C363" s="6"/>
      <c r="D363" s="5"/>
      <c r="E363" s="5"/>
      <c r="F363" s="5"/>
      <c r="G363" s="5"/>
      <c r="H363" s="5"/>
      <c r="I363" s="5"/>
      <c r="J363" s="5"/>
      <c r="K363" s="5"/>
      <c r="L363" s="5"/>
      <c r="M363" s="5"/>
      <c r="N363" s="5"/>
    </row>
    <row r="364" ht="14.25" customHeight="1">
      <c r="A364" s="5"/>
      <c r="B364" s="5"/>
      <c r="C364" s="6"/>
      <c r="D364" s="5"/>
      <c r="E364" s="5"/>
      <c r="F364" s="5"/>
      <c r="G364" s="5"/>
      <c r="H364" s="5"/>
      <c r="I364" s="5"/>
      <c r="J364" s="5"/>
      <c r="K364" s="5"/>
      <c r="L364" s="5"/>
      <c r="M364" s="5"/>
      <c r="N364" s="5"/>
    </row>
    <row r="365" ht="14.25" customHeight="1">
      <c r="A365" s="5"/>
      <c r="B365" s="5"/>
      <c r="C365" s="6"/>
      <c r="D365" s="5"/>
      <c r="E365" s="5"/>
      <c r="F365" s="5"/>
      <c r="G365" s="5"/>
      <c r="H365" s="5"/>
      <c r="I365" s="5"/>
      <c r="J365" s="5"/>
      <c r="K365" s="5"/>
      <c r="L365" s="5"/>
      <c r="M365" s="5"/>
      <c r="N365" s="5"/>
    </row>
    <row r="366" ht="14.25" customHeight="1">
      <c r="A366" s="5"/>
      <c r="B366" s="5"/>
      <c r="C366" s="6"/>
      <c r="D366" s="5"/>
      <c r="E366" s="5"/>
      <c r="F366" s="5"/>
      <c r="G366" s="5"/>
      <c r="H366" s="5"/>
      <c r="I366" s="5"/>
      <c r="J366" s="5"/>
      <c r="K366" s="5"/>
      <c r="L366" s="5"/>
      <c r="M366" s="5"/>
      <c r="N366" s="5"/>
    </row>
    <row r="367" ht="14.25" customHeight="1">
      <c r="A367" s="5"/>
      <c r="B367" s="5"/>
      <c r="C367" s="6"/>
      <c r="D367" s="5"/>
      <c r="E367" s="5"/>
      <c r="F367" s="5"/>
      <c r="G367" s="5"/>
      <c r="H367" s="5"/>
      <c r="I367" s="5"/>
      <c r="J367" s="5"/>
      <c r="K367" s="5"/>
      <c r="L367" s="5"/>
      <c r="M367" s="5"/>
      <c r="N367" s="5"/>
    </row>
    <row r="368" ht="14.25" customHeight="1">
      <c r="A368" s="5"/>
      <c r="B368" s="5"/>
      <c r="C368" s="6"/>
      <c r="D368" s="5"/>
      <c r="E368" s="5"/>
      <c r="F368" s="5"/>
      <c r="G368" s="5"/>
      <c r="H368" s="5"/>
      <c r="I368" s="5"/>
      <c r="J368" s="5"/>
      <c r="K368" s="5"/>
      <c r="L368" s="5"/>
      <c r="M368" s="5"/>
      <c r="N368" s="5"/>
    </row>
    <row r="369" ht="14.25" customHeight="1">
      <c r="A369" s="5"/>
      <c r="B369" s="5"/>
      <c r="C369" s="6"/>
      <c r="D369" s="5"/>
      <c r="E369" s="5"/>
      <c r="F369" s="5"/>
      <c r="G369" s="5"/>
      <c r="H369" s="5"/>
      <c r="I369" s="5"/>
      <c r="J369" s="5"/>
      <c r="K369" s="5"/>
      <c r="L369" s="5"/>
      <c r="M369" s="5"/>
      <c r="N369" s="5"/>
    </row>
    <row r="370" ht="14.25" customHeight="1">
      <c r="A370" s="5"/>
      <c r="B370" s="5"/>
      <c r="C370" s="6"/>
      <c r="D370" s="5"/>
      <c r="E370" s="5"/>
      <c r="F370" s="5"/>
      <c r="G370" s="5"/>
      <c r="H370" s="5"/>
      <c r="I370" s="5"/>
      <c r="J370" s="5"/>
      <c r="K370" s="5"/>
      <c r="L370" s="5"/>
      <c r="M370" s="5"/>
      <c r="N370" s="5"/>
    </row>
    <row r="371" ht="14.25" customHeight="1">
      <c r="A371" s="5"/>
      <c r="B371" s="5"/>
      <c r="C371" s="6"/>
      <c r="D371" s="5"/>
      <c r="E371" s="5"/>
      <c r="F371" s="5"/>
      <c r="G371" s="5"/>
      <c r="H371" s="5"/>
      <c r="I371" s="5"/>
      <c r="J371" s="5"/>
      <c r="K371" s="5"/>
      <c r="L371" s="5"/>
      <c r="M371" s="5"/>
      <c r="N371" s="5"/>
    </row>
    <row r="372" ht="14.25" customHeight="1">
      <c r="A372" s="5"/>
      <c r="B372" s="5"/>
      <c r="C372" s="6"/>
      <c r="D372" s="5"/>
      <c r="E372" s="5"/>
      <c r="F372" s="5"/>
      <c r="G372" s="5"/>
      <c r="H372" s="5"/>
      <c r="I372" s="5"/>
      <c r="J372" s="5"/>
      <c r="K372" s="5"/>
      <c r="L372" s="5"/>
      <c r="M372" s="5"/>
      <c r="N372" s="5"/>
    </row>
    <row r="373" ht="14.25" customHeight="1">
      <c r="A373" s="5"/>
      <c r="B373" s="5"/>
      <c r="C373" s="6"/>
      <c r="D373" s="5"/>
      <c r="E373" s="5"/>
      <c r="F373" s="5"/>
      <c r="G373" s="5"/>
      <c r="H373" s="5"/>
      <c r="I373" s="5"/>
      <c r="J373" s="5"/>
      <c r="K373" s="5"/>
      <c r="L373" s="5"/>
      <c r="M373" s="5"/>
      <c r="N373" s="5"/>
    </row>
    <row r="374" ht="14.25" customHeight="1">
      <c r="A374" s="5"/>
      <c r="B374" s="5"/>
      <c r="C374" s="6"/>
      <c r="D374" s="5"/>
      <c r="E374" s="5"/>
      <c r="F374" s="5"/>
      <c r="G374" s="5"/>
      <c r="H374" s="5"/>
      <c r="I374" s="5"/>
      <c r="J374" s="5"/>
      <c r="K374" s="5"/>
      <c r="L374" s="5"/>
      <c r="M374" s="5"/>
      <c r="N374" s="5"/>
    </row>
    <row r="375" ht="14.25" customHeight="1">
      <c r="A375" s="5"/>
      <c r="B375" s="5"/>
      <c r="C375" s="6"/>
      <c r="D375" s="5"/>
      <c r="E375" s="5"/>
      <c r="F375" s="5"/>
      <c r="G375" s="5"/>
      <c r="H375" s="5"/>
      <c r="I375" s="5"/>
      <c r="J375" s="5"/>
      <c r="K375" s="5"/>
      <c r="L375" s="5"/>
      <c r="M375" s="5"/>
      <c r="N375" s="5"/>
    </row>
    <row r="376" ht="14.25" customHeight="1">
      <c r="A376" s="5"/>
      <c r="B376" s="5"/>
      <c r="C376" s="6"/>
      <c r="D376" s="5"/>
      <c r="E376" s="5"/>
      <c r="F376" s="5"/>
      <c r="G376" s="5"/>
      <c r="H376" s="5"/>
      <c r="I376" s="5"/>
      <c r="J376" s="5"/>
      <c r="K376" s="5"/>
      <c r="L376" s="5"/>
      <c r="M376" s="5"/>
      <c r="N376" s="5"/>
    </row>
    <row r="377" ht="14.25" customHeight="1">
      <c r="A377" s="5"/>
      <c r="B377" s="5"/>
      <c r="C377" s="6"/>
      <c r="D377" s="5"/>
      <c r="E377" s="5"/>
      <c r="F377" s="5"/>
      <c r="G377" s="5"/>
      <c r="H377" s="5"/>
      <c r="I377" s="5"/>
      <c r="J377" s="5"/>
      <c r="K377" s="5"/>
      <c r="L377" s="5"/>
      <c r="M377" s="5"/>
      <c r="N377" s="5"/>
    </row>
    <row r="378" ht="14.25" customHeight="1">
      <c r="A378" s="5"/>
      <c r="B378" s="5"/>
      <c r="C378" s="6"/>
      <c r="D378" s="5"/>
      <c r="E378" s="5"/>
      <c r="F378" s="5"/>
      <c r="G378" s="5"/>
      <c r="H378" s="5"/>
      <c r="I378" s="5"/>
      <c r="J378" s="5"/>
      <c r="K378" s="5"/>
      <c r="L378" s="5"/>
      <c r="M378" s="5"/>
      <c r="N378" s="5"/>
    </row>
    <row r="379" ht="14.25" customHeight="1">
      <c r="A379" s="5"/>
      <c r="B379" s="5"/>
      <c r="C379" s="6"/>
      <c r="D379" s="5"/>
      <c r="E379" s="5"/>
      <c r="F379" s="5"/>
      <c r="G379" s="5"/>
      <c r="H379" s="5"/>
      <c r="I379" s="5"/>
      <c r="J379" s="5"/>
      <c r="K379" s="5"/>
      <c r="L379" s="5"/>
      <c r="M379" s="5"/>
      <c r="N379" s="5"/>
    </row>
    <row r="380" ht="14.25" customHeight="1">
      <c r="A380" s="5"/>
      <c r="B380" s="5"/>
      <c r="C380" s="6"/>
      <c r="D380" s="5"/>
      <c r="E380" s="5"/>
      <c r="F380" s="5"/>
      <c r="G380" s="5"/>
      <c r="H380" s="5"/>
      <c r="I380" s="5"/>
      <c r="J380" s="5"/>
      <c r="K380" s="5"/>
      <c r="L380" s="5"/>
      <c r="M380" s="5"/>
      <c r="N380" s="5"/>
    </row>
    <row r="381" ht="14.25" customHeight="1">
      <c r="A381" s="5"/>
      <c r="B381" s="5"/>
      <c r="C381" s="6"/>
      <c r="D381" s="5"/>
      <c r="E381" s="5"/>
      <c r="F381" s="5"/>
      <c r="G381" s="5"/>
      <c r="H381" s="5"/>
      <c r="I381" s="5"/>
      <c r="J381" s="5"/>
      <c r="K381" s="5"/>
      <c r="L381" s="5"/>
      <c r="M381" s="5"/>
      <c r="N381" s="5"/>
    </row>
    <row r="382" ht="14.25" customHeight="1">
      <c r="A382" s="5"/>
      <c r="B382" s="5"/>
      <c r="C382" s="6"/>
      <c r="D382" s="5"/>
      <c r="E382" s="5"/>
      <c r="F382" s="5"/>
      <c r="G382" s="5"/>
      <c r="H382" s="5"/>
      <c r="I382" s="5"/>
      <c r="J382" s="5"/>
      <c r="K382" s="5"/>
      <c r="L382" s="5"/>
      <c r="M382" s="5"/>
      <c r="N382" s="5"/>
    </row>
    <row r="383" ht="14.25" customHeight="1">
      <c r="A383" s="5"/>
      <c r="B383" s="5"/>
      <c r="C383" s="6"/>
      <c r="D383" s="5"/>
      <c r="E383" s="5"/>
      <c r="F383" s="5"/>
      <c r="G383" s="5"/>
      <c r="H383" s="5"/>
      <c r="I383" s="5"/>
      <c r="J383" s="5"/>
      <c r="K383" s="5"/>
      <c r="L383" s="5"/>
      <c r="M383" s="5"/>
      <c r="N383" s="5"/>
    </row>
    <row r="384" ht="14.25" customHeight="1">
      <c r="A384" s="5"/>
      <c r="B384" s="5"/>
      <c r="C384" s="6"/>
      <c r="D384" s="5"/>
      <c r="E384" s="5"/>
      <c r="F384" s="5"/>
      <c r="G384" s="5"/>
      <c r="H384" s="5"/>
      <c r="I384" s="5"/>
      <c r="J384" s="5"/>
      <c r="K384" s="5"/>
      <c r="L384" s="5"/>
      <c r="M384" s="5"/>
      <c r="N384" s="5"/>
    </row>
    <row r="385" ht="14.25" customHeight="1">
      <c r="A385" s="5"/>
      <c r="B385" s="5"/>
      <c r="C385" s="6"/>
      <c r="D385" s="5"/>
      <c r="E385" s="5"/>
      <c r="F385" s="5"/>
      <c r="G385" s="5"/>
      <c r="H385" s="5"/>
      <c r="I385" s="5"/>
      <c r="J385" s="5"/>
      <c r="K385" s="5"/>
      <c r="L385" s="5"/>
      <c r="M385" s="5"/>
      <c r="N385" s="5"/>
    </row>
    <row r="386" ht="14.25" customHeight="1">
      <c r="A386" s="5"/>
      <c r="B386" s="5"/>
      <c r="C386" s="6"/>
      <c r="D386" s="5"/>
      <c r="E386" s="5"/>
      <c r="F386" s="5"/>
      <c r="G386" s="5"/>
      <c r="H386" s="5"/>
      <c r="I386" s="5"/>
      <c r="J386" s="5"/>
      <c r="K386" s="5"/>
      <c r="L386" s="5"/>
      <c r="M386" s="5"/>
      <c r="N386" s="5"/>
    </row>
    <row r="387" ht="14.25" customHeight="1">
      <c r="A387" s="5"/>
      <c r="B387" s="5"/>
      <c r="C387" s="6"/>
      <c r="D387" s="5"/>
      <c r="E387" s="5"/>
      <c r="F387" s="5"/>
      <c r="G387" s="5"/>
      <c r="H387" s="5"/>
      <c r="I387" s="5"/>
      <c r="J387" s="5"/>
      <c r="K387" s="5"/>
      <c r="L387" s="5"/>
      <c r="M387" s="5"/>
      <c r="N387" s="5"/>
    </row>
    <row r="388" ht="14.25" customHeight="1">
      <c r="A388" s="5"/>
      <c r="B388" s="5"/>
      <c r="C388" s="6"/>
      <c r="D388" s="5"/>
      <c r="E388" s="5"/>
      <c r="F388" s="5"/>
      <c r="G388" s="5"/>
      <c r="H388" s="5"/>
      <c r="I388" s="5"/>
      <c r="J388" s="5"/>
      <c r="K388" s="5"/>
      <c r="L388" s="5"/>
      <c r="M388" s="5"/>
      <c r="N388" s="5"/>
    </row>
    <row r="389" ht="14.25" customHeight="1">
      <c r="A389" s="5"/>
      <c r="B389" s="5"/>
      <c r="C389" s="6"/>
      <c r="D389" s="5"/>
      <c r="E389" s="5"/>
      <c r="F389" s="5"/>
      <c r="G389" s="5"/>
      <c r="H389" s="5"/>
      <c r="I389" s="5"/>
      <c r="J389" s="5"/>
      <c r="K389" s="5"/>
      <c r="L389" s="5"/>
      <c r="M389" s="5"/>
      <c r="N389" s="5"/>
    </row>
    <row r="390" ht="14.25" customHeight="1">
      <c r="A390" s="5"/>
      <c r="B390" s="5"/>
      <c r="C390" s="6"/>
      <c r="D390" s="5"/>
      <c r="E390" s="5"/>
      <c r="F390" s="5"/>
      <c r="G390" s="5"/>
      <c r="H390" s="5"/>
      <c r="I390" s="5"/>
      <c r="J390" s="5"/>
      <c r="K390" s="5"/>
      <c r="L390" s="5"/>
      <c r="M390" s="5"/>
      <c r="N390" s="5"/>
    </row>
    <row r="391" ht="14.25" customHeight="1">
      <c r="A391" s="5"/>
      <c r="B391" s="5"/>
      <c r="C391" s="6"/>
      <c r="D391" s="5"/>
      <c r="E391" s="5"/>
      <c r="F391" s="5"/>
      <c r="G391" s="5"/>
      <c r="H391" s="5"/>
      <c r="I391" s="5"/>
      <c r="J391" s="5"/>
      <c r="K391" s="5"/>
      <c r="L391" s="5"/>
      <c r="M391" s="5"/>
      <c r="N391" s="5"/>
    </row>
    <row r="392" ht="14.25" customHeight="1">
      <c r="A392" s="5"/>
      <c r="B392" s="5"/>
      <c r="C392" s="6"/>
      <c r="D392" s="5"/>
      <c r="E392" s="5"/>
      <c r="F392" s="5"/>
      <c r="G392" s="5"/>
      <c r="H392" s="5"/>
      <c r="I392" s="5"/>
      <c r="J392" s="5"/>
      <c r="K392" s="5"/>
      <c r="L392" s="5"/>
      <c r="M392" s="5"/>
      <c r="N392" s="5"/>
    </row>
    <row r="393" ht="14.25" customHeight="1">
      <c r="A393" s="5"/>
      <c r="B393" s="5"/>
      <c r="C393" s="6"/>
      <c r="D393" s="5"/>
      <c r="E393" s="5"/>
      <c r="F393" s="5"/>
      <c r="G393" s="5"/>
      <c r="H393" s="5"/>
      <c r="I393" s="5"/>
      <c r="J393" s="5"/>
      <c r="K393" s="5"/>
      <c r="L393" s="5"/>
      <c r="M393" s="5"/>
      <c r="N393" s="5"/>
    </row>
    <row r="394" ht="14.25" customHeight="1">
      <c r="A394" s="5"/>
      <c r="B394" s="5"/>
      <c r="C394" s="6"/>
      <c r="D394" s="5"/>
      <c r="E394" s="5"/>
      <c r="F394" s="5"/>
      <c r="G394" s="5"/>
      <c r="H394" s="5"/>
      <c r="I394" s="5"/>
      <c r="J394" s="5"/>
      <c r="K394" s="5"/>
      <c r="L394" s="5"/>
      <c r="M394" s="5"/>
      <c r="N394" s="5"/>
    </row>
    <row r="395" ht="14.25" customHeight="1">
      <c r="A395" s="5"/>
      <c r="B395" s="5"/>
      <c r="C395" s="6"/>
      <c r="D395" s="5"/>
      <c r="E395" s="5"/>
      <c r="F395" s="5"/>
      <c r="G395" s="5"/>
      <c r="H395" s="5"/>
      <c r="I395" s="5"/>
      <c r="J395" s="5"/>
      <c r="K395" s="5"/>
      <c r="L395" s="5"/>
      <c r="M395" s="5"/>
      <c r="N395" s="5"/>
    </row>
    <row r="396" ht="14.25" customHeight="1">
      <c r="A396" s="5"/>
      <c r="B396" s="5"/>
      <c r="C396" s="6"/>
      <c r="D396" s="5"/>
      <c r="E396" s="5"/>
      <c r="F396" s="5"/>
      <c r="G396" s="5"/>
      <c r="H396" s="5"/>
      <c r="I396" s="5"/>
      <c r="J396" s="5"/>
      <c r="K396" s="5"/>
      <c r="L396" s="5"/>
      <c r="M396" s="5"/>
      <c r="N396" s="5"/>
    </row>
    <row r="397" ht="14.25" customHeight="1">
      <c r="A397" s="5"/>
      <c r="B397" s="5"/>
      <c r="C397" s="6"/>
      <c r="D397" s="5"/>
      <c r="E397" s="5"/>
      <c r="F397" s="5"/>
      <c r="G397" s="5"/>
      <c r="H397" s="5"/>
      <c r="I397" s="5"/>
      <c r="J397" s="5"/>
      <c r="K397" s="5"/>
      <c r="L397" s="5"/>
      <c r="M397" s="5"/>
      <c r="N397" s="5"/>
    </row>
    <row r="398" ht="14.25" customHeight="1">
      <c r="A398" s="5"/>
      <c r="B398" s="5"/>
      <c r="C398" s="6"/>
      <c r="D398" s="5"/>
      <c r="E398" s="5"/>
      <c r="F398" s="5"/>
      <c r="G398" s="5"/>
      <c r="H398" s="5"/>
      <c r="I398" s="5"/>
      <c r="J398" s="5"/>
      <c r="K398" s="5"/>
      <c r="L398" s="5"/>
      <c r="M398" s="5"/>
      <c r="N398" s="5"/>
    </row>
    <row r="399" ht="14.25" customHeight="1">
      <c r="A399" s="5"/>
      <c r="B399" s="5"/>
      <c r="C399" s="6"/>
      <c r="D399" s="5"/>
      <c r="E399" s="5"/>
      <c r="F399" s="5"/>
      <c r="G399" s="5"/>
      <c r="H399" s="5"/>
      <c r="I399" s="5"/>
      <c r="J399" s="5"/>
      <c r="K399" s="5"/>
      <c r="L399" s="5"/>
      <c r="M399" s="5"/>
      <c r="N399" s="5"/>
    </row>
    <row r="400" ht="14.25" customHeight="1">
      <c r="A400" s="5"/>
      <c r="B400" s="5"/>
      <c r="C400" s="6"/>
      <c r="D400" s="5"/>
      <c r="E400" s="5"/>
      <c r="F400" s="5"/>
      <c r="G400" s="5"/>
      <c r="H400" s="5"/>
      <c r="I400" s="5"/>
      <c r="J400" s="5"/>
      <c r="K400" s="5"/>
      <c r="L400" s="5"/>
      <c r="M400" s="5"/>
      <c r="N400" s="5"/>
    </row>
    <row r="401" ht="14.25" customHeight="1">
      <c r="A401" s="5"/>
      <c r="B401" s="5"/>
      <c r="C401" s="6"/>
      <c r="D401" s="5"/>
      <c r="E401" s="5"/>
      <c r="F401" s="5"/>
      <c r="G401" s="5"/>
      <c r="H401" s="5"/>
      <c r="I401" s="5"/>
      <c r="J401" s="5"/>
      <c r="K401" s="5"/>
      <c r="L401" s="5"/>
      <c r="M401" s="5"/>
      <c r="N401" s="5"/>
    </row>
    <row r="402" ht="14.25" customHeight="1">
      <c r="A402" s="5"/>
      <c r="B402" s="5"/>
      <c r="C402" s="6"/>
      <c r="D402" s="5"/>
      <c r="E402" s="5"/>
      <c r="F402" s="5"/>
      <c r="G402" s="5"/>
      <c r="H402" s="5"/>
      <c r="I402" s="5"/>
      <c r="J402" s="5"/>
      <c r="K402" s="5"/>
      <c r="L402" s="5"/>
      <c r="M402" s="5"/>
      <c r="N402" s="5"/>
    </row>
    <row r="403" ht="14.25" customHeight="1">
      <c r="A403" s="5"/>
      <c r="B403" s="5"/>
      <c r="C403" s="6"/>
      <c r="D403" s="5"/>
      <c r="E403" s="5"/>
      <c r="F403" s="5"/>
      <c r="G403" s="5"/>
      <c r="H403" s="5"/>
      <c r="I403" s="5"/>
      <c r="J403" s="5"/>
      <c r="K403" s="5"/>
      <c r="L403" s="5"/>
      <c r="M403" s="5"/>
      <c r="N403" s="5"/>
    </row>
    <row r="404" ht="14.25" customHeight="1">
      <c r="A404" s="5"/>
      <c r="B404" s="5"/>
      <c r="C404" s="6"/>
      <c r="D404" s="5"/>
      <c r="E404" s="5"/>
      <c r="F404" s="5"/>
      <c r="G404" s="5"/>
      <c r="H404" s="5"/>
      <c r="I404" s="5"/>
      <c r="J404" s="5"/>
      <c r="K404" s="5"/>
      <c r="L404" s="5"/>
      <c r="M404" s="5"/>
      <c r="N404" s="5"/>
    </row>
    <row r="405" ht="14.25" customHeight="1">
      <c r="A405" s="5"/>
      <c r="B405" s="5"/>
      <c r="C405" s="6"/>
      <c r="D405" s="5"/>
      <c r="E405" s="5"/>
      <c r="F405" s="5"/>
      <c r="G405" s="5"/>
      <c r="H405" s="5"/>
      <c r="I405" s="5"/>
      <c r="J405" s="5"/>
      <c r="K405" s="5"/>
      <c r="L405" s="5"/>
      <c r="M405" s="5"/>
      <c r="N405" s="5"/>
    </row>
    <row r="406" ht="14.25" customHeight="1">
      <c r="A406" s="5"/>
      <c r="B406" s="5"/>
      <c r="C406" s="6"/>
      <c r="D406" s="5"/>
      <c r="E406" s="5"/>
      <c r="F406" s="5"/>
      <c r="G406" s="5"/>
      <c r="H406" s="5"/>
      <c r="I406" s="5"/>
      <c r="J406" s="5"/>
      <c r="K406" s="5"/>
      <c r="L406" s="5"/>
      <c r="M406" s="5"/>
      <c r="N406" s="5"/>
    </row>
    <row r="407" ht="14.25" customHeight="1">
      <c r="A407" s="5"/>
      <c r="B407" s="5"/>
      <c r="C407" s="6"/>
      <c r="D407" s="5"/>
      <c r="E407" s="5"/>
      <c r="F407" s="5"/>
      <c r="G407" s="5"/>
      <c r="H407" s="5"/>
      <c r="I407" s="5"/>
      <c r="J407" s="5"/>
      <c r="K407" s="5"/>
      <c r="L407" s="5"/>
      <c r="M407" s="5"/>
      <c r="N407" s="5"/>
    </row>
    <row r="408" ht="14.25" customHeight="1">
      <c r="A408" s="5"/>
      <c r="B408" s="5"/>
      <c r="C408" s="6"/>
      <c r="D408" s="5"/>
      <c r="E408" s="5"/>
      <c r="F408" s="5"/>
      <c r="G408" s="5"/>
      <c r="H408" s="5"/>
      <c r="I408" s="5"/>
      <c r="J408" s="5"/>
      <c r="K408" s="5"/>
      <c r="L408" s="5"/>
      <c r="M408" s="5"/>
      <c r="N408" s="5"/>
    </row>
    <row r="409" ht="14.25" customHeight="1">
      <c r="A409" s="5"/>
      <c r="B409" s="5"/>
      <c r="C409" s="6"/>
      <c r="D409" s="5"/>
      <c r="E409" s="5"/>
      <c r="F409" s="5"/>
      <c r="G409" s="5"/>
      <c r="H409" s="5"/>
      <c r="I409" s="5"/>
      <c r="J409" s="5"/>
      <c r="K409" s="5"/>
      <c r="L409" s="5"/>
      <c r="M409" s="5"/>
      <c r="N409" s="5"/>
    </row>
    <row r="410" ht="14.25" customHeight="1">
      <c r="A410" s="5"/>
      <c r="B410" s="5"/>
      <c r="C410" s="6"/>
      <c r="D410" s="5"/>
      <c r="E410" s="5"/>
      <c r="F410" s="5"/>
      <c r="G410" s="5"/>
      <c r="H410" s="5"/>
      <c r="I410" s="5"/>
      <c r="J410" s="5"/>
      <c r="K410" s="5"/>
      <c r="L410" s="5"/>
      <c r="M410" s="5"/>
      <c r="N410" s="5"/>
    </row>
    <row r="411" ht="14.25" customHeight="1">
      <c r="A411" s="5"/>
      <c r="B411" s="5"/>
      <c r="C411" s="6"/>
      <c r="D411" s="5"/>
      <c r="E411" s="5"/>
      <c r="F411" s="5"/>
      <c r="G411" s="5"/>
      <c r="H411" s="5"/>
      <c r="I411" s="5"/>
      <c r="J411" s="5"/>
      <c r="K411" s="5"/>
      <c r="L411" s="5"/>
      <c r="M411" s="5"/>
      <c r="N411" s="5"/>
    </row>
    <row r="412" ht="14.25" customHeight="1">
      <c r="A412" s="5"/>
      <c r="B412" s="5"/>
      <c r="C412" s="6"/>
      <c r="D412" s="5"/>
      <c r="E412" s="5"/>
      <c r="F412" s="5"/>
      <c r="G412" s="5"/>
      <c r="H412" s="5"/>
      <c r="I412" s="5"/>
      <c r="J412" s="5"/>
      <c r="K412" s="5"/>
      <c r="L412" s="5"/>
      <c r="M412" s="5"/>
      <c r="N412" s="5"/>
    </row>
    <row r="413" ht="14.25" customHeight="1">
      <c r="A413" s="5"/>
      <c r="B413" s="5"/>
      <c r="C413" s="6"/>
      <c r="D413" s="5"/>
      <c r="E413" s="5"/>
      <c r="F413" s="5"/>
      <c r="G413" s="5"/>
      <c r="H413" s="5"/>
      <c r="I413" s="5"/>
      <c r="J413" s="5"/>
      <c r="K413" s="5"/>
      <c r="L413" s="5"/>
      <c r="M413" s="5"/>
      <c r="N413" s="5"/>
    </row>
    <row r="414" ht="14.25" customHeight="1">
      <c r="A414" s="5"/>
      <c r="B414" s="5"/>
      <c r="C414" s="6"/>
      <c r="D414" s="5"/>
      <c r="E414" s="5"/>
      <c r="F414" s="5"/>
      <c r="G414" s="5"/>
      <c r="H414" s="5"/>
      <c r="I414" s="5"/>
      <c r="J414" s="5"/>
      <c r="K414" s="5"/>
      <c r="L414" s="5"/>
      <c r="M414" s="5"/>
      <c r="N414" s="5"/>
    </row>
    <row r="415" ht="14.25" customHeight="1">
      <c r="A415" s="5"/>
      <c r="B415" s="5"/>
      <c r="C415" s="6"/>
      <c r="D415" s="5"/>
      <c r="E415" s="5"/>
      <c r="F415" s="5"/>
      <c r="G415" s="5"/>
      <c r="H415" s="5"/>
      <c r="I415" s="5"/>
      <c r="J415" s="5"/>
      <c r="K415" s="5"/>
      <c r="L415" s="5"/>
      <c r="M415" s="5"/>
      <c r="N415" s="5"/>
    </row>
    <row r="416" ht="14.25" customHeight="1">
      <c r="A416" s="5"/>
      <c r="B416" s="5"/>
      <c r="C416" s="6"/>
      <c r="D416" s="5"/>
      <c r="E416" s="5"/>
      <c r="F416" s="5"/>
      <c r="G416" s="5"/>
      <c r="H416" s="5"/>
      <c r="I416" s="5"/>
      <c r="J416" s="5"/>
      <c r="K416" s="5"/>
      <c r="L416" s="5"/>
      <c r="M416" s="5"/>
      <c r="N416" s="5"/>
    </row>
    <row r="417" ht="14.25" customHeight="1">
      <c r="A417" s="5"/>
      <c r="B417" s="5"/>
      <c r="C417" s="6"/>
      <c r="D417" s="5"/>
      <c r="E417" s="5"/>
      <c r="F417" s="5"/>
      <c r="G417" s="5"/>
      <c r="H417" s="5"/>
      <c r="I417" s="5"/>
      <c r="J417" s="5"/>
      <c r="K417" s="5"/>
      <c r="L417" s="5"/>
      <c r="M417" s="5"/>
      <c r="N417" s="5"/>
    </row>
    <row r="418" ht="14.25" customHeight="1">
      <c r="A418" s="5"/>
      <c r="B418" s="5"/>
      <c r="C418" s="6"/>
      <c r="D418" s="5"/>
      <c r="E418" s="5"/>
      <c r="F418" s="5"/>
      <c r="G418" s="5"/>
      <c r="H418" s="5"/>
      <c r="I418" s="5"/>
      <c r="J418" s="5"/>
      <c r="K418" s="5"/>
      <c r="L418" s="5"/>
      <c r="M418" s="5"/>
      <c r="N418" s="5"/>
    </row>
    <row r="419" ht="14.25" customHeight="1">
      <c r="A419" s="5"/>
      <c r="B419" s="5"/>
      <c r="C419" s="6"/>
      <c r="D419" s="5"/>
      <c r="E419" s="5"/>
      <c r="F419" s="5"/>
      <c r="G419" s="5"/>
      <c r="H419" s="5"/>
      <c r="I419" s="5"/>
      <c r="J419" s="5"/>
      <c r="K419" s="5"/>
      <c r="L419" s="5"/>
      <c r="M419" s="5"/>
      <c r="N419" s="5"/>
    </row>
    <row r="420" ht="14.25" customHeight="1">
      <c r="A420" s="5"/>
      <c r="B420" s="5"/>
      <c r="C420" s="6"/>
      <c r="D420" s="5"/>
      <c r="E420" s="5"/>
      <c r="F420" s="5"/>
      <c r="G420" s="5"/>
      <c r="H420" s="5"/>
      <c r="I420" s="5"/>
      <c r="J420" s="5"/>
      <c r="K420" s="5"/>
      <c r="L420" s="5"/>
      <c r="M420" s="5"/>
      <c r="N420" s="5"/>
    </row>
    <row r="421" ht="14.25" customHeight="1">
      <c r="A421" s="5"/>
      <c r="B421" s="5"/>
      <c r="C421" s="6"/>
      <c r="D421" s="5"/>
      <c r="E421" s="5"/>
      <c r="F421" s="5"/>
      <c r="G421" s="5"/>
      <c r="H421" s="5"/>
      <c r="I421" s="5"/>
      <c r="J421" s="5"/>
      <c r="K421" s="5"/>
      <c r="L421" s="5"/>
      <c r="M421" s="5"/>
      <c r="N421" s="5"/>
    </row>
    <row r="422" ht="14.25" customHeight="1">
      <c r="A422" s="5"/>
      <c r="B422" s="5"/>
      <c r="C422" s="6"/>
      <c r="D422" s="5"/>
      <c r="E422" s="5"/>
      <c r="F422" s="5"/>
      <c r="G422" s="5"/>
      <c r="H422" s="5"/>
      <c r="I422" s="5"/>
      <c r="J422" s="5"/>
      <c r="K422" s="5"/>
      <c r="L422" s="5"/>
      <c r="M422" s="5"/>
      <c r="N422" s="5"/>
    </row>
    <row r="423" ht="14.25" customHeight="1">
      <c r="A423" s="5"/>
      <c r="B423" s="5"/>
      <c r="C423" s="6"/>
      <c r="D423" s="5"/>
      <c r="E423" s="5"/>
      <c r="F423" s="5"/>
      <c r="G423" s="5"/>
      <c r="H423" s="5"/>
      <c r="I423" s="5"/>
      <c r="J423" s="5"/>
      <c r="K423" s="5"/>
      <c r="L423" s="5"/>
      <c r="M423" s="5"/>
      <c r="N423" s="5"/>
    </row>
    <row r="424" ht="14.25" customHeight="1">
      <c r="A424" s="5"/>
      <c r="B424" s="5"/>
      <c r="C424" s="6"/>
      <c r="D424" s="5"/>
      <c r="E424" s="5"/>
      <c r="F424" s="5"/>
      <c r="G424" s="5"/>
      <c r="H424" s="5"/>
      <c r="I424" s="5"/>
      <c r="J424" s="5"/>
      <c r="K424" s="5"/>
      <c r="L424" s="5"/>
      <c r="M424" s="5"/>
      <c r="N424" s="5"/>
    </row>
    <row r="425" ht="14.25" customHeight="1">
      <c r="A425" s="5"/>
      <c r="B425" s="5"/>
      <c r="C425" s="6"/>
      <c r="D425" s="5"/>
      <c r="E425" s="5"/>
      <c r="F425" s="5"/>
      <c r="G425" s="5"/>
      <c r="H425" s="5"/>
      <c r="I425" s="5"/>
      <c r="J425" s="5"/>
      <c r="K425" s="5"/>
      <c r="L425" s="5"/>
      <c r="M425" s="5"/>
      <c r="N425" s="5"/>
    </row>
    <row r="426" ht="14.25" customHeight="1">
      <c r="A426" s="5"/>
      <c r="B426" s="5"/>
      <c r="C426" s="6"/>
      <c r="D426" s="5"/>
      <c r="E426" s="5"/>
      <c r="F426" s="5"/>
      <c r="G426" s="5"/>
      <c r="H426" s="5"/>
      <c r="I426" s="5"/>
      <c r="J426" s="5"/>
      <c r="K426" s="5"/>
      <c r="L426" s="5"/>
      <c r="M426" s="5"/>
      <c r="N426" s="5"/>
    </row>
    <row r="427" ht="14.25" customHeight="1">
      <c r="A427" s="5"/>
      <c r="B427" s="5"/>
      <c r="C427" s="6"/>
      <c r="D427" s="5"/>
      <c r="E427" s="5"/>
      <c r="F427" s="5"/>
      <c r="G427" s="5"/>
      <c r="H427" s="5"/>
      <c r="I427" s="5"/>
      <c r="J427" s="5"/>
      <c r="K427" s="5"/>
      <c r="L427" s="5"/>
      <c r="M427" s="5"/>
      <c r="N427" s="5"/>
    </row>
    <row r="428" ht="14.25" customHeight="1">
      <c r="A428" s="5"/>
      <c r="B428" s="5"/>
      <c r="C428" s="6"/>
      <c r="D428" s="5"/>
      <c r="E428" s="5"/>
      <c r="F428" s="5"/>
      <c r="G428" s="5"/>
      <c r="H428" s="5"/>
      <c r="I428" s="5"/>
      <c r="J428" s="5"/>
      <c r="K428" s="5"/>
      <c r="L428" s="5"/>
      <c r="M428" s="5"/>
      <c r="N428" s="5"/>
    </row>
    <row r="429" ht="14.25" customHeight="1">
      <c r="A429" s="5"/>
      <c r="B429" s="5"/>
      <c r="C429" s="6"/>
      <c r="D429" s="5"/>
      <c r="E429" s="5"/>
      <c r="F429" s="5"/>
      <c r="G429" s="5"/>
      <c r="H429" s="5"/>
      <c r="I429" s="5"/>
      <c r="J429" s="5"/>
      <c r="K429" s="5"/>
      <c r="L429" s="5"/>
      <c r="M429" s="5"/>
      <c r="N429" s="5"/>
    </row>
    <row r="430" ht="14.25" customHeight="1">
      <c r="A430" s="5"/>
      <c r="B430" s="5"/>
      <c r="C430" s="6"/>
      <c r="D430" s="5"/>
      <c r="E430" s="5"/>
      <c r="F430" s="5"/>
      <c r="G430" s="5"/>
      <c r="H430" s="5"/>
      <c r="I430" s="5"/>
      <c r="J430" s="5"/>
      <c r="K430" s="5"/>
      <c r="L430" s="5"/>
      <c r="M430" s="5"/>
      <c r="N430" s="5"/>
    </row>
    <row r="431" ht="14.25" customHeight="1">
      <c r="A431" s="5"/>
      <c r="B431" s="5"/>
      <c r="C431" s="6"/>
      <c r="D431" s="5"/>
      <c r="E431" s="5"/>
      <c r="F431" s="5"/>
      <c r="G431" s="5"/>
      <c r="H431" s="5"/>
      <c r="I431" s="5"/>
      <c r="J431" s="5"/>
      <c r="K431" s="5"/>
      <c r="L431" s="5"/>
      <c r="M431" s="5"/>
      <c r="N431" s="5"/>
    </row>
    <row r="432" ht="14.25" customHeight="1">
      <c r="A432" s="5"/>
      <c r="B432" s="5"/>
      <c r="C432" s="6"/>
      <c r="D432" s="5"/>
      <c r="E432" s="5"/>
      <c r="F432" s="5"/>
      <c r="G432" s="5"/>
      <c r="H432" s="5"/>
      <c r="I432" s="5"/>
      <c r="J432" s="5"/>
      <c r="K432" s="5"/>
      <c r="L432" s="5"/>
      <c r="M432" s="5"/>
      <c r="N432" s="5"/>
    </row>
    <row r="433" ht="14.25" customHeight="1">
      <c r="A433" s="5"/>
      <c r="B433" s="5"/>
      <c r="C433" s="6"/>
      <c r="D433" s="5"/>
      <c r="E433" s="5"/>
      <c r="F433" s="5"/>
      <c r="G433" s="5"/>
      <c r="H433" s="5"/>
      <c r="I433" s="5"/>
      <c r="J433" s="5"/>
      <c r="K433" s="5"/>
      <c r="L433" s="5"/>
      <c r="M433" s="5"/>
      <c r="N433" s="5"/>
    </row>
    <row r="434" ht="14.25" customHeight="1">
      <c r="A434" s="5"/>
      <c r="B434" s="5"/>
      <c r="C434" s="6"/>
      <c r="D434" s="5"/>
      <c r="E434" s="5"/>
      <c r="F434" s="5"/>
      <c r="G434" s="5"/>
      <c r="H434" s="5"/>
      <c r="I434" s="5"/>
      <c r="J434" s="5"/>
      <c r="K434" s="5"/>
      <c r="L434" s="5"/>
      <c r="M434" s="5"/>
      <c r="N434" s="5"/>
    </row>
    <row r="435" ht="14.25" customHeight="1">
      <c r="A435" s="5"/>
      <c r="B435" s="5"/>
      <c r="C435" s="6"/>
      <c r="D435" s="5"/>
      <c r="E435" s="5"/>
      <c r="F435" s="5"/>
      <c r="G435" s="5"/>
      <c r="H435" s="5"/>
      <c r="I435" s="5"/>
      <c r="J435" s="5"/>
      <c r="K435" s="5"/>
      <c r="L435" s="5"/>
      <c r="M435" s="5"/>
      <c r="N435" s="5"/>
    </row>
    <row r="436" ht="14.25" customHeight="1">
      <c r="A436" s="5"/>
      <c r="B436" s="5"/>
      <c r="C436" s="6"/>
      <c r="D436" s="5"/>
      <c r="E436" s="5"/>
      <c r="F436" s="5"/>
      <c r="G436" s="5"/>
      <c r="H436" s="5"/>
      <c r="I436" s="5"/>
      <c r="J436" s="5"/>
      <c r="K436" s="5"/>
      <c r="L436" s="5"/>
      <c r="M436" s="5"/>
      <c r="N436" s="5"/>
    </row>
    <row r="437" ht="14.25" customHeight="1">
      <c r="A437" s="5"/>
      <c r="B437" s="5"/>
      <c r="C437" s="6"/>
      <c r="D437" s="5"/>
      <c r="E437" s="5"/>
      <c r="F437" s="5"/>
      <c r="G437" s="5"/>
      <c r="H437" s="5"/>
      <c r="I437" s="5"/>
      <c r="J437" s="5"/>
      <c r="K437" s="5"/>
      <c r="L437" s="5"/>
      <c r="M437" s="5"/>
      <c r="N437" s="5"/>
    </row>
    <row r="438" ht="14.25" customHeight="1">
      <c r="A438" s="5"/>
      <c r="B438" s="5"/>
      <c r="C438" s="6"/>
      <c r="D438" s="5"/>
      <c r="E438" s="5"/>
      <c r="F438" s="5"/>
      <c r="G438" s="5"/>
      <c r="H438" s="5"/>
      <c r="I438" s="5"/>
      <c r="J438" s="5"/>
      <c r="K438" s="5"/>
      <c r="L438" s="5"/>
      <c r="M438" s="5"/>
      <c r="N438" s="5"/>
    </row>
    <row r="439" ht="14.25" customHeight="1">
      <c r="A439" s="5"/>
      <c r="B439" s="5"/>
      <c r="C439" s="6"/>
      <c r="D439" s="5"/>
      <c r="E439" s="5"/>
      <c r="F439" s="5"/>
      <c r="G439" s="5"/>
      <c r="H439" s="5"/>
      <c r="I439" s="5"/>
      <c r="J439" s="5"/>
      <c r="K439" s="5"/>
      <c r="L439" s="5"/>
      <c r="M439" s="5"/>
      <c r="N439" s="5"/>
    </row>
    <row r="440" ht="14.25" customHeight="1">
      <c r="A440" s="5"/>
      <c r="B440" s="5"/>
      <c r="C440" s="6"/>
      <c r="D440" s="5"/>
      <c r="E440" s="5"/>
      <c r="F440" s="5"/>
      <c r="G440" s="5"/>
      <c r="H440" s="5"/>
      <c r="I440" s="5"/>
      <c r="J440" s="5"/>
      <c r="K440" s="5"/>
      <c r="L440" s="5"/>
      <c r="M440" s="5"/>
      <c r="N440" s="5"/>
    </row>
    <row r="441" ht="14.25" customHeight="1">
      <c r="A441" s="5"/>
      <c r="B441" s="5"/>
      <c r="C441" s="6"/>
      <c r="D441" s="5"/>
      <c r="E441" s="5"/>
      <c r="F441" s="5"/>
      <c r="G441" s="5"/>
      <c r="H441" s="5"/>
      <c r="I441" s="5"/>
      <c r="J441" s="5"/>
      <c r="K441" s="5"/>
      <c r="L441" s="5"/>
      <c r="M441" s="5"/>
      <c r="N441" s="5"/>
    </row>
    <row r="442" ht="14.25" customHeight="1">
      <c r="A442" s="5"/>
      <c r="B442" s="5"/>
      <c r="C442" s="6"/>
      <c r="D442" s="5"/>
      <c r="E442" s="5"/>
      <c r="F442" s="5"/>
      <c r="G442" s="5"/>
      <c r="H442" s="5"/>
      <c r="I442" s="5"/>
      <c r="J442" s="5"/>
      <c r="K442" s="5"/>
      <c r="L442" s="5"/>
      <c r="M442" s="5"/>
      <c r="N442" s="5"/>
    </row>
    <row r="443" ht="14.25" customHeight="1">
      <c r="A443" s="5"/>
      <c r="B443" s="5"/>
      <c r="C443" s="6"/>
      <c r="D443" s="5"/>
      <c r="E443" s="5"/>
      <c r="F443" s="5"/>
      <c r="G443" s="5"/>
      <c r="H443" s="5"/>
      <c r="I443" s="5"/>
      <c r="J443" s="5"/>
      <c r="K443" s="5"/>
      <c r="L443" s="5"/>
      <c r="M443" s="5"/>
      <c r="N443" s="5"/>
    </row>
    <row r="444" ht="14.25" customHeight="1">
      <c r="A444" s="5"/>
      <c r="B444" s="5"/>
      <c r="C444" s="6"/>
      <c r="D444" s="5"/>
      <c r="E444" s="5"/>
      <c r="F444" s="5"/>
      <c r="G444" s="5"/>
      <c r="H444" s="5"/>
      <c r="I444" s="5"/>
      <c r="J444" s="5"/>
      <c r="K444" s="5"/>
      <c r="L444" s="5"/>
      <c r="M444" s="5"/>
      <c r="N444" s="5"/>
    </row>
    <row r="445" ht="14.25" customHeight="1">
      <c r="A445" s="5"/>
      <c r="B445" s="5"/>
      <c r="C445" s="6"/>
      <c r="D445" s="5"/>
      <c r="E445" s="5"/>
      <c r="F445" s="5"/>
      <c r="G445" s="5"/>
      <c r="H445" s="5"/>
      <c r="I445" s="5"/>
      <c r="J445" s="5"/>
      <c r="K445" s="5"/>
      <c r="L445" s="5"/>
      <c r="M445" s="5"/>
      <c r="N445" s="5"/>
    </row>
    <row r="446" ht="14.25" customHeight="1">
      <c r="A446" s="5"/>
      <c r="B446" s="5"/>
      <c r="C446" s="6"/>
      <c r="D446" s="5"/>
      <c r="E446" s="5"/>
      <c r="F446" s="5"/>
      <c r="G446" s="5"/>
      <c r="H446" s="5"/>
      <c r="I446" s="5"/>
      <c r="J446" s="5"/>
      <c r="K446" s="5"/>
      <c r="L446" s="5"/>
      <c r="M446" s="5"/>
      <c r="N446" s="5"/>
    </row>
    <row r="447" ht="14.25" customHeight="1">
      <c r="A447" s="5"/>
      <c r="B447" s="5"/>
      <c r="C447" s="6"/>
      <c r="D447" s="5"/>
      <c r="E447" s="5"/>
      <c r="F447" s="5"/>
      <c r="G447" s="5"/>
      <c r="H447" s="5"/>
      <c r="I447" s="5"/>
      <c r="J447" s="5"/>
      <c r="K447" s="5"/>
      <c r="L447" s="5"/>
      <c r="M447" s="5"/>
      <c r="N447" s="5"/>
    </row>
    <row r="448" ht="14.25" customHeight="1">
      <c r="A448" s="5"/>
      <c r="B448" s="5"/>
      <c r="C448" s="6"/>
      <c r="D448" s="5"/>
      <c r="E448" s="5"/>
      <c r="F448" s="5"/>
      <c r="G448" s="5"/>
      <c r="H448" s="5"/>
      <c r="I448" s="5"/>
      <c r="J448" s="5"/>
      <c r="K448" s="5"/>
      <c r="L448" s="5"/>
      <c r="M448" s="5"/>
      <c r="N448" s="5"/>
    </row>
    <row r="449" ht="14.25" customHeight="1">
      <c r="A449" s="5"/>
      <c r="B449" s="5"/>
      <c r="C449" s="6"/>
      <c r="D449" s="5"/>
      <c r="E449" s="5"/>
      <c r="F449" s="5"/>
      <c r="G449" s="5"/>
      <c r="H449" s="5"/>
      <c r="I449" s="5"/>
      <c r="J449" s="5"/>
      <c r="K449" s="5"/>
      <c r="L449" s="5"/>
      <c r="M449" s="5"/>
      <c r="N449" s="5"/>
    </row>
    <row r="450" ht="14.25" customHeight="1">
      <c r="A450" s="5"/>
      <c r="B450" s="5"/>
      <c r="C450" s="6"/>
      <c r="D450" s="5"/>
      <c r="E450" s="5"/>
      <c r="F450" s="5"/>
      <c r="G450" s="5"/>
      <c r="H450" s="5"/>
      <c r="I450" s="5"/>
      <c r="J450" s="5"/>
      <c r="K450" s="5"/>
      <c r="L450" s="5"/>
      <c r="M450" s="5"/>
      <c r="N450" s="5"/>
    </row>
    <row r="451" ht="14.25" customHeight="1">
      <c r="A451" s="5"/>
      <c r="B451" s="5"/>
      <c r="C451" s="6"/>
      <c r="D451" s="5"/>
      <c r="E451" s="5"/>
      <c r="F451" s="5"/>
      <c r="G451" s="5"/>
      <c r="H451" s="5"/>
      <c r="I451" s="5"/>
      <c r="J451" s="5"/>
      <c r="K451" s="5"/>
      <c r="L451" s="5"/>
      <c r="M451" s="5"/>
      <c r="N451" s="5"/>
    </row>
    <row r="452" ht="14.25" customHeight="1">
      <c r="A452" s="5"/>
      <c r="B452" s="5"/>
      <c r="C452" s="6"/>
      <c r="D452" s="5"/>
      <c r="E452" s="5"/>
      <c r="F452" s="5"/>
      <c r="G452" s="5"/>
      <c r="H452" s="5"/>
      <c r="I452" s="5"/>
      <c r="J452" s="5"/>
      <c r="K452" s="5"/>
      <c r="L452" s="5"/>
      <c r="M452" s="5"/>
      <c r="N452" s="5"/>
    </row>
    <row r="453" ht="14.25" customHeight="1">
      <c r="A453" s="5"/>
      <c r="B453" s="5"/>
      <c r="C453" s="6"/>
      <c r="D453" s="5"/>
      <c r="E453" s="5"/>
      <c r="F453" s="5"/>
      <c r="G453" s="5"/>
      <c r="H453" s="5"/>
      <c r="I453" s="5"/>
      <c r="J453" s="5"/>
      <c r="K453" s="5"/>
      <c r="L453" s="5"/>
      <c r="M453" s="5"/>
      <c r="N453" s="5"/>
    </row>
    <row r="454" ht="14.25" customHeight="1">
      <c r="A454" s="5"/>
      <c r="B454" s="5"/>
      <c r="C454" s="6"/>
      <c r="D454" s="5"/>
      <c r="E454" s="5"/>
      <c r="F454" s="5"/>
      <c r="G454" s="5"/>
      <c r="H454" s="5"/>
      <c r="I454" s="5"/>
      <c r="J454" s="5"/>
      <c r="K454" s="5"/>
      <c r="L454" s="5"/>
      <c r="M454" s="5"/>
      <c r="N454" s="5"/>
    </row>
    <row r="455" ht="14.25" customHeight="1">
      <c r="A455" s="5"/>
      <c r="B455" s="5"/>
      <c r="C455" s="6"/>
      <c r="D455" s="5"/>
      <c r="E455" s="5"/>
      <c r="F455" s="5"/>
      <c r="G455" s="5"/>
      <c r="H455" s="5"/>
      <c r="I455" s="5"/>
      <c r="J455" s="5"/>
      <c r="K455" s="5"/>
      <c r="L455" s="5"/>
      <c r="M455" s="5"/>
      <c r="N455" s="5"/>
    </row>
    <row r="456" ht="14.25" customHeight="1">
      <c r="A456" s="5"/>
      <c r="B456" s="5"/>
      <c r="C456" s="6"/>
      <c r="D456" s="5"/>
      <c r="E456" s="5"/>
      <c r="F456" s="5"/>
      <c r="G456" s="5"/>
      <c r="H456" s="5"/>
      <c r="I456" s="5"/>
      <c r="J456" s="5"/>
      <c r="K456" s="5"/>
      <c r="L456" s="5"/>
      <c r="M456" s="5"/>
      <c r="N456" s="5"/>
    </row>
    <row r="457" ht="14.25" customHeight="1">
      <c r="A457" s="5"/>
      <c r="B457" s="5"/>
      <c r="C457" s="6"/>
      <c r="D457" s="5"/>
      <c r="E457" s="5"/>
      <c r="F457" s="5"/>
      <c r="G457" s="5"/>
      <c r="H457" s="5"/>
      <c r="I457" s="5"/>
      <c r="J457" s="5"/>
      <c r="K457" s="5"/>
      <c r="L457" s="5"/>
      <c r="M457" s="5"/>
      <c r="N457" s="5"/>
    </row>
    <row r="458" ht="14.25" customHeight="1">
      <c r="A458" s="5"/>
      <c r="B458" s="5"/>
      <c r="C458" s="6"/>
      <c r="D458" s="5"/>
      <c r="E458" s="5"/>
      <c r="F458" s="5"/>
      <c r="G458" s="5"/>
      <c r="H458" s="5"/>
      <c r="I458" s="5"/>
      <c r="J458" s="5"/>
      <c r="K458" s="5"/>
      <c r="L458" s="5"/>
      <c r="M458" s="5"/>
      <c r="N458" s="5"/>
    </row>
    <row r="459" ht="14.25" customHeight="1">
      <c r="A459" s="5"/>
      <c r="B459" s="5"/>
      <c r="C459" s="6"/>
      <c r="D459" s="5"/>
      <c r="E459" s="5"/>
      <c r="F459" s="5"/>
      <c r="G459" s="5"/>
      <c r="H459" s="5"/>
      <c r="I459" s="5"/>
      <c r="J459" s="5"/>
      <c r="K459" s="5"/>
      <c r="L459" s="5"/>
      <c r="M459" s="5"/>
      <c r="N459" s="5"/>
    </row>
    <row r="460" ht="14.25" customHeight="1">
      <c r="A460" s="5"/>
      <c r="B460" s="5"/>
      <c r="C460" s="6"/>
      <c r="D460" s="5"/>
      <c r="E460" s="5"/>
      <c r="F460" s="5"/>
      <c r="G460" s="5"/>
      <c r="H460" s="5"/>
      <c r="I460" s="5"/>
      <c r="J460" s="5"/>
      <c r="K460" s="5"/>
      <c r="L460" s="5"/>
      <c r="M460" s="5"/>
      <c r="N460" s="5"/>
    </row>
    <row r="461" ht="14.25" customHeight="1">
      <c r="A461" s="5"/>
      <c r="B461" s="5"/>
      <c r="C461" s="6"/>
      <c r="D461" s="5"/>
      <c r="E461" s="5"/>
      <c r="F461" s="5"/>
      <c r="G461" s="5"/>
      <c r="H461" s="5"/>
      <c r="I461" s="5"/>
      <c r="J461" s="5"/>
      <c r="K461" s="5"/>
      <c r="L461" s="5"/>
      <c r="M461" s="5"/>
      <c r="N461" s="5"/>
    </row>
    <row r="462" ht="14.25" customHeight="1">
      <c r="A462" s="5"/>
      <c r="B462" s="5"/>
      <c r="C462" s="6"/>
      <c r="D462" s="5"/>
      <c r="E462" s="5"/>
      <c r="F462" s="5"/>
      <c r="G462" s="5"/>
      <c r="H462" s="5"/>
      <c r="I462" s="5"/>
      <c r="J462" s="5"/>
      <c r="K462" s="5"/>
      <c r="L462" s="5"/>
      <c r="M462" s="5"/>
      <c r="N462" s="5"/>
    </row>
    <row r="463" ht="14.25" customHeight="1">
      <c r="A463" s="5"/>
      <c r="B463" s="5"/>
      <c r="C463" s="6"/>
      <c r="D463" s="5"/>
      <c r="E463" s="5"/>
      <c r="F463" s="5"/>
      <c r="G463" s="5"/>
      <c r="H463" s="5"/>
      <c r="I463" s="5"/>
      <c r="J463" s="5"/>
      <c r="K463" s="5"/>
      <c r="L463" s="5"/>
      <c r="M463" s="5"/>
      <c r="N463" s="5"/>
    </row>
    <row r="464" ht="14.25" customHeight="1">
      <c r="A464" s="5"/>
      <c r="B464" s="5"/>
      <c r="C464" s="6"/>
      <c r="D464" s="5"/>
      <c r="E464" s="5"/>
      <c r="F464" s="5"/>
      <c r="G464" s="5"/>
      <c r="H464" s="5"/>
      <c r="I464" s="5"/>
      <c r="J464" s="5"/>
      <c r="K464" s="5"/>
      <c r="L464" s="5"/>
      <c r="M464" s="5"/>
      <c r="N464" s="5"/>
    </row>
    <row r="465" ht="14.25" customHeight="1">
      <c r="A465" s="5"/>
      <c r="B465" s="5"/>
      <c r="C465" s="6"/>
      <c r="D465" s="5"/>
      <c r="E465" s="5"/>
      <c r="F465" s="5"/>
      <c r="G465" s="5"/>
      <c r="H465" s="5"/>
      <c r="I465" s="5"/>
      <c r="J465" s="5"/>
      <c r="K465" s="5"/>
      <c r="L465" s="5"/>
      <c r="M465" s="5"/>
      <c r="N465" s="5"/>
    </row>
    <row r="466" ht="14.25" customHeight="1">
      <c r="A466" s="5"/>
      <c r="B466" s="5"/>
      <c r="C466" s="6"/>
      <c r="D466" s="5"/>
      <c r="E466" s="5"/>
      <c r="F466" s="5"/>
      <c r="G466" s="5"/>
      <c r="H466" s="5"/>
      <c r="I466" s="5"/>
      <c r="J466" s="5"/>
      <c r="K466" s="5"/>
      <c r="L466" s="5"/>
      <c r="M466" s="5"/>
      <c r="N466" s="5"/>
    </row>
    <row r="467" ht="14.25" customHeight="1">
      <c r="A467" s="5"/>
      <c r="B467" s="5"/>
      <c r="C467" s="6"/>
      <c r="D467" s="5"/>
      <c r="E467" s="5"/>
      <c r="F467" s="5"/>
      <c r="G467" s="5"/>
      <c r="H467" s="5"/>
      <c r="I467" s="5"/>
      <c r="J467" s="5"/>
      <c r="K467" s="5"/>
      <c r="L467" s="5"/>
      <c r="M467" s="5"/>
      <c r="N467" s="5"/>
    </row>
    <row r="468" ht="14.25" customHeight="1">
      <c r="A468" s="5"/>
      <c r="B468" s="5"/>
      <c r="C468" s="6"/>
      <c r="D468" s="5"/>
      <c r="E468" s="5"/>
      <c r="F468" s="5"/>
      <c r="G468" s="5"/>
      <c r="H468" s="5"/>
      <c r="I468" s="5"/>
      <c r="J468" s="5"/>
      <c r="K468" s="5"/>
      <c r="L468" s="5"/>
      <c r="M468" s="5"/>
      <c r="N468" s="5"/>
    </row>
    <row r="469" ht="14.25" customHeight="1">
      <c r="A469" s="5"/>
      <c r="B469" s="5"/>
      <c r="C469" s="6"/>
      <c r="D469" s="5"/>
      <c r="E469" s="5"/>
      <c r="F469" s="5"/>
      <c r="G469" s="5"/>
      <c r="H469" s="5"/>
      <c r="I469" s="5"/>
      <c r="J469" s="5"/>
      <c r="K469" s="5"/>
      <c r="L469" s="5"/>
      <c r="M469" s="5"/>
      <c r="N469" s="5"/>
    </row>
    <row r="470" ht="14.25" customHeight="1">
      <c r="A470" s="5"/>
      <c r="B470" s="5"/>
      <c r="C470" s="6"/>
      <c r="D470" s="5"/>
      <c r="E470" s="5"/>
      <c r="F470" s="5"/>
      <c r="G470" s="5"/>
      <c r="H470" s="5"/>
      <c r="I470" s="5"/>
      <c r="J470" s="5"/>
      <c r="K470" s="5"/>
      <c r="L470" s="5"/>
      <c r="M470" s="5"/>
      <c r="N470" s="5"/>
    </row>
    <row r="471" ht="14.25" customHeight="1">
      <c r="A471" s="5"/>
      <c r="B471" s="5"/>
      <c r="C471" s="6"/>
      <c r="D471" s="5"/>
      <c r="E471" s="5"/>
      <c r="F471" s="5"/>
      <c r="G471" s="5"/>
      <c r="H471" s="5"/>
      <c r="I471" s="5"/>
      <c r="J471" s="5"/>
      <c r="K471" s="5"/>
      <c r="L471" s="5"/>
      <c r="M471" s="5"/>
      <c r="N471" s="5"/>
    </row>
    <row r="472" ht="14.25" customHeight="1">
      <c r="A472" s="5"/>
      <c r="B472" s="5"/>
      <c r="C472" s="6"/>
      <c r="D472" s="5"/>
      <c r="E472" s="5"/>
      <c r="F472" s="5"/>
      <c r="G472" s="5"/>
      <c r="H472" s="5"/>
      <c r="I472" s="5"/>
      <c r="J472" s="5"/>
      <c r="K472" s="5"/>
      <c r="L472" s="5"/>
      <c r="M472" s="5"/>
      <c r="N472" s="5"/>
    </row>
    <row r="473" ht="14.25" customHeight="1">
      <c r="A473" s="5"/>
      <c r="B473" s="5"/>
      <c r="C473" s="6"/>
      <c r="D473" s="5"/>
      <c r="E473" s="5"/>
      <c r="F473" s="5"/>
      <c r="G473" s="5"/>
      <c r="H473" s="5"/>
      <c r="I473" s="5"/>
      <c r="J473" s="5"/>
      <c r="K473" s="5"/>
      <c r="L473" s="5"/>
      <c r="M473" s="5"/>
      <c r="N473" s="5"/>
    </row>
    <row r="474" ht="14.25" customHeight="1">
      <c r="A474" s="5"/>
      <c r="B474" s="5"/>
      <c r="C474" s="6"/>
      <c r="D474" s="5"/>
      <c r="E474" s="5"/>
      <c r="F474" s="5"/>
      <c r="G474" s="5"/>
      <c r="H474" s="5"/>
      <c r="I474" s="5"/>
      <c r="J474" s="5"/>
      <c r="K474" s="5"/>
      <c r="L474" s="5"/>
      <c r="M474" s="5"/>
      <c r="N474" s="5"/>
    </row>
    <row r="475" ht="14.25" customHeight="1">
      <c r="A475" s="5"/>
      <c r="B475" s="5"/>
      <c r="C475" s="6"/>
      <c r="D475" s="5"/>
      <c r="E475" s="5"/>
      <c r="F475" s="5"/>
      <c r="G475" s="5"/>
      <c r="H475" s="5"/>
      <c r="I475" s="5"/>
      <c r="J475" s="5"/>
      <c r="K475" s="5"/>
      <c r="L475" s="5"/>
      <c r="M475" s="5"/>
      <c r="N475" s="5"/>
    </row>
    <row r="476" ht="14.25" customHeight="1">
      <c r="A476" s="5"/>
      <c r="B476" s="5"/>
      <c r="C476" s="6"/>
      <c r="D476" s="5"/>
      <c r="E476" s="5"/>
      <c r="F476" s="5"/>
      <c r="G476" s="5"/>
      <c r="H476" s="5"/>
      <c r="I476" s="5"/>
      <c r="J476" s="5"/>
      <c r="K476" s="5"/>
      <c r="L476" s="5"/>
      <c r="M476" s="5"/>
      <c r="N476" s="5"/>
    </row>
    <row r="477" ht="14.25" customHeight="1">
      <c r="A477" s="5"/>
      <c r="B477" s="5"/>
      <c r="C477" s="6"/>
      <c r="D477" s="5"/>
      <c r="E477" s="5"/>
      <c r="F477" s="5"/>
      <c r="G477" s="5"/>
      <c r="H477" s="5"/>
      <c r="I477" s="5"/>
      <c r="J477" s="5"/>
      <c r="K477" s="5"/>
      <c r="L477" s="5"/>
      <c r="M477" s="5"/>
      <c r="N477" s="5"/>
    </row>
    <row r="478" ht="14.25" customHeight="1">
      <c r="A478" s="5"/>
      <c r="B478" s="5"/>
      <c r="C478" s="6"/>
      <c r="D478" s="5"/>
      <c r="E478" s="5"/>
      <c r="F478" s="5"/>
      <c r="G478" s="5"/>
      <c r="H478" s="5"/>
      <c r="I478" s="5"/>
      <c r="J478" s="5"/>
      <c r="K478" s="5"/>
      <c r="L478" s="5"/>
      <c r="M478" s="5"/>
      <c r="N478" s="5"/>
    </row>
    <row r="479" ht="14.25" customHeight="1">
      <c r="A479" s="5"/>
      <c r="B479" s="5"/>
      <c r="C479" s="6"/>
      <c r="D479" s="5"/>
      <c r="E479" s="5"/>
      <c r="F479" s="5"/>
      <c r="G479" s="5"/>
      <c r="H479" s="5"/>
      <c r="I479" s="5"/>
      <c r="J479" s="5"/>
      <c r="K479" s="5"/>
      <c r="L479" s="5"/>
      <c r="M479" s="5"/>
      <c r="N479" s="5"/>
    </row>
    <row r="480" ht="14.25" customHeight="1">
      <c r="A480" s="5"/>
      <c r="B480" s="5"/>
      <c r="C480" s="6"/>
      <c r="D480" s="5"/>
      <c r="E480" s="5"/>
      <c r="F480" s="5"/>
      <c r="G480" s="5"/>
      <c r="H480" s="5"/>
      <c r="I480" s="5"/>
      <c r="J480" s="5"/>
      <c r="K480" s="5"/>
      <c r="L480" s="5"/>
      <c r="M480" s="5"/>
      <c r="N480" s="5"/>
    </row>
    <row r="481" ht="14.25" customHeight="1">
      <c r="A481" s="5"/>
      <c r="B481" s="5"/>
      <c r="C481" s="6"/>
      <c r="D481" s="5"/>
      <c r="E481" s="5"/>
      <c r="F481" s="5"/>
      <c r="G481" s="5"/>
      <c r="H481" s="5"/>
      <c r="I481" s="5"/>
      <c r="J481" s="5"/>
      <c r="K481" s="5"/>
      <c r="L481" s="5"/>
      <c r="M481" s="5"/>
      <c r="N481" s="5"/>
    </row>
    <row r="482" ht="14.25" customHeight="1">
      <c r="A482" s="5"/>
      <c r="B482" s="5"/>
      <c r="C482" s="6"/>
      <c r="D482" s="5"/>
      <c r="E482" s="5"/>
      <c r="F482" s="5"/>
      <c r="G482" s="5"/>
      <c r="H482" s="5"/>
      <c r="I482" s="5"/>
      <c r="J482" s="5"/>
      <c r="K482" s="5"/>
      <c r="L482" s="5"/>
      <c r="M482" s="5"/>
      <c r="N482" s="5"/>
    </row>
    <row r="483" ht="14.25" customHeight="1">
      <c r="A483" s="5"/>
      <c r="B483" s="5"/>
      <c r="C483" s="6"/>
      <c r="D483" s="5"/>
      <c r="E483" s="5"/>
      <c r="F483" s="5"/>
      <c r="G483" s="5"/>
      <c r="H483" s="5"/>
      <c r="I483" s="5"/>
      <c r="J483" s="5"/>
      <c r="K483" s="5"/>
      <c r="L483" s="5"/>
      <c r="M483" s="5"/>
      <c r="N483" s="5"/>
    </row>
    <row r="484" ht="14.25" customHeight="1">
      <c r="A484" s="5"/>
      <c r="B484" s="5"/>
      <c r="C484" s="6"/>
      <c r="D484" s="5"/>
      <c r="E484" s="5"/>
      <c r="F484" s="5"/>
      <c r="G484" s="5"/>
      <c r="H484" s="5"/>
      <c r="I484" s="5"/>
      <c r="J484" s="5"/>
      <c r="K484" s="5"/>
      <c r="L484" s="5"/>
      <c r="M484" s="5"/>
      <c r="N484" s="5"/>
    </row>
    <row r="485" ht="14.25" customHeight="1">
      <c r="A485" s="5"/>
      <c r="B485" s="5"/>
      <c r="C485" s="6"/>
      <c r="D485" s="5"/>
      <c r="E485" s="5"/>
      <c r="F485" s="5"/>
      <c r="G485" s="5"/>
      <c r="H485" s="5"/>
      <c r="I485" s="5"/>
      <c r="J485" s="5"/>
      <c r="K485" s="5"/>
      <c r="L485" s="5"/>
      <c r="M485" s="5"/>
      <c r="N485" s="5"/>
    </row>
    <row r="486" ht="14.25" customHeight="1">
      <c r="A486" s="5"/>
      <c r="B486" s="5"/>
      <c r="C486" s="6"/>
      <c r="D486" s="5"/>
      <c r="E486" s="5"/>
      <c r="F486" s="5"/>
      <c r="G486" s="5"/>
      <c r="H486" s="5"/>
      <c r="I486" s="5"/>
      <c r="J486" s="5"/>
      <c r="K486" s="5"/>
      <c r="L486" s="5"/>
      <c r="M486" s="5"/>
      <c r="N486" s="5"/>
    </row>
    <row r="487" ht="14.25" customHeight="1">
      <c r="A487" s="5"/>
      <c r="B487" s="5"/>
      <c r="C487" s="6"/>
      <c r="D487" s="5"/>
      <c r="E487" s="5"/>
      <c r="F487" s="5"/>
      <c r="G487" s="5"/>
      <c r="H487" s="5"/>
      <c r="I487" s="5"/>
      <c r="J487" s="5"/>
      <c r="K487" s="5"/>
      <c r="L487" s="5"/>
      <c r="M487" s="5"/>
      <c r="N487" s="5"/>
    </row>
    <row r="488" ht="14.25" customHeight="1">
      <c r="A488" s="5"/>
      <c r="B488" s="5"/>
      <c r="C488" s="6"/>
      <c r="D488" s="5"/>
      <c r="E488" s="5"/>
      <c r="F488" s="5"/>
      <c r="G488" s="5"/>
      <c r="H488" s="5"/>
      <c r="I488" s="5"/>
      <c r="J488" s="5"/>
      <c r="K488" s="5"/>
      <c r="L488" s="5"/>
      <c r="M488" s="5"/>
      <c r="N488" s="5"/>
    </row>
    <row r="489" ht="14.25" customHeight="1">
      <c r="A489" s="5"/>
      <c r="B489" s="5"/>
      <c r="C489" s="6"/>
      <c r="D489" s="5"/>
      <c r="E489" s="5"/>
      <c r="F489" s="5"/>
      <c r="G489" s="5"/>
      <c r="H489" s="5"/>
      <c r="I489" s="5"/>
      <c r="J489" s="5"/>
      <c r="K489" s="5"/>
      <c r="L489" s="5"/>
      <c r="M489" s="5"/>
      <c r="N489" s="5"/>
    </row>
    <row r="490" ht="14.25" customHeight="1">
      <c r="A490" s="5"/>
      <c r="B490" s="5"/>
      <c r="C490" s="6"/>
      <c r="D490" s="5"/>
      <c r="E490" s="5"/>
      <c r="F490" s="5"/>
      <c r="G490" s="5"/>
      <c r="H490" s="5"/>
      <c r="I490" s="5"/>
      <c r="J490" s="5"/>
      <c r="K490" s="5"/>
      <c r="L490" s="5"/>
      <c r="M490" s="5"/>
      <c r="N490" s="5"/>
    </row>
    <row r="491" ht="14.25" customHeight="1">
      <c r="A491" s="5"/>
      <c r="B491" s="5"/>
      <c r="C491" s="6"/>
      <c r="D491" s="5"/>
      <c r="E491" s="5"/>
      <c r="F491" s="5"/>
      <c r="G491" s="5"/>
      <c r="H491" s="5"/>
      <c r="I491" s="5"/>
      <c r="J491" s="5"/>
      <c r="K491" s="5"/>
      <c r="L491" s="5"/>
      <c r="M491" s="5"/>
      <c r="N491" s="5"/>
    </row>
    <row r="492" ht="14.25" customHeight="1">
      <c r="A492" s="5"/>
      <c r="B492" s="5"/>
      <c r="C492" s="6"/>
      <c r="D492" s="5"/>
      <c r="E492" s="5"/>
      <c r="F492" s="5"/>
      <c r="G492" s="5"/>
      <c r="H492" s="5"/>
      <c r="I492" s="5"/>
      <c r="J492" s="5"/>
      <c r="K492" s="5"/>
      <c r="L492" s="5"/>
      <c r="M492" s="5"/>
      <c r="N492" s="5"/>
    </row>
    <row r="493" ht="14.25" customHeight="1">
      <c r="A493" s="5"/>
      <c r="B493" s="5"/>
      <c r="C493" s="6"/>
      <c r="D493" s="5"/>
      <c r="E493" s="5"/>
      <c r="F493" s="5"/>
      <c r="G493" s="5"/>
      <c r="H493" s="5"/>
      <c r="I493" s="5"/>
      <c r="J493" s="5"/>
      <c r="K493" s="5"/>
      <c r="L493" s="5"/>
      <c r="M493" s="5"/>
      <c r="N493" s="5"/>
    </row>
    <row r="494" ht="14.25" customHeight="1">
      <c r="A494" s="5"/>
      <c r="B494" s="5"/>
      <c r="C494" s="6"/>
      <c r="D494" s="5"/>
      <c r="E494" s="5"/>
      <c r="F494" s="5"/>
      <c r="G494" s="5"/>
      <c r="H494" s="5"/>
      <c r="I494" s="5"/>
      <c r="J494" s="5"/>
      <c r="K494" s="5"/>
      <c r="L494" s="5"/>
      <c r="M494" s="5"/>
      <c r="N494" s="5"/>
    </row>
    <row r="495" ht="14.25" customHeight="1">
      <c r="A495" s="5"/>
      <c r="B495" s="5"/>
      <c r="C495" s="6"/>
      <c r="D495" s="5"/>
      <c r="E495" s="5"/>
      <c r="F495" s="5"/>
      <c r="G495" s="5"/>
      <c r="H495" s="5"/>
      <c r="I495" s="5"/>
      <c r="J495" s="5"/>
      <c r="K495" s="5"/>
      <c r="L495" s="5"/>
      <c r="M495" s="5"/>
      <c r="N495" s="5"/>
    </row>
    <row r="496" ht="14.25" customHeight="1">
      <c r="A496" s="5"/>
      <c r="B496" s="5"/>
      <c r="C496" s="6"/>
      <c r="D496" s="5"/>
      <c r="E496" s="5"/>
      <c r="F496" s="5"/>
      <c r="G496" s="5"/>
      <c r="H496" s="5"/>
      <c r="I496" s="5"/>
      <c r="J496" s="5"/>
      <c r="K496" s="5"/>
      <c r="L496" s="5"/>
      <c r="M496" s="5"/>
      <c r="N496" s="5"/>
    </row>
    <row r="497" ht="14.25" customHeight="1">
      <c r="A497" s="5"/>
      <c r="B497" s="5"/>
      <c r="C497" s="6"/>
      <c r="D497" s="5"/>
      <c r="E497" s="5"/>
      <c r="F497" s="5"/>
      <c r="G497" s="5"/>
      <c r="H497" s="5"/>
      <c r="I497" s="5"/>
      <c r="J497" s="5"/>
      <c r="K497" s="5"/>
      <c r="L497" s="5"/>
      <c r="M497" s="5"/>
      <c r="N497" s="5"/>
    </row>
    <row r="498" ht="14.25" customHeight="1">
      <c r="A498" s="5"/>
      <c r="B498" s="5"/>
      <c r="C498" s="6"/>
      <c r="D498" s="5"/>
      <c r="E498" s="5"/>
      <c r="F498" s="5"/>
      <c r="G498" s="5"/>
      <c r="H498" s="5"/>
      <c r="I498" s="5"/>
      <c r="J498" s="5"/>
      <c r="K498" s="5"/>
      <c r="L498" s="5"/>
      <c r="M498" s="5"/>
      <c r="N498" s="5"/>
    </row>
    <row r="499" ht="14.25" customHeight="1">
      <c r="A499" s="5"/>
      <c r="B499" s="5"/>
      <c r="C499" s="6"/>
      <c r="D499" s="5"/>
      <c r="E499" s="5"/>
      <c r="F499" s="5"/>
      <c r="G499" s="5"/>
      <c r="H499" s="5"/>
      <c r="I499" s="5"/>
      <c r="J499" s="5"/>
      <c r="K499" s="5"/>
      <c r="L499" s="5"/>
      <c r="M499" s="5"/>
      <c r="N499" s="5"/>
    </row>
    <row r="500" ht="14.25" customHeight="1">
      <c r="A500" s="5"/>
      <c r="B500" s="5"/>
      <c r="C500" s="6"/>
      <c r="D500" s="5"/>
      <c r="E500" s="5"/>
      <c r="F500" s="5"/>
      <c r="G500" s="5"/>
      <c r="H500" s="5"/>
      <c r="I500" s="5"/>
      <c r="J500" s="5"/>
      <c r="K500" s="5"/>
      <c r="L500" s="5"/>
      <c r="M500" s="5"/>
      <c r="N500" s="5"/>
    </row>
    <row r="501" ht="14.25" customHeight="1">
      <c r="A501" s="5"/>
      <c r="B501" s="5"/>
      <c r="C501" s="6"/>
      <c r="D501" s="5"/>
      <c r="E501" s="5"/>
      <c r="F501" s="5"/>
      <c r="G501" s="5"/>
      <c r="H501" s="5"/>
      <c r="I501" s="5"/>
      <c r="J501" s="5"/>
      <c r="K501" s="5"/>
      <c r="L501" s="5"/>
      <c r="M501" s="5"/>
      <c r="N501" s="5"/>
    </row>
    <row r="502" ht="14.25" customHeight="1">
      <c r="A502" s="5"/>
      <c r="B502" s="5"/>
      <c r="C502" s="6"/>
      <c r="D502" s="5"/>
      <c r="E502" s="5"/>
      <c r="F502" s="5"/>
      <c r="G502" s="5"/>
      <c r="H502" s="5"/>
      <c r="I502" s="5"/>
      <c r="J502" s="5"/>
      <c r="K502" s="5"/>
      <c r="L502" s="5"/>
      <c r="M502" s="5"/>
      <c r="N502" s="5"/>
    </row>
    <row r="503" ht="14.25" customHeight="1">
      <c r="A503" s="5"/>
      <c r="B503" s="5"/>
      <c r="C503" s="6"/>
      <c r="D503" s="5"/>
      <c r="E503" s="5"/>
      <c r="F503" s="5"/>
      <c r="G503" s="5"/>
      <c r="H503" s="5"/>
      <c r="I503" s="5"/>
      <c r="J503" s="5"/>
      <c r="K503" s="5"/>
      <c r="L503" s="5"/>
      <c r="M503" s="5"/>
      <c r="N503" s="5"/>
    </row>
    <row r="504" ht="14.25" customHeight="1">
      <c r="A504" s="5"/>
      <c r="B504" s="5"/>
      <c r="C504" s="6"/>
      <c r="D504" s="5"/>
      <c r="E504" s="5"/>
      <c r="F504" s="5"/>
      <c r="G504" s="5"/>
      <c r="H504" s="5"/>
      <c r="I504" s="5"/>
      <c r="J504" s="5"/>
      <c r="K504" s="5"/>
      <c r="L504" s="5"/>
      <c r="M504" s="5"/>
      <c r="N504" s="5"/>
    </row>
    <row r="505" ht="14.25" customHeight="1">
      <c r="A505" s="5"/>
      <c r="B505" s="5"/>
      <c r="C505" s="6"/>
      <c r="D505" s="5"/>
      <c r="E505" s="5"/>
      <c r="F505" s="5"/>
      <c r="G505" s="5"/>
      <c r="H505" s="5"/>
      <c r="I505" s="5"/>
      <c r="J505" s="5"/>
      <c r="K505" s="5"/>
      <c r="L505" s="5"/>
      <c r="M505" s="5"/>
      <c r="N505" s="5"/>
    </row>
    <row r="506" ht="14.25" customHeight="1">
      <c r="A506" s="5"/>
      <c r="B506" s="5"/>
      <c r="C506" s="6"/>
      <c r="D506" s="5"/>
      <c r="E506" s="5"/>
      <c r="F506" s="5"/>
      <c r="G506" s="5"/>
      <c r="H506" s="5"/>
      <c r="I506" s="5"/>
      <c r="J506" s="5"/>
      <c r="K506" s="5"/>
      <c r="L506" s="5"/>
      <c r="M506" s="5"/>
      <c r="N506" s="5"/>
    </row>
    <row r="507" ht="14.25" customHeight="1">
      <c r="A507" s="5"/>
      <c r="B507" s="5"/>
      <c r="C507" s="6"/>
      <c r="D507" s="5"/>
      <c r="E507" s="5"/>
      <c r="F507" s="5"/>
      <c r="G507" s="5"/>
      <c r="H507" s="5"/>
      <c r="I507" s="5"/>
      <c r="J507" s="5"/>
      <c r="K507" s="5"/>
      <c r="L507" s="5"/>
      <c r="M507" s="5"/>
      <c r="N507" s="5"/>
    </row>
    <row r="508" ht="14.25" customHeight="1">
      <c r="A508" s="5"/>
      <c r="B508" s="5"/>
      <c r="C508" s="6"/>
      <c r="D508" s="5"/>
      <c r="E508" s="5"/>
      <c r="F508" s="5"/>
      <c r="G508" s="5"/>
      <c r="H508" s="5"/>
      <c r="I508" s="5"/>
      <c r="J508" s="5"/>
      <c r="K508" s="5"/>
      <c r="L508" s="5"/>
      <c r="M508" s="5"/>
      <c r="N508" s="5"/>
    </row>
    <row r="509" ht="14.25" customHeight="1">
      <c r="A509" s="5"/>
      <c r="B509" s="5"/>
      <c r="C509" s="6"/>
      <c r="D509" s="5"/>
      <c r="E509" s="5"/>
      <c r="F509" s="5"/>
      <c r="G509" s="5"/>
      <c r="H509" s="5"/>
      <c r="I509" s="5"/>
      <c r="J509" s="5"/>
      <c r="K509" s="5"/>
      <c r="L509" s="5"/>
      <c r="M509" s="5"/>
      <c r="N509" s="5"/>
    </row>
    <row r="510" ht="14.25" customHeight="1">
      <c r="A510" s="5"/>
      <c r="B510" s="5"/>
      <c r="C510" s="6"/>
      <c r="D510" s="5"/>
      <c r="E510" s="5"/>
      <c r="F510" s="5"/>
      <c r="G510" s="5"/>
      <c r="H510" s="5"/>
      <c r="I510" s="5"/>
      <c r="J510" s="5"/>
      <c r="K510" s="5"/>
      <c r="L510" s="5"/>
      <c r="M510" s="5"/>
      <c r="N510" s="5"/>
    </row>
    <row r="511" ht="14.25" customHeight="1">
      <c r="A511" s="5"/>
      <c r="B511" s="5"/>
      <c r="C511" s="6"/>
      <c r="D511" s="5"/>
      <c r="E511" s="5"/>
      <c r="F511" s="5"/>
      <c r="G511" s="5"/>
      <c r="H511" s="5"/>
      <c r="I511" s="5"/>
      <c r="J511" s="5"/>
      <c r="K511" s="5"/>
      <c r="L511" s="5"/>
      <c r="M511" s="5"/>
      <c r="N511" s="5"/>
    </row>
    <row r="512" ht="14.25" customHeight="1">
      <c r="A512" s="5"/>
      <c r="B512" s="5"/>
      <c r="C512" s="6"/>
      <c r="D512" s="5"/>
      <c r="E512" s="5"/>
      <c r="F512" s="5"/>
      <c r="G512" s="5"/>
      <c r="H512" s="5"/>
      <c r="I512" s="5"/>
      <c r="J512" s="5"/>
      <c r="K512" s="5"/>
      <c r="L512" s="5"/>
      <c r="M512" s="5"/>
      <c r="N512" s="5"/>
    </row>
    <row r="513" ht="14.25" customHeight="1">
      <c r="A513" s="5"/>
      <c r="B513" s="5"/>
      <c r="C513" s="6"/>
      <c r="D513" s="5"/>
      <c r="E513" s="5"/>
      <c r="F513" s="5"/>
      <c r="G513" s="5"/>
      <c r="H513" s="5"/>
      <c r="I513" s="5"/>
      <c r="J513" s="5"/>
      <c r="K513" s="5"/>
      <c r="L513" s="5"/>
      <c r="M513" s="5"/>
      <c r="N513" s="5"/>
    </row>
    <row r="514" ht="14.25" customHeight="1">
      <c r="A514" s="5"/>
      <c r="B514" s="5"/>
      <c r="C514" s="6"/>
      <c r="D514" s="5"/>
      <c r="E514" s="5"/>
      <c r="F514" s="5"/>
      <c r="G514" s="5"/>
      <c r="H514" s="5"/>
      <c r="I514" s="5"/>
      <c r="J514" s="5"/>
      <c r="K514" s="5"/>
      <c r="L514" s="5"/>
      <c r="M514" s="5"/>
      <c r="N514" s="5"/>
    </row>
    <row r="515" ht="14.25" customHeight="1">
      <c r="A515" s="5"/>
      <c r="B515" s="5"/>
      <c r="C515" s="6"/>
      <c r="D515" s="5"/>
      <c r="E515" s="5"/>
      <c r="F515" s="5"/>
      <c r="G515" s="5"/>
      <c r="H515" s="5"/>
      <c r="I515" s="5"/>
      <c r="J515" s="5"/>
      <c r="K515" s="5"/>
      <c r="L515" s="5"/>
      <c r="M515" s="5"/>
      <c r="N515" s="5"/>
    </row>
    <row r="516" ht="14.25" customHeight="1">
      <c r="A516" s="5"/>
      <c r="B516" s="5"/>
      <c r="C516" s="6"/>
      <c r="D516" s="5"/>
      <c r="E516" s="5"/>
      <c r="F516" s="5"/>
      <c r="G516" s="5"/>
      <c r="H516" s="5"/>
      <c r="I516" s="5"/>
      <c r="J516" s="5"/>
      <c r="K516" s="5"/>
      <c r="L516" s="5"/>
      <c r="M516" s="5"/>
      <c r="N516" s="5"/>
    </row>
    <row r="517" ht="14.25" customHeight="1">
      <c r="A517" s="5"/>
      <c r="B517" s="5"/>
      <c r="C517" s="6"/>
      <c r="D517" s="5"/>
      <c r="E517" s="5"/>
      <c r="F517" s="5"/>
      <c r="G517" s="5"/>
      <c r="H517" s="5"/>
      <c r="I517" s="5"/>
      <c r="J517" s="5"/>
      <c r="K517" s="5"/>
      <c r="L517" s="5"/>
      <c r="M517" s="5"/>
      <c r="N517" s="5"/>
    </row>
    <row r="518" ht="14.25" customHeight="1">
      <c r="A518" s="5"/>
      <c r="B518" s="5"/>
      <c r="C518" s="6"/>
      <c r="D518" s="5"/>
      <c r="E518" s="5"/>
      <c r="F518" s="5"/>
      <c r="G518" s="5"/>
      <c r="H518" s="5"/>
      <c r="I518" s="5"/>
      <c r="J518" s="5"/>
      <c r="K518" s="5"/>
      <c r="L518" s="5"/>
      <c r="M518" s="5"/>
      <c r="N518" s="5"/>
    </row>
    <row r="519" ht="14.25" customHeight="1">
      <c r="A519" s="5"/>
      <c r="B519" s="5"/>
      <c r="C519" s="6"/>
      <c r="D519" s="5"/>
      <c r="E519" s="5"/>
      <c r="F519" s="5"/>
      <c r="G519" s="5"/>
      <c r="H519" s="5"/>
      <c r="I519" s="5"/>
      <c r="J519" s="5"/>
      <c r="K519" s="5"/>
      <c r="L519" s="5"/>
      <c r="M519" s="5"/>
      <c r="N519" s="5"/>
    </row>
    <row r="520" ht="14.25" customHeight="1">
      <c r="A520" s="5"/>
      <c r="B520" s="5"/>
      <c r="C520" s="6"/>
      <c r="D520" s="5"/>
      <c r="E520" s="5"/>
      <c r="F520" s="5"/>
      <c r="G520" s="5"/>
      <c r="H520" s="5"/>
      <c r="I520" s="5"/>
      <c r="J520" s="5"/>
      <c r="K520" s="5"/>
      <c r="L520" s="5"/>
      <c r="M520" s="5"/>
      <c r="N520" s="5"/>
    </row>
    <row r="521" ht="14.25" customHeight="1">
      <c r="A521" s="5"/>
      <c r="B521" s="5"/>
      <c r="C521" s="6"/>
      <c r="D521" s="5"/>
      <c r="E521" s="5"/>
      <c r="F521" s="5"/>
      <c r="G521" s="5"/>
      <c r="H521" s="5"/>
      <c r="I521" s="5"/>
      <c r="J521" s="5"/>
      <c r="K521" s="5"/>
      <c r="L521" s="5"/>
      <c r="M521" s="5"/>
      <c r="N521" s="5"/>
    </row>
    <row r="522" ht="14.25" customHeight="1">
      <c r="A522" s="5"/>
      <c r="B522" s="5"/>
      <c r="C522" s="6"/>
      <c r="D522" s="5"/>
      <c r="E522" s="5"/>
      <c r="F522" s="5"/>
      <c r="G522" s="5"/>
      <c r="H522" s="5"/>
      <c r="I522" s="5"/>
      <c r="J522" s="5"/>
      <c r="K522" s="5"/>
      <c r="L522" s="5"/>
      <c r="M522" s="5"/>
      <c r="N522" s="5"/>
    </row>
    <row r="523" ht="14.25" customHeight="1">
      <c r="A523" s="5"/>
      <c r="B523" s="5"/>
      <c r="C523" s="6"/>
      <c r="D523" s="5"/>
      <c r="E523" s="5"/>
      <c r="F523" s="5"/>
      <c r="G523" s="5"/>
      <c r="H523" s="5"/>
      <c r="I523" s="5"/>
      <c r="J523" s="5"/>
      <c r="K523" s="5"/>
      <c r="L523" s="5"/>
      <c r="M523" s="5"/>
      <c r="N523" s="5"/>
    </row>
    <row r="524" ht="14.25" customHeight="1">
      <c r="A524" s="5"/>
      <c r="B524" s="5"/>
      <c r="C524" s="6"/>
      <c r="D524" s="5"/>
      <c r="E524" s="5"/>
      <c r="F524" s="5"/>
      <c r="G524" s="5"/>
      <c r="H524" s="5"/>
      <c r="I524" s="5"/>
      <c r="J524" s="5"/>
      <c r="K524" s="5"/>
      <c r="L524" s="5"/>
      <c r="M524" s="5"/>
      <c r="N524" s="5"/>
    </row>
    <row r="525" ht="14.25" customHeight="1">
      <c r="A525" s="5"/>
      <c r="B525" s="5"/>
      <c r="C525" s="6"/>
      <c r="D525" s="5"/>
      <c r="E525" s="5"/>
      <c r="F525" s="5"/>
      <c r="G525" s="5"/>
      <c r="H525" s="5"/>
      <c r="I525" s="5"/>
      <c r="J525" s="5"/>
      <c r="K525" s="5"/>
      <c r="L525" s="5"/>
      <c r="M525" s="5"/>
      <c r="N525" s="5"/>
    </row>
    <row r="526" ht="14.25" customHeight="1">
      <c r="A526" s="5"/>
      <c r="B526" s="5"/>
      <c r="C526" s="6"/>
      <c r="D526" s="5"/>
      <c r="E526" s="5"/>
      <c r="F526" s="5"/>
      <c r="G526" s="5"/>
      <c r="H526" s="5"/>
      <c r="I526" s="5"/>
      <c r="J526" s="5"/>
      <c r="K526" s="5"/>
      <c r="L526" s="5"/>
      <c r="M526" s="5"/>
      <c r="N526" s="5"/>
    </row>
    <row r="527" ht="14.25" customHeight="1">
      <c r="A527" s="5"/>
      <c r="B527" s="5"/>
      <c r="C527" s="6"/>
      <c r="D527" s="5"/>
      <c r="E527" s="5"/>
      <c r="F527" s="5"/>
      <c r="G527" s="5"/>
      <c r="H527" s="5"/>
      <c r="I527" s="5"/>
      <c r="J527" s="5"/>
      <c r="K527" s="5"/>
      <c r="L527" s="5"/>
      <c r="M527" s="5"/>
      <c r="N527" s="5"/>
    </row>
    <row r="528" ht="14.25" customHeight="1">
      <c r="A528" s="5"/>
      <c r="B528" s="5"/>
      <c r="C528" s="6"/>
      <c r="D528" s="5"/>
      <c r="E528" s="5"/>
      <c r="F528" s="5"/>
      <c r="G528" s="5"/>
      <c r="H528" s="5"/>
      <c r="I528" s="5"/>
      <c r="J528" s="5"/>
      <c r="K528" s="5"/>
      <c r="L528" s="5"/>
      <c r="M528" s="5"/>
      <c r="N528" s="5"/>
    </row>
    <row r="529" ht="14.25" customHeight="1">
      <c r="A529" s="5"/>
      <c r="B529" s="5"/>
      <c r="C529" s="6"/>
      <c r="D529" s="5"/>
      <c r="E529" s="5"/>
      <c r="F529" s="5"/>
      <c r="G529" s="5"/>
      <c r="H529" s="5"/>
      <c r="I529" s="5"/>
      <c r="J529" s="5"/>
      <c r="K529" s="5"/>
      <c r="L529" s="5"/>
      <c r="M529" s="5"/>
      <c r="N529" s="5"/>
    </row>
    <row r="530" ht="14.25" customHeight="1">
      <c r="A530" s="5"/>
      <c r="B530" s="5"/>
      <c r="C530" s="6"/>
      <c r="D530" s="5"/>
      <c r="E530" s="5"/>
      <c r="F530" s="5"/>
      <c r="G530" s="5"/>
      <c r="H530" s="5"/>
      <c r="I530" s="5"/>
      <c r="J530" s="5"/>
      <c r="K530" s="5"/>
      <c r="L530" s="5"/>
      <c r="M530" s="5"/>
      <c r="N530" s="5"/>
    </row>
    <row r="531" ht="14.25" customHeight="1">
      <c r="A531" s="5"/>
      <c r="B531" s="5"/>
      <c r="C531" s="6"/>
      <c r="D531" s="5"/>
      <c r="E531" s="5"/>
      <c r="F531" s="5"/>
      <c r="G531" s="5"/>
      <c r="H531" s="5"/>
      <c r="I531" s="5"/>
      <c r="J531" s="5"/>
      <c r="K531" s="5"/>
      <c r="L531" s="5"/>
      <c r="M531" s="5"/>
      <c r="N531" s="5"/>
    </row>
    <row r="532" ht="14.25" customHeight="1">
      <c r="A532" s="5"/>
      <c r="B532" s="5"/>
      <c r="C532" s="6"/>
      <c r="D532" s="5"/>
      <c r="E532" s="5"/>
      <c r="F532" s="5"/>
      <c r="G532" s="5"/>
      <c r="H532" s="5"/>
      <c r="I532" s="5"/>
      <c r="J532" s="5"/>
      <c r="K532" s="5"/>
      <c r="L532" s="5"/>
      <c r="M532" s="5"/>
      <c r="N532" s="5"/>
    </row>
    <row r="533" ht="14.25" customHeight="1">
      <c r="A533" s="5"/>
      <c r="B533" s="5"/>
      <c r="C533" s="6"/>
      <c r="D533" s="5"/>
      <c r="E533" s="5"/>
      <c r="F533" s="5"/>
      <c r="G533" s="5"/>
      <c r="H533" s="5"/>
      <c r="I533" s="5"/>
      <c r="J533" s="5"/>
      <c r="K533" s="5"/>
      <c r="L533" s="5"/>
      <c r="M533" s="5"/>
      <c r="N533" s="5"/>
    </row>
    <row r="534" ht="14.25" customHeight="1">
      <c r="A534" s="5"/>
      <c r="B534" s="5"/>
      <c r="C534" s="6"/>
      <c r="D534" s="5"/>
      <c r="E534" s="5"/>
      <c r="F534" s="5"/>
      <c r="G534" s="5"/>
      <c r="H534" s="5"/>
      <c r="I534" s="5"/>
      <c r="J534" s="5"/>
      <c r="K534" s="5"/>
      <c r="L534" s="5"/>
      <c r="M534" s="5"/>
      <c r="N534" s="5"/>
    </row>
    <row r="535" ht="14.25" customHeight="1">
      <c r="A535" s="5"/>
      <c r="B535" s="5"/>
      <c r="C535" s="6"/>
      <c r="D535" s="5"/>
      <c r="E535" s="5"/>
      <c r="F535" s="5"/>
      <c r="G535" s="5"/>
      <c r="H535" s="5"/>
      <c r="I535" s="5"/>
      <c r="J535" s="5"/>
      <c r="K535" s="5"/>
      <c r="L535" s="5"/>
      <c r="M535" s="5"/>
      <c r="N535" s="5"/>
    </row>
    <row r="536" ht="14.25" customHeight="1">
      <c r="A536" s="5"/>
      <c r="B536" s="5"/>
      <c r="C536" s="6"/>
      <c r="D536" s="5"/>
      <c r="E536" s="5"/>
      <c r="F536" s="5"/>
      <c r="G536" s="5"/>
      <c r="H536" s="5"/>
      <c r="I536" s="5"/>
      <c r="J536" s="5"/>
      <c r="K536" s="5"/>
      <c r="L536" s="5"/>
      <c r="M536" s="5"/>
      <c r="N536" s="5"/>
    </row>
    <row r="537" ht="14.25" customHeight="1">
      <c r="A537" s="5"/>
      <c r="B537" s="5"/>
      <c r="C537" s="6"/>
      <c r="D537" s="5"/>
      <c r="E537" s="5"/>
      <c r="F537" s="5"/>
      <c r="G537" s="5"/>
      <c r="H537" s="5"/>
      <c r="I537" s="5"/>
      <c r="J537" s="5"/>
      <c r="K537" s="5"/>
      <c r="L537" s="5"/>
      <c r="M537" s="5"/>
      <c r="N537" s="5"/>
    </row>
    <row r="538" ht="14.25" customHeight="1">
      <c r="A538" s="5"/>
      <c r="B538" s="5"/>
      <c r="C538" s="6"/>
      <c r="D538" s="5"/>
      <c r="E538" s="5"/>
      <c r="F538" s="5"/>
      <c r="G538" s="5"/>
      <c r="H538" s="5"/>
      <c r="I538" s="5"/>
      <c r="J538" s="5"/>
      <c r="K538" s="5"/>
      <c r="L538" s="5"/>
      <c r="M538" s="5"/>
      <c r="N538" s="5"/>
    </row>
    <row r="539" ht="14.25" customHeight="1">
      <c r="A539" s="5"/>
      <c r="B539" s="5"/>
      <c r="C539" s="6"/>
      <c r="D539" s="5"/>
      <c r="E539" s="5"/>
      <c r="F539" s="5"/>
      <c r="G539" s="5"/>
      <c r="H539" s="5"/>
      <c r="I539" s="5"/>
      <c r="J539" s="5"/>
      <c r="K539" s="5"/>
      <c r="L539" s="5"/>
      <c r="M539" s="5"/>
      <c r="N539" s="5"/>
    </row>
    <row r="540" ht="14.25" customHeight="1">
      <c r="A540" s="5"/>
      <c r="B540" s="5"/>
      <c r="C540" s="6"/>
      <c r="D540" s="5"/>
      <c r="E540" s="5"/>
      <c r="F540" s="5"/>
      <c r="G540" s="5"/>
      <c r="H540" s="5"/>
      <c r="I540" s="5"/>
      <c r="J540" s="5"/>
      <c r="K540" s="5"/>
      <c r="L540" s="5"/>
      <c r="M540" s="5"/>
      <c r="N540" s="5"/>
    </row>
    <row r="541" ht="14.25" customHeight="1">
      <c r="A541" s="5"/>
      <c r="B541" s="5"/>
      <c r="C541" s="6"/>
      <c r="D541" s="5"/>
      <c r="E541" s="5"/>
      <c r="F541" s="5"/>
      <c r="G541" s="5"/>
      <c r="H541" s="5"/>
      <c r="I541" s="5"/>
      <c r="J541" s="5"/>
      <c r="K541" s="5"/>
      <c r="L541" s="5"/>
      <c r="M541" s="5"/>
      <c r="N541" s="5"/>
    </row>
    <row r="542" ht="14.25" customHeight="1">
      <c r="A542" s="5"/>
      <c r="B542" s="5"/>
      <c r="C542" s="6"/>
      <c r="D542" s="5"/>
      <c r="E542" s="5"/>
      <c r="F542" s="5"/>
      <c r="G542" s="5"/>
      <c r="H542" s="5"/>
      <c r="I542" s="5"/>
      <c r="J542" s="5"/>
      <c r="K542" s="5"/>
      <c r="L542" s="5"/>
      <c r="M542" s="5"/>
      <c r="N542" s="5"/>
    </row>
    <row r="543" ht="14.25" customHeight="1">
      <c r="A543" s="5"/>
      <c r="B543" s="5"/>
      <c r="C543" s="6"/>
      <c r="D543" s="5"/>
      <c r="E543" s="5"/>
      <c r="F543" s="5"/>
      <c r="G543" s="5"/>
      <c r="H543" s="5"/>
      <c r="I543" s="5"/>
      <c r="J543" s="5"/>
      <c r="K543" s="5"/>
      <c r="L543" s="5"/>
      <c r="M543" s="5"/>
      <c r="N543" s="5"/>
    </row>
    <row r="544" ht="14.25" customHeight="1">
      <c r="A544" s="5"/>
      <c r="B544" s="5"/>
      <c r="C544" s="6"/>
      <c r="D544" s="5"/>
      <c r="E544" s="5"/>
      <c r="F544" s="5"/>
      <c r="G544" s="5"/>
      <c r="H544" s="5"/>
      <c r="I544" s="5"/>
      <c r="J544" s="5"/>
      <c r="K544" s="5"/>
      <c r="L544" s="5"/>
      <c r="M544" s="5"/>
      <c r="N544" s="5"/>
    </row>
    <row r="545" ht="14.25" customHeight="1">
      <c r="A545" s="5"/>
      <c r="B545" s="5"/>
      <c r="C545" s="6"/>
      <c r="D545" s="5"/>
      <c r="E545" s="5"/>
      <c r="F545" s="5"/>
      <c r="G545" s="5"/>
      <c r="H545" s="5"/>
      <c r="I545" s="5"/>
      <c r="J545" s="5"/>
      <c r="K545" s="5"/>
      <c r="L545" s="5"/>
      <c r="M545" s="5"/>
      <c r="N545" s="5"/>
    </row>
    <row r="546" ht="14.25" customHeight="1">
      <c r="A546" s="5"/>
      <c r="B546" s="5"/>
      <c r="C546" s="6"/>
      <c r="D546" s="5"/>
      <c r="E546" s="5"/>
      <c r="F546" s="5"/>
      <c r="G546" s="5"/>
      <c r="H546" s="5"/>
      <c r="I546" s="5"/>
      <c r="J546" s="5"/>
      <c r="K546" s="5"/>
      <c r="L546" s="5"/>
      <c r="M546" s="5"/>
      <c r="N546" s="5"/>
    </row>
    <row r="547" ht="14.25" customHeight="1">
      <c r="A547" s="5"/>
      <c r="B547" s="5"/>
      <c r="C547" s="6"/>
      <c r="D547" s="5"/>
      <c r="E547" s="5"/>
      <c r="F547" s="5"/>
      <c r="G547" s="5"/>
      <c r="H547" s="5"/>
      <c r="I547" s="5"/>
      <c r="J547" s="5"/>
      <c r="K547" s="5"/>
      <c r="L547" s="5"/>
      <c r="M547" s="5"/>
      <c r="N547" s="5"/>
    </row>
    <row r="548" ht="14.25" customHeight="1">
      <c r="A548" s="5"/>
      <c r="B548" s="5"/>
      <c r="C548" s="6"/>
      <c r="D548" s="5"/>
      <c r="E548" s="5"/>
      <c r="F548" s="5"/>
      <c r="G548" s="5"/>
      <c r="H548" s="5"/>
      <c r="I548" s="5"/>
      <c r="J548" s="5"/>
      <c r="K548" s="5"/>
      <c r="L548" s="5"/>
      <c r="M548" s="5"/>
      <c r="N548" s="5"/>
    </row>
    <row r="549" ht="14.25" customHeight="1">
      <c r="A549" s="5"/>
      <c r="B549" s="5"/>
      <c r="C549" s="6"/>
      <c r="D549" s="5"/>
      <c r="E549" s="5"/>
      <c r="F549" s="5"/>
      <c r="G549" s="5"/>
      <c r="H549" s="5"/>
      <c r="I549" s="5"/>
      <c r="J549" s="5"/>
      <c r="K549" s="5"/>
      <c r="L549" s="5"/>
      <c r="M549" s="5"/>
      <c r="N549" s="5"/>
    </row>
    <row r="550" ht="14.25" customHeight="1">
      <c r="A550" s="5"/>
      <c r="B550" s="5"/>
      <c r="C550" s="6"/>
      <c r="D550" s="5"/>
      <c r="E550" s="5"/>
      <c r="F550" s="5"/>
      <c r="G550" s="5"/>
      <c r="H550" s="5"/>
      <c r="I550" s="5"/>
      <c r="J550" s="5"/>
      <c r="K550" s="5"/>
      <c r="L550" s="5"/>
      <c r="M550" s="5"/>
      <c r="N550" s="5"/>
    </row>
    <row r="551" ht="14.25" customHeight="1">
      <c r="A551" s="5"/>
      <c r="B551" s="5"/>
      <c r="C551" s="6"/>
      <c r="D551" s="5"/>
      <c r="E551" s="5"/>
      <c r="F551" s="5"/>
      <c r="G551" s="5"/>
      <c r="H551" s="5"/>
      <c r="I551" s="5"/>
      <c r="J551" s="5"/>
      <c r="K551" s="5"/>
      <c r="L551" s="5"/>
      <c r="M551" s="5"/>
      <c r="N551" s="5"/>
    </row>
    <row r="552" ht="14.25" customHeight="1">
      <c r="A552" s="5"/>
      <c r="B552" s="5"/>
      <c r="C552" s="6"/>
      <c r="D552" s="5"/>
      <c r="E552" s="5"/>
      <c r="F552" s="5"/>
      <c r="G552" s="5"/>
      <c r="H552" s="5"/>
      <c r="I552" s="5"/>
      <c r="J552" s="5"/>
      <c r="K552" s="5"/>
      <c r="L552" s="5"/>
      <c r="M552" s="5"/>
      <c r="N552" s="5"/>
    </row>
    <row r="553" ht="14.25" customHeight="1">
      <c r="A553" s="5"/>
      <c r="B553" s="5"/>
      <c r="C553" s="6"/>
      <c r="D553" s="5"/>
      <c r="E553" s="5"/>
      <c r="F553" s="5"/>
      <c r="G553" s="5"/>
      <c r="H553" s="5"/>
      <c r="I553" s="5"/>
      <c r="J553" s="5"/>
      <c r="K553" s="5"/>
      <c r="L553" s="5"/>
      <c r="M553" s="5"/>
      <c r="N553" s="5"/>
    </row>
    <row r="554" ht="14.25" customHeight="1">
      <c r="A554" s="5"/>
      <c r="B554" s="5"/>
      <c r="C554" s="6"/>
      <c r="D554" s="5"/>
      <c r="E554" s="5"/>
      <c r="F554" s="5"/>
      <c r="G554" s="5"/>
      <c r="H554" s="5"/>
      <c r="I554" s="5"/>
      <c r="J554" s="5"/>
      <c r="K554" s="5"/>
      <c r="L554" s="5"/>
      <c r="M554" s="5"/>
      <c r="N554" s="5"/>
    </row>
    <row r="555" ht="14.25" customHeight="1">
      <c r="A555" s="5"/>
      <c r="B555" s="5"/>
      <c r="C555" s="6"/>
      <c r="D555" s="5"/>
      <c r="E555" s="5"/>
      <c r="F555" s="5"/>
      <c r="G555" s="5"/>
      <c r="H555" s="5"/>
      <c r="I555" s="5"/>
      <c r="J555" s="5"/>
      <c r="K555" s="5"/>
      <c r="L555" s="5"/>
      <c r="M555" s="5"/>
      <c r="N555" s="5"/>
    </row>
    <row r="556" ht="14.25" customHeight="1">
      <c r="A556" s="5"/>
      <c r="B556" s="5"/>
      <c r="C556" s="6"/>
      <c r="D556" s="5"/>
      <c r="E556" s="5"/>
      <c r="F556" s="5"/>
      <c r="G556" s="5"/>
      <c r="H556" s="5"/>
      <c r="I556" s="5"/>
      <c r="J556" s="5"/>
      <c r="K556" s="5"/>
      <c r="L556" s="5"/>
      <c r="M556" s="5"/>
      <c r="N556" s="5"/>
    </row>
    <row r="557" ht="14.25" customHeight="1">
      <c r="A557" s="5"/>
      <c r="B557" s="5"/>
      <c r="C557" s="6"/>
      <c r="D557" s="5"/>
      <c r="E557" s="5"/>
      <c r="F557" s="5"/>
      <c r="G557" s="5"/>
      <c r="H557" s="5"/>
      <c r="I557" s="5"/>
      <c r="J557" s="5"/>
      <c r="K557" s="5"/>
      <c r="L557" s="5"/>
      <c r="M557" s="5"/>
      <c r="N557" s="5"/>
    </row>
    <row r="558" ht="14.25" customHeight="1">
      <c r="A558" s="5"/>
      <c r="B558" s="5"/>
      <c r="C558" s="6"/>
      <c r="D558" s="5"/>
      <c r="E558" s="5"/>
      <c r="F558" s="5"/>
      <c r="G558" s="5"/>
      <c r="H558" s="5"/>
      <c r="I558" s="5"/>
      <c r="J558" s="5"/>
      <c r="K558" s="5"/>
      <c r="L558" s="5"/>
      <c r="M558" s="5"/>
      <c r="N558" s="5"/>
    </row>
    <row r="559" ht="14.25" customHeight="1">
      <c r="A559" s="5"/>
      <c r="B559" s="5"/>
      <c r="C559" s="6"/>
      <c r="D559" s="5"/>
      <c r="E559" s="5"/>
      <c r="F559" s="5"/>
      <c r="G559" s="5"/>
      <c r="H559" s="5"/>
      <c r="I559" s="5"/>
      <c r="J559" s="5"/>
      <c r="K559" s="5"/>
      <c r="L559" s="5"/>
      <c r="M559" s="5"/>
      <c r="N559" s="5"/>
    </row>
    <row r="560" ht="14.25" customHeight="1">
      <c r="A560" s="5"/>
      <c r="B560" s="5"/>
      <c r="C560" s="6"/>
      <c r="D560" s="5"/>
      <c r="E560" s="5"/>
      <c r="F560" s="5"/>
      <c r="G560" s="5"/>
      <c r="H560" s="5"/>
      <c r="I560" s="5"/>
      <c r="J560" s="5"/>
      <c r="K560" s="5"/>
      <c r="L560" s="5"/>
      <c r="M560" s="5"/>
      <c r="N560" s="5"/>
    </row>
    <row r="561" ht="14.25" customHeight="1">
      <c r="A561" s="5"/>
      <c r="B561" s="5"/>
      <c r="C561" s="6"/>
      <c r="D561" s="5"/>
      <c r="E561" s="5"/>
      <c r="F561" s="5"/>
      <c r="G561" s="5"/>
      <c r="H561" s="5"/>
      <c r="I561" s="5"/>
      <c r="J561" s="5"/>
      <c r="K561" s="5"/>
      <c r="L561" s="5"/>
      <c r="M561" s="5"/>
      <c r="N561" s="5"/>
    </row>
    <row r="562" ht="14.25" customHeight="1">
      <c r="A562" s="5"/>
      <c r="B562" s="5"/>
      <c r="C562" s="6"/>
      <c r="D562" s="5"/>
      <c r="E562" s="5"/>
      <c r="F562" s="5"/>
      <c r="G562" s="5"/>
      <c r="H562" s="5"/>
      <c r="I562" s="5"/>
      <c r="J562" s="5"/>
      <c r="K562" s="5"/>
      <c r="L562" s="5"/>
      <c r="M562" s="5"/>
      <c r="N562" s="5"/>
    </row>
    <row r="563" ht="14.25" customHeight="1">
      <c r="A563" s="5"/>
      <c r="B563" s="5"/>
      <c r="C563" s="6"/>
      <c r="D563" s="5"/>
      <c r="E563" s="5"/>
      <c r="F563" s="5"/>
      <c r="G563" s="5"/>
      <c r="H563" s="5"/>
      <c r="I563" s="5"/>
      <c r="J563" s="5"/>
      <c r="K563" s="5"/>
      <c r="L563" s="5"/>
      <c r="M563" s="5"/>
      <c r="N563" s="5"/>
    </row>
    <row r="564" ht="14.25" customHeight="1">
      <c r="A564" s="5"/>
      <c r="B564" s="5"/>
      <c r="C564" s="6"/>
      <c r="D564" s="5"/>
      <c r="E564" s="5"/>
      <c r="F564" s="5"/>
      <c r="G564" s="5"/>
      <c r="H564" s="5"/>
      <c r="I564" s="5"/>
      <c r="J564" s="5"/>
      <c r="K564" s="5"/>
      <c r="L564" s="5"/>
      <c r="M564" s="5"/>
      <c r="N564" s="5"/>
    </row>
    <row r="565" ht="14.25" customHeight="1">
      <c r="A565" s="5"/>
      <c r="B565" s="5"/>
      <c r="C565" s="6"/>
      <c r="D565" s="5"/>
      <c r="E565" s="5"/>
      <c r="F565" s="5"/>
      <c r="G565" s="5"/>
      <c r="H565" s="5"/>
      <c r="I565" s="5"/>
      <c r="J565" s="5"/>
      <c r="K565" s="5"/>
      <c r="L565" s="5"/>
      <c r="M565" s="5"/>
      <c r="N565" s="5"/>
    </row>
    <row r="566" ht="14.25" customHeight="1">
      <c r="A566" s="5"/>
      <c r="B566" s="5"/>
      <c r="C566" s="6"/>
      <c r="D566" s="5"/>
      <c r="E566" s="5"/>
      <c r="F566" s="5"/>
      <c r="G566" s="5"/>
      <c r="H566" s="5"/>
      <c r="I566" s="5"/>
      <c r="J566" s="5"/>
      <c r="K566" s="5"/>
      <c r="L566" s="5"/>
      <c r="M566" s="5"/>
      <c r="N566" s="5"/>
    </row>
    <row r="567" ht="14.25" customHeight="1">
      <c r="A567" s="5"/>
      <c r="B567" s="5"/>
      <c r="C567" s="6"/>
      <c r="D567" s="5"/>
      <c r="E567" s="5"/>
      <c r="F567" s="5"/>
      <c r="G567" s="5"/>
      <c r="H567" s="5"/>
      <c r="I567" s="5"/>
      <c r="J567" s="5"/>
      <c r="K567" s="5"/>
      <c r="L567" s="5"/>
      <c r="M567" s="5"/>
      <c r="N567" s="5"/>
    </row>
    <row r="568" ht="14.25" customHeight="1">
      <c r="A568" s="5"/>
      <c r="B568" s="5"/>
      <c r="C568" s="6"/>
      <c r="D568" s="5"/>
      <c r="E568" s="5"/>
      <c r="F568" s="5"/>
      <c r="G568" s="5"/>
      <c r="H568" s="5"/>
      <c r="I568" s="5"/>
      <c r="J568" s="5"/>
      <c r="K568" s="5"/>
      <c r="L568" s="5"/>
      <c r="M568" s="5"/>
      <c r="N568" s="5"/>
    </row>
    <row r="569" ht="14.25" customHeight="1">
      <c r="A569" s="5"/>
      <c r="B569" s="5"/>
      <c r="C569" s="6"/>
      <c r="D569" s="5"/>
      <c r="E569" s="5"/>
      <c r="F569" s="5"/>
      <c r="G569" s="5"/>
      <c r="H569" s="5"/>
      <c r="I569" s="5"/>
      <c r="J569" s="5"/>
      <c r="K569" s="5"/>
      <c r="L569" s="5"/>
      <c r="M569" s="5"/>
      <c r="N569" s="5"/>
    </row>
    <row r="570" ht="14.25" customHeight="1">
      <c r="A570" s="5"/>
      <c r="B570" s="5"/>
      <c r="C570" s="6"/>
      <c r="D570" s="5"/>
      <c r="E570" s="5"/>
      <c r="F570" s="5"/>
      <c r="G570" s="5"/>
      <c r="H570" s="5"/>
      <c r="I570" s="5"/>
      <c r="J570" s="5"/>
      <c r="K570" s="5"/>
      <c r="L570" s="5"/>
      <c r="M570" s="5"/>
      <c r="N570" s="5"/>
    </row>
    <row r="571" ht="14.25" customHeight="1">
      <c r="A571" s="5"/>
      <c r="B571" s="5"/>
      <c r="C571" s="6"/>
      <c r="D571" s="5"/>
      <c r="E571" s="5"/>
      <c r="F571" s="5"/>
      <c r="G571" s="5"/>
      <c r="H571" s="5"/>
      <c r="I571" s="5"/>
      <c r="J571" s="5"/>
      <c r="K571" s="5"/>
      <c r="L571" s="5"/>
      <c r="M571" s="5"/>
      <c r="N571" s="5"/>
    </row>
    <row r="572" ht="14.25" customHeight="1">
      <c r="A572" s="5"/>
      <c r="B572" s="5"/>
      <c r="C572" s="6"/>
      <c r="D572" s="5"/>
      <c r="E572" s="5"/>
      <c r="F572" s="5"/>
      <c r="G572" s="5"/>
      <c r="H572" s="5"/>
      <c r="I572" s="5"/>
      <c r="J572" s="5"/>
      <c r="K572" s="5"/>
      <c r="L572" s="5"/>
      <c r="M572" s="5"/>
      <c r="N572" s="5"/>
    </row>
    <row r="573" ht="14.25" customHeight="1">
      <c r="A573" s="5"/>
      <c r="B573" s="5"/>
      <c r="C573" s="6"/>
      <c r="D573" s="5"/>
      <c r="E573" s="5"/>
      <c r="F573" s="5"/>
      <c r="G573" s="5"/>
      <c r="H573" s="5"/>
      <c r="I573" s="5"/>
      <c r="J573" s="5"/>
      <c r="K573" s="5"/>
      <c r="L573" s="5"/>
      <c r="M573" s="5"/>
      <c r="N573" s="5"/>
    </row>
    <row r="574" ht="14.25" customHeight="1">
      <c r="A574" s="5"/>
      <c r="B574" s="5"/>
      <c r="C574" s="6"/>
      <c r="D574" s="5"/>
      <c r="E574" s="5"/>
      <c r="F574" s="5"/>
      <c r="G574" s="5"/>
      <c r="H574" s="5"/>
      <c r="I574" s="5"/>
      <c r="J574" s="5"/>
      <c r="K574" s="5"/>
      <c r="L574" s="5"/>
      <c r="M574" s="5"/>
      <c r="N574" s="5"/>
    </row>
    <row r="575" ht="14.25" customHeight="1">
      <c r="A575" s="5"/>
      <c r="B575" s="5"/>
      <c r="C575" s="6"/>
      <c r="D575" s="5"/>
      <c r="E575" s="5"/>
      <c r="F575" s="5"/>
      <c r="G575" s="5"/>
      <c r="H575" s="5"/>
      <c r="I575" s="5"/>
      <c r="J575" s="5"/>
      <c r="K575" s="5"/>
      <c r="L575" s="5"/>
      <c r="M575" s="5"/>
      <c r="N575" s="5"/>
    </row>
    <row r="576" ht="14.25" customHeight="1">
      <c r="A576" s="5"/>
      <c r="B576" s="5"/>
      <c r="C576" s="6"/>
      <c r="D576" s="5"/>
      <c r="E576" s="5"/>
      <c r="F576" s="5"/>
      <c r="G576" s="5"/>
      <c r="H576" s="5"/>
      <c r="I576" s="5"/>
      <c r="J576" s="5"/>
      <c r="K576" s="5"/>
      <c r="L576" s="5"/>
      <c r="M576" s="5"/>
      <c r="N576" s="5"/>
    </row>
    <row r="577" ht="14.25" customHeight="1">
      <c r="A577" s="5"/>
      <c r="B577" s="5"/>
      <c r="C577" s="6"/>
      <c r="D577" s="5"/>
      <c r="E577" s="5"/>
      <c r="F577" s="5"/>
      <c r="G577" s="5"/>
      <c r="H577" s="5"/>
      <c r="I577" s="5"/>
      <c r="J577" s="5"/>
      <c r="K577" s="5"/>
      <c r="L577" s="5"/>
      <c r="M577" s="5"/>
      <c r="N577" s="5"/>
    </row>
    <row r="578" ht="14.25" customHeight="1">
      <c r="A578" s="5"/>
      <c r="B578" s="5"/>
      <c r="C578" s="6"/>
      <c r="D578" s="5"/>
      <c r="E578" s="5"/>
      <c r="F578" s="5"/>
      <c r="G578" s="5"/>
      <c r="H578" s="5"/>
      <c r="I578" s="5"/>
      <c r="J578" s="5"/>
      <c r="K578" s="5"/>
      <c r="L578" s="5"/>
      <c r="M578" s="5"/>
      <c r="N578" s="5"/>
    </row>
    <row r="579" ht="14.25" customHeight="1">
      <c r="A579" s="5"/>
      <c r="B579" s="5"/>
      <c r="C579" s="6"/>
      <c r="D579" s="5"/>
      <c r="E579" s="5"/>
      <c r="F579" s="5"/>
      <c r="G579" s="5"/>
      <c r="H579" s="5"/>
      <c r="I579" s="5"/>
      <c r="J579" s="5"/>
      <c r="K579" s="5"/>
      <c r="L579" s="5"/>
      <c r="M579" s="5"/>
      <c r="N579" s="5"/>
    </row>
    <row r="580" ht="14.25" customHeight="1">
      <c r="A580" s="5"/>
      <c r="B580" s="5"/>
      <c r="C580" s="6"/>
      <c r="D580" s="5"/>
      <c r="E580" s="5"/>
      <c r="F580" s="5"/>
      <c r="G580" s="5"/>
      <c r="H580" s="5"/>
      <c r="I580" s="5"/>
      <c r="J580" s="5"/>
      <c r="K580" s="5"/>
      <c r="L580" s="5"/>
      <c r="M580" s="5"/>
      <c r="N580" s="5"/>
    </row>
    <row r="581" ht="14.25" customHeight="1">
      <c r="A581" s="5"/>
      <c r="B581" s="5"/>
      <c r="C581" s="6"/>
      <c r="D581" s="5"/>
      <c r="E581" s="5"/>
      <c r="F581" s="5"/>
      <c r="G581" s="5"/>
      <c r="H581" s="5"/>
      <c r="I581" s="5"/>
      <c r="J581" s="5"/>
      <c r="K581" s="5"/>
      <c r="L581" s="5"/>
      <c r="M581" s="5"/>
      <c r="N581" s="5"/>
    </row>
    <row r="582" ht="14.25" customHeight="1">
      <c r="A582" s="5"/>
      <c r="B582" s="5"/>
      <c r="C582" s="6"/>
      <c r="D582" s="5"/>
      <c r="E582" s="5"/>
      <c r="F582" s="5"/>
      <c r="G582" s="5"/>
      <c r="H582" s="5"/>
      <c r="I582" s="5"/>
      <c r="J582" s="5"/>
      <c r="K582" s="5"/>
      <c r="L582" s="5"/>
      <c r="M582" s="5"/>
      <c r="N582" s="5"/>
    </row>
    <row r="583" ht="14.25" customHeight="1">
      <c r="A583" s="5"/>
      <c r="B583" s="5"/>
      <c r="C583" s="6"/>
      <c r="D583" s="5"/>
      <c r="E583" s="5"/>
      <c r="F583" s="5"/>
      <c r="G583" s="5"/>
      <c r="H583" s="5"/>
      <c r="I583" s="5"/>
      <c r="J583" s="5"/>
      <c r="K583" s="5"/>
      <c r="L583" s="5"/>
      <c r="M583" s="5"/>
      <c r="N583" s="5"/>
    </row>
    <row r="584" ht="14.25" customHeight="1">
      <c r="A584" s="5"/>
      <c r="B584" s="5"/>
      <c r="C584" s="6"/>
      <c r="D584" s="5"/>
      <c r="E584" s="5"/>
      <c r="F584" s="5"/>
      <c r="G584" s="5"/>
      <c r="H584" s="5"/>
      <c r="I584" s="5"/>
      <c r="J584" s="5"/>
      <c r="K584" s="5"/>
      <c r="L584" s="5"/>
      <c r="M584" s="5"/>
      <c r="N584" s="5"/>
    </row>
    <row r="585" ht="14.25" customHeight="1">
      <c r="A585" s="5"/>
      <c r="B585" s="5"/>
      <c r="C585" s="6"/>
      <c r="D585" s="5"/>
      <c r="E585" s="5"/>
      <c r="F585" s="5"/>
      <c r="G585" s="5"/>
      <c r="H585" s="5"/>
      <c r="I585" s="5"/>
      <c r="J585" s="5"/>
      <c r="K585" s="5"/>
      <c r="L585" s="5"/>
      <c r="M585" s="5"/>
      <c r="N585" s="5"/>
    </row>
    <row r="586" ht="14.25" customHeight="1">
      <c r="A586" s="5"/>
      <c r="B586" s="5"/>
      <c r="C586" s="6"/>
      <c r="D586" s="5"/>
      <c r="E586" s="5"/>
      <c r="F586" s="5"/>
      <c r="G586" s="5"/>
      <c r="H586" s="5"/>
      <c r="I586" s="5"/>
      <c r="J586" s="5"/>
      <c r="K586" s="5"/>
      <c r="L586" s="5"/>
      <c r="M586" s="5"/>
      <c r="N586" s="5"/>
    </row>
    <row r="587" ht="14.25" customHeight="1">
      <c r="A587" s="5"/>
      <c r="B587" s="5"/>
      <c r="C587" s="6"/>
      <c r="D587" s="5"/>
      <c r="E587" s="5"/>
      <c r="F587" s="5"/>
      <c r="G587" s="5"/>
      <c r="H587" s="5"/>
      <c r="I587" s="5"/>
      <c r="J587" s="5"/>
      <c r="K587" s="5"/>
      <c r="L587" s="5"/>
      <c r="M587" s="5"/>
      <c r="N587" s="5"/>
    </row>
    <row r="588" ht="14.25" customHeight="1">
      <c r="A588" s="5"/>
      <c r="B588" s="5"/>
      <c r="C588" s="6"/>
      <c r="D588" s="5"/>
      <c r="E588" s="5"/>
      <c r="F588" s="5"/>
      <c r="G588" s="5"/>
      <c r="H588" s="5"/>
      <c r="I588" s="5"/>
      <c r="J588" s="5"/>
      <c r="K588" s="5"/>
      <c r="L588" s="5"/>
      <c r="M588" s="5"/>
      <c r="N588" s="5"/>
    </row>
    <row r="589" ht="14.25" customHeight="1">
      <c r="A589" s="5"/>
      <c r="B589" s="5"/>
      <c r="C589" s="6"/>
      <c r="D589" s="5"/>
      <c r="E589" s="5"/>
      <c r="F589" s="5"/>
      <c r="G589" s="5"/>
      <c r="H589" s="5"/>
      <c r="I589" s="5"/>
      <c r="J589" s="5"/>
      <c r="K589" s="5"/>
      <c r="L589" s="5"/>
      <c r="M589" s="5"/>
      <c r="N589" s="5"/>
    </row>
    <row r="590" ht="14.25" customHeight="1">
      <c r="A590" s="5"/>
      <c r="B590" s="5"/>
      <c r="C590" s="6"/>
      <c r="D590" s="5"/>
      <c r="E590" s="5"/>
      <c r="F590" s="5"/>
      <c r="G590" s="5"/>
      <c r="H590" s="5"/>
      <c r="I590" s="5"/>
      <c r="J590" s="5"/>
      <c r="K590" s="5"/>
      <c r="L590" s="5"/>
      <c r="M590" s="5"/>
      <c r="N590" s="5"/>
    </row>
    <row r="591" ht="14.25" customHeight="1">
      <c r="A591" s="5"/>
      <c r="B591" s="5"/>
      <c r="C591" s="6"/>
      <c r="D591" s="5"/>
      <c r="E591" s="5"/>
      <c r="F591" s="5"/>
      <c r="G591" s="5"/>
      <c r="H591" s="5"/>
      <c r="I591" s="5"/>
      <c r="J591" s="5"/>
      <c r="K591" s="5"/>
      <c r="L591" s="5"/>
      <c r="M591" s="5"/>
      <c r="N591" s="5"/>
    </row>
    <row r="592" ht="14.25" customHeight="1">
      <c r="A592" s="5"/>
      <c r="B592" s="5"/>
      <c r="C592" s="6"/>
      <c r="D592" s="5"/>
      <c r="E592" s="5"/>
      <c r="F592" s="5"/>
      <c r="G592" s="5"/>
      <c r="H592" s="5"/>
      <c r="I592" s="5"/>
      <c r="J592" s="5"/>
      <c r="K592" s="5"/>
      <c r="L592" s="5"/>
      <c r="M592" s="5"/>
      <c r="N592" s="5"/>
    </row>
    <row r="593" ht="14.25" customHeight="1">
      <c r="A593" s="5"/>
      <c r="B593" s="5"/>
      <c r="C593" s="6"/>
      <c r="D593" s="5"/>
      <c r="E593" s="5"/>
      <c r="F593" s="5"/>
      <c r="G593" s="5"/>
      <c r="H593" s="5"/>
      <c r="I593" s="5"/>
      <c r="J593" s="5"/>
      <c r="K593" s="5"/>
      <c r="L593" s="5"/>
      <c r="M593" s="5"/>
      <c r="N593" s="5"/>
    </row>
    <row r="594" ht="14.25" customHeight="1">
      <c r="A594" s="5"/>
      <c r="B594" s="5"/>
      <c r="C594" s="6"/>
      <c r="D594" s="5"/>
      <c r="E594" s="5"/>
      <c r="F594" s="5"/>
      <c r="G594" s="5"/>
      <c r="H594" s="5"/>
      <c r="I594" s="5"/>
      <c r="J594" s="5"/>
      <c r="K594" s="5"/>
      <c r="L594" s="5"/>
      <c r="M594" s="5"/>
      <c r="N594" s="5"/>
    </row>
    <row r="595" ht="14.25" customHeight="1">
      <c r="A595" s="5"/>
      <c r="B595" s="5"/>
      <c r="C595" s="6"/>
      <c r="D595" s="5"/>
      <c r="E595" s="5"/>
      <c r="F595" s="5"/>
      <c r="G595" s="5"/>
      <c r="H595" s="5"/>
      <c r="I595" s="5"/>
      <c r="J595" s="5"/>
      <c r="K595" s="5"/>
      <c r="L595" s="5"/>
      <c r="M595" s="5"/>
      <c r="N595" s="5"/>
    </row>
    <row r="596" ht="14.25" customHeight="1">
      <c r="A596" s="5"/>
      <c r="B596" s="5"/>
      <c r="C596" s="6"/>
      <c r="D596" s="5"/>
      <c r="E596" s="5"/>
      <c r="F596" s="5"/>
      <c r="G596" s="5"/>
      <c r="H596" s="5"/>
      <c r="I596" s="5"/>
      <c r="J596" s="5"/>
      <c r="K596" s="5"/>
      <c r="L596" s="5"/>
      <c r="M596" s="5"/>
      <c r="N596" s="5"/>
    </row>
    <row r="597" ht="14.25" customHeight="1">
      <c r="A597" s="5"/>
      <c r="B597" s="5"/>
      <c r="C597" s="6"/>
      <c r="D597" s="5"/>
      <c r="E597" s="5"/>
      <c r="F597" s="5"/>
      <c r="G597" s="5"/>
      <c r="H597" s="5"/>
      <c r="I597" s="5"/>
      <c r="J597" s="5"/>
      <c r="K597" s="5"/>
      <c r="L597" s="5"/>
      <c r="M597" s="5"/>
      <c r="N597" s="5"/>
    </row>
    <row r="598" ht="14.25" customHeight="1">
      <c r="A598" s="5"/>
      <c r="B598" s="5"/>
      <c r="C598" s="6"/>
      <c r="D598" s="5"/>
      <c r="E598" s="5"/>
      <c r="F598" s="5"/>
      <c r="G598" s="5"/>
      <c r="H598" s="5"/>
      <c r="I598" s="5"/>
      <c r="J598" s="5"/>
      <c r="K598" s="5"/>
      <c r="L598" s="5"/>
      <c r="M598" s="5"/>
      <c r="N598" s="5"/>
    </row>
    <row r="599" ht="14.25" customHeight="1">
      <c r="A599" s="5"/>
      <c r="B599" s="5"/>
      <c r="C599" s="6"/>
      <c r="D599" s="5"/>
      <c r="E599" s="5"/>
      <c r="F599" s="5"/>
      <c r="G599" s="5"/>
      <c r="H599" s="5"/>
      <c r="I599" s="5"/>
      <c r="J599" s="5"/>
      <c r="K599" s="5"/>
      <c r="L599" s="5"/>
      <c r="M599" s="5"/>
      <c r="N599" s="5"/>
    </row>
    <row r="600" ht="14.25" customHeight="1">
      <c r="A600" s="5"/>
      <c r="B600" s="5"/>
      <c r="C600" s="6"/>
      <c r="D600" s="5"/>
      <c r="E600" s="5"/>
      <c r="F600" s="5"/>
      <c r="G600" s="5"/>
      <c r="H600" s="5"/>
      <c r="I600" s="5"/>
      <c r="J600" s="5"/>
      <c r="K600" s="5"/>
      <c r="L600" s="5"/>
      <c r="M600" s="5"/>
      <c r="N600" s="5"/>
    </row>
    <row r="601" ht="14.25" customHeight="1">
      <c r="A601" s="5"/>
      <c r="B601" s="5"/>
      <c r="C601" s="6"/>
      <c r="D601" s="5"/>
      <c r="E601" s="5"/>
      <c r="F601" s="5"/>
      <c r="G601" s="5"/>
      <c r="H601" s="5"/>
      <c r="I601" s="5"/>
      <c r="J601" s="5"/>
      <c r="K601" s="5"/>
      <c r="L601" s="5"/>
      <c r="M601" s="5"/>
      <c r="N601" s="5"/>
    </row>
    <row r="602" ht="14.25" customHeight="1">
      <c r="A602" s="5"/>
      <c r="B602" s="5"/>
      <c r="C602" s="6"/>
      <c r="D602" s="5"/>
      <c r="E602" s="5"/>
      <c r="F602" s="5"/>
      <c r="G602" s="5"/>
      <c r="H602" s="5"/>
      <c r="I602" s="5"/>
      <c r="J602" s="5"/>
      <c r="K602" s="5"/>
      <c r="L602" s="5"/>
      <c r="M602" s="5"/>
      <c r="N602" s="5"/>
    </row>
    <row r="603" ht="14.25" customHeight="1">
      <c r="A603" s="5"/>
      <c r="B603" s="5"/>
      <c r="C603" s="6"/>
      <c r="D603" s="5"/>
      <c r="E603" s="5"/>
      <c r="F603" s="5"/>
      <c r="G603" s="5"/>
      <c r="H603" s="5"/>
      <c r="I603" s="5"/>
      <c r="J603" s="5"/>
      <c r="K603" s="5"/>
      <c r="L603" s="5"/>
      <c r="M603" s="5"/>
      <c r="N603" s="5"/>
    </row>
    <row r="604" ht="14.25" customHeight="1">
      <c r="A604" s="5"/>
      <c r="B604" s="5"/>
      <c r="C604" s="6"/>
      <c r="D604" s="5"/>
      <c r="E604" s="5"/>
      <c r="F604" s="5"/>
      <c r="G604" s="5"/>
      <c r="H604" s="5"/>
      <c r="I604" s="5"/>
      <c r="J604" s="5"/>
      <c r="K604" s="5"/>
      <c r="L604" s="5"/>
      <c r="M604" s="5"/>
      <c r="N604" s="5"/>
    </row>
    <row r="605" ht="14.25" customHeight="1">
      <c r="A605" s="5"/>
      <c r="B605" s="5"/>
      <c r="C605" s="6"/>
      <c r="D605" s="5"/>
      <c r="E605" s="5"/>
      <c r="F605" s="5"/>
      <c r="G605" s="5"/>
      <c r="H605" s="5"/>
      <c r="I605" s="5"/>
      <c r="J605" s="5"/>
      <c r="K605" s="5"/>
      <c r="L605" s="5"/>
      <c r="M605" s="5"/>
      <c r="N605" s="5"/>
    </row>
    <row r="606" ht="14.25" customHeight="1">
      <c r="A606" s="5"/>
      <c r="B606" s="5"/>
      <c r="C606" s="6"/>
      <c r="D606" s="5"/>
      <c r="E606" s="5"/>
      <c r="F606" s="5"/>
      <c r="G606" s="5"/>
      <c r="H606" s="5"/>
      <c r="I606" s="5"/>
      <c r="J606" s="5"/>
      <c r="K606" s="5"/>
      <c r="L606" s="5"/>
      <c r="M606" s="5"/>
      <c r="N606" s="5"/>
    </row>
    <row r="607" ht="14.25" customHeight="1">
      <c r="A607" s="5"/>
      <c r="B607" s="5"/>
      <c r="C607" s="6"/>
      <c r="D607" s="5"/>
      <c r="E607" s="5"/>
      <c r="F607" s="5"/>
      <c r="G607" s="5"/>
      <c r="H607" s="5"/>
      <c r="I607" s="5"/>
      <c r="J607" s="5"/>
      <c r="K607" s="5"/>
      <c r="L607" s="5"/>
      <c r="M607" s="5"/>
      <c r="N607" s="5"/>
    </row>
    <row r="608" ht="14.25" customHeight="1">
      <c r="A608" s="5"/>
      <c r="B608" s="5"/>
      <c r="C608" s="6"/>
      <c r="D608" s="5"/>
      <c r="E608" s="5"/>
      <c r="F608" s="5"/>
      <c r="G608" s="5"/>
      <c r="H608" s="5"/>
      <c r="I608" s="5"/>
      <c r="J608" s="5"/>
      <c r="K608" s="5"/>
      <c r="L608" s="5"/>
      <c r="M608" s="5"/>
      <c r="N608" s="5"/>
    </row>
    <row r="609" ht="14.25" customHeight="1">
      <c r="A609" s="5"/>
      <c r="B609" s="5"/>
      <c r="C609" s="6"/>
      <c r="D609" s="5"/>
      <c r="E609" s="5"/>
      <c r="F609" s="5"/>
      <c r="G609" s="5"/>
      <c r="H609" s="5"/>
      <c r="I609" s="5"/>
      <c r="J609" s="5"/>
      <c r="K609" s="5"/>
      <c r="L609" s="5"/>
      <c r="M609" s="5"/>
      <c r="N609" s="5"/>
    </row>
    <row r="610" ht="14.25" customHeight="1">
      <c r="A610" s="5"/>
      <c r="B610" s="5"/>
      <c r="C610" s="6"/>
      <c r="D610" s="5"/>
      <c r="E610" s="5"/>
      <c r="F610" s="5"/>
      <c r="G610" s="5"/>
      <c r="H610" s="5"/>
      <c r="I610" s="5"/>
      <c r="J610" s="5"/>
      <c r="K610" s="5"/>
      <c r="L610" s="5"/>
      <c r="M610" s="5"/>
      <c r="N610" s="5"/>
    </row>
    <row r="611" ht="14.25" customHeight="1">
      <c r="A611" s="5"/>
      <c r="B611" s="5"/>
      <c r="C611" s="6"/>
      <c r="D611" s="5"/>
      <c r="E611" s="5"/>
      <c r="F611" s="5"/>
      <c r="G611" s="5"/>
      <c r="H611" s="5"/>
      <c r="I611" s="5"/>
      <c r="J611" s="5"/>
      <c r="K611" s="5"/>
      <c r="L611" s="5"/>
      <c r="M611" s="5"/>
      <c r="N611" s="5"/>
    </row>
    <row r="612" ht="14.25" customHeight="1">
      <c r="A612" s="5"/>
      <c r="B612" s="5"/>
      <c r="C612" s="6"/>
      <c r="D612" s="5"/>
      <c r="E612" s="5"/>
      <c r="F612" s="5"/>
      <c r="G612" s="5"/>
      <c r="H612" s="5"/>
      <c r="I612" s="5"/>
      <c r="J612" s="5"/>
      <c r="K612" s="5"/>
      <c r="L612" s="5"/>
      <c r="M612" s="5"/>
      <c r="N612" s="5"/>
    </row>
    <row r="613" ht="14.25" customHeight="1">
      <c r="A613" s="5"/>
      <c r="B613" s="5"/>
      <c r="C613" s="6"/>
      <c r="D613" s="5"/>
      <c r="E613" s="5"/>
      <c r="F613" s="5"/>
      <c r="G613" s="5"/>
      <c r="H613" s="5"/>
      <c r="I613" s="5"/>
      <c r="J613" s="5"/>
      <c r="K613" s="5"/>
      <c r="L613" s="5"/>
      <c r="M613" s="5"/>
      <c r="N613" s="5"/>
    </row>
    <row r="614" ht="14.25" customHeight="1">
      <c r="A614" s="5"/>
      <c r="B614" s="5"/>
      <c r="C614" s="6"/>
      <c r="D614" s="5"/>
      <c r="E614" s="5"/>
      <c r="F614" s="5"/>
      <c r="G614" s="5"/>
      <c r="H614" s="5"/>
      <c r="I614" s="5"/>
      <c r="J614" s="5"/>
      <c r="K614" s="5"/>
      <c r="L614" s="5"/>
      <c r="M614" s="5"/>
      <c r="N614" s="5"/>
    </row>
    <row r="615" ht="14.25" customHeight="1">
      <c r="A615" s="5"/>
      <c r="B615" s="5"/>
      <c r="C615" s="6"/>
      <c r="D615" s="5"/>
      <c r="E615" s="5"/>
      <c r="F615" s="5"/>
      <c r="G615" s="5"/>
      <c r="H615" s="5"/>
      <c r="I615" s="5"/>
      <c r="J615" s="5"/>
      <c r="K615" s="5"/>
      <c r="L615" s="5"/>
      <c r="M615" s="5"/>
      <c r="N615" s="5"/>
    </row>
    <row r="616" ht="14.25" customHeight="1">
      <c r="A616" s="5"/>
      <c r="B616" s="5"/>
      <c r="C616" s="6"/>
      <c r="D616" s="5"/>
      <c r="E616" s="5"/>
      <c r="F616" s="5"/>
      <c r="G616" s="5"/>
      <c r="H616" s="5"/>
      <c r="I616" s="5"/>
      <c r="J616" s="5"/>
      <c r="K616" s="5"/>
      <c r="L616" s="5"/>
      <c r="M616" s="5"/>
      <c r="N616" s="5"/>
    </row>
    <row r="617" ht="14.25" customHeight="1">
      <c r="A617" s="5"/>
      <c r="B617" s="5"/>
      <c r="C617" s="6"/>
      <c r="D617" s="5"/>
      <c r="E617" s="5"/>
      <c r="F617" s="5"/>
      <c r="G617" s="5"/>
      <c r="H617" s="5"/>
      <c r="I617" s="5"/>
      <c r="J617" s="5"/>
      <c r="K617" s="5"/>
      <c r="L617" s="5"/>
      <c r="M617" s="5"/>
      <c r="N617" s="5"/>
    </row>
    <row r="618" ht="14.25" customHeight="1">
      <c r="A618" s="5"/>
      <c r="B618" s="5"/>
      <c r="C618" s="6"/>
      <c r="D618" s="5"/>
      <c r="E618" s="5"/>
      <c r="F618" s="5"/>
      <c r="G618" s="5"/>
      <c r="H618" s="5"/>
      <c r="I618" s="5"/>
      <c r="J618" s="5"/>
      <c r="K618" s="5"/>
      <c r="L618" s="5"/>
      <c r="M618" s="5"/>
      <c r="N618" s="5"/>
    </row>
    <row r="619" ht="14.25" customHeight="1">
      <c r="A619" s="5"/>
      <c r="B619" s="5"/>
      <c r="C619" s="6"/>
      <c r="D619" s="5"/>
      <c r="E619" s="5"/>
      <c r="F619" s="5"/>
      <c r="G619" s="5"/>
      <c r="H619" s="5"/>
      <c r="I619" s="5"/>
      <c r="J619" s="5"/>
      <c r="K619" s="5"/>
      <c r="L619" s="5"/>
      <c r="M619" s="5"/>
      <c r="N619" s="5"/>
    </row>
    <row r="620" ht="14.25" customHeight="1">
      <c r="A620" s="5"/>
      <c r="B620" s="5"/>
      <c r="C620" s="6"/>
      <c r="D620" s="5"/>
      <c r="E620" s="5"/>
      <c r="F620" s="5"/>
      <c r="G620" s="5"/>
      <c r="H620" s="5"/>
      <c r="I620" s="5"/>
      <c r="J620" s="5"/>
      <c r="K620" s="5"/>
      <c r="L620" s="5"/>
      <c r="M620" s="5"/>
      <c r="N620" s="5"/>
    </row>
    <row r="621" ht="14.25" customHeight="1">
      <c r="A621" s="5"/>
      <c r="B621" s="5"/>
      <c r="C621" s="6"/>
      <c r="D621" s="5"/>
      <c r="E621" s="5"/>
      <c r="F621" s="5"/>
      <c r="G621" s="5"/>
      <c r="H621" s="5"/>
      <c r="I621" s="5"/>
      <c r="J621" s="5"/>
      <c r="K621" s="5"/>
      <c r="L621" s="5"/>
      <c r="M621" s="5"/>
      <c r="N621" s="5"/>
    </row>
    <row r="622" ht="14.25" customHeight="1">
      <c r="A622" s="5"/>
      <c r="B622" s="5"/>
      <c r="C622" s="6"/>
      <c r="D622" s="5"/>
      <c r="E622" s="5"/>
      <c r="F622" s="5"/>
      <c r="G622" s="5"/>
      <c r="H622" s="5"/>
      <c r="I622" s="5"/>
      <c r="J622" s="5"/>
      <c r="K622" s="5"/>
      <c r="L622" s="5"/>
      <c r="M622" s="5"/>
      <c r="N622" s="5"/>
    </row>
    <row r="623" ht="14.25" customHeight="1">
      <c r="A623" s="5"/>
      <c r="B623" s="5"/>
      <c r="C623" s="6"/>
      <c r="D623" s="5"/>
      <c r="E623" s="5"/>
      <c r="F623" s="5"/>
      <c r="G623" s="5"/>
      <c r="H623" s="5"/>
      <c r="I623" s="5"/>
      <c r="J623" s="5"/>
      <c r="K623" s="5"/>
      <c r="L623" s="5"/>
      <c r="M623" s="5"/>
      <c r="N623" s="5"/>
    </row>
    <row r="624" ht="14.25" customHeight="1">
      <c r="A624" s="5"/>
      <c r="B624" s="5"/>
      <c r="C624" s="6"/>
      <c r="D624" s="5"/>
      <c r="E624" s="5"/>
      <c r="F624" s="5"/>
      <c r="G624" s="5"/>
      <c r="H624" s="5"/>
      <c r="I624" s="5"/>
      <c r="J624" s="5"/>
      <c r="K624" s="5"/>
      <c r="L624" s="5"/>
      <c r="M624" s="5"/>
      <c r="N624" s="5"/>
    </row>
    <row r="625" ht="14.25" customHeight="1">
      <c r="A625" s="5"/>
      <c r="B625" s="5"/>
      <c r="C625" s="6"/>
      <c r="D625" s="5"/>
      <c r="E625" s="5"/>
      <c r="F625" s="5"/>
      <c r="G625" s="5"/>
      <c r="H625" s="5"/>
      <c r="I625" s="5"/>
      <c r="J625" s="5"/>
      <c r="K625" s="5"/>
      <c r="L625" s="5"/>
      <c r="M625" s="5"/>
      <c r="N625" s="5"/>
    </row>
    <row r="626" ht="14.25" customHeight="1">
      <c r="A626" s="5"/>
      <c r="B626" s="5"/>
      <c r="C626" s="6"/>
      <c r="D626" s="5"/>
      <c r="E626" s="5"/>
      <c r="F626" s="5"/>
      <c r="G626" s="5"/>
      <c r="H626" s="5"/>
      <c r="I626" s="5"/>
      <c r="J626" s="5"/>
      <c r="K626" s="5"/>
      <c r="L626" s="5"/>
      <c r="M626" s="5"/>
      <c r="N626" s="5"/>
    </row>
    <row r="627" ht="14.25" customHeight="1">
      <c r="A627" s="5"/>
      <c r="B627" s="5"/>
      <c r="C627" s="6"/>
      <c r="D627" s="5"/>
      <c r="E627" s="5"/>
      <c r="F627" s="5"/>
      <c r="G627" s="5"/>
      <c r="H627" s="5"/>
      <c r="I627" s="5"/>
      <c r="J627" s="5"/>
      <c r="K627" s="5"/>
      <c r="L627" s="5"/>
      <c r="M627" s="5"/>
      <c r="N627" s="5"/>
    </row>
    <row r="628" ht="14.25" customHeight="1">
      <c r="A628" s="5"/>
      <c r="B628" s="5"/>
      <c r="C628" s="6"/>
      <c r="D628" s="5"/>
      <c r="E628" s="5"/>
      <c r="F628" s="5"/>
      <c r="G628" s="5"/>
      <c r="H628" s="5"/>
      <c r="I628" s="5"/>
      <c r="J628" s="5"/>
      <c r="K628" s="5"/>
      <c r="L628" s="5"/>
      <c r="M628" s="5"/>
      <c r="N628" s="5"/>
    </row>
    <row r="629" ht="14.25" customHeight="1">
      <c r="A629" s="5"/>
      <c r="B629" s="5"/>
      <c r="C629" s="6"/>
      <c r="D629" s="5"/>
      <c r="E629" s="5"/>
      <c r="F629" s="5"/>
      <c r="G629" s="5"/>
      <c r="H629" s="5"/>
      <c r="I629" s="5"/>
      <c r="J629" s="5"/>
      <c r="K629" s="5"/>
      <c r="L629" s="5"/>
      <c r="M629" s="5"/>
      <c r="N629" s="5"/>
    </row>
    <row r="630" ht="14.25" customHeight="1">
      <c r="A630" s="5"/>
      <c r="B630" s="5"/>
      <c r="C630" s="6"/>
      <c r="D630" s="5"/>
      <c r="E630" s="5"/>
      <c r="F630" s="5"/>
      <c r="G630" s="5"/>
      <c r="H630" s="5"/>
      <c r="I630" s="5"/>
      <c r="J630" s="5"/>
      <c r="K630" s="5"/>
      <c r="L630" s="5"/>
      <c r="M630" s="5"/>
      <c r="N630" s="5"/>
    </row>
    <row r="631" ht="14.25" customHeight="1">
      <c r="A631" s="5"/>
      <c r="B631" s="5"/>
      <c r="C631" s="6"/>
      <c r="D631" s="5"/>
      <c r="E631" s="5"/>
      <c r="F631" s="5"/>
      <c r="G631" s="5"/>
      <c r="H631" s="5"/>
      <c r="I631" s="5"/>
      <c r="J631" s="5"/>
      <c r="K631" s="5"/>
      <c r="L631" s="5"/>
      <c r="M631" s="5"/>
      <c r="N631" s="5"/>
    </row>
    <row r="632" ht="14.25" customHeight="1">
      <c r="A632" s="5"/>
      <c r="B632" s="5"/>
      <c r="C632" s="6"/>
      <c r="D632" s="5"/>
      <c r="E632" s="5"/>
      <c r="F632" s="5"/>
      <c r="G632" s="5"/>
      <c r="H632" s="5"/>
      <c r="I632" s="5"/>
      <c r="J632" s="5"/>
      <c r="K632" s="5"/>
      <c r="L632" s="5"/>
      <c r="M632" s="5"/>
      <c r="N632" s="5"/>
    </row>
    <row r="633" ht="14.25" customHeight="1">
      <c r="A633" s="5"/>
      <c r="B633" s="5"/>
      <c r="C633" s="6"/>
      <c r="D633" s="5"/>
      <c r="E633" s="5"/>
      <c r="F633" s="5"/>
      <c r="G633" s="5"/>
      <c r="H633" s="5"/>
      <c r="I633" s="5"/>
      <c r="J633" s="5"/>
      <c r="K633" s="5"/>
      <c r="L633" s="5"/>
      <c r="M633" s="5"/>
      <c r="N633" s="5"/>
    </row>
    <row r="634" ht="14.25" customHeight="1">
      <c r="A634" s="5"/>
      <c r="B634" s="5"/>
      <c r="C634" s="6"/>
      <c r="D634" s="5"/>
      <c r="E634" s="5"/>
      <c r="F634" s="5"/>
      <c r="G634" s="5"/>
      <c r="H634" s="5"/>
      <c r="I634" s="5"/>
      <c r="J634" s="5"/>
      <c r="K634" s="5"/>
      <c r="L634" s="5"/>
      <c r="M634" s="5"/>
      <c r="N634" s="5"/>
    </row>
    <row r="635" ht="14.25" customHeight="1">
      <c r="A635" s="5"/>
      <c r="B635" s="5"/>
      <c r="C635" s="6"/>
      <c r="D635" s="5"/>
      <c r="E635" s="5"/>
      <c r="F635" s="5"/>
      <c r="G635" s="5"/>
      <c r="H635" s="5"/>
      <c r="I635" s="5"/>
      <c r="J635" s="5"/>
      <c r="K635" s="5"/>
      <c r="L635" s="5"/>
      <c r="M635" s="5"/>
      <c r="N635" s="5"/>
    </row>
    <row r="636" ht="14.25" customHeight="1">
      <c r="A636" s="5"/>
      <c r="B636" s="5"/>
      <c r="C636" s="6"/>
      <c r="D636" s="5"/>
      <c r="E636" s="5"/>
      <c r="F636" s="5"/>
      <c r="G636" s="5"/>
      <c r="H636" s="5"/>
      <c r="I636" s="5"/>
      <c r="J636" s="5"/>
      <c r="K636" s="5"/>
      <c r="L636" s="5"/>
      <c r="M636" s="5"/>
      <c r="N636" s="5"/>
    </row>
    <row r="637" ht="14.25" customHeight="1">
      <c r="A637" s="5"/>
      <c r="B637" s="5"/>
      <c r="C637" s="6"/>
      <c r="D637" s="5"/>
      <c r="E637" s="5"/>
      <c r="F637" s="5"/>
      <c r="G637" s="5"/>
      <c r="H637" s="5"/>
      <c r="I637" s="5"/>
      <c r="J637" s="5"/>
      <c r="K637" s="5"/>
      <c r="L637" s="5"/>
      <c r="M637" s="5"/>
      <c r="N637" s="5"/>
    </row>
    <row r="638" ht="14.25" customHeight="1">
      <c r="A638" s="5"/>
      <c r="B638" s="5"/>
      <c r="C638" s="6"/>
      <c r="D638" s="5"/>
      <c r="E638" s="5"/>
      <c r="F638" s="5"/>
      <c r="G638" s="5"/>
      <c r="H638" s="5"/>
      <c r="I638" s="5"/>
      <c r="J638" s="5"/>
      <c r="K638" s="5"/>
      <c r="L638" s="5"/>
      <c r="M638" s="5"/>
      <c r="N638" s="5"/>
    </row>
    <row r="639" ht="14.25" customHeight="1">
      <c r="A639" s="5"/>
      <c r="B639" s="5"/>
      <c r="C639" s="6"/>
      <c r="D639" s="5"/>
      <c r="E639" s="5"/>
      <c r="F639" s="5"/>
      <c r="G639" s="5"/>
      <c r="H639" s="5"/>
      <c r="I639" s="5"/>
      <c r="J639" s="5"/>
      <c r="K639" s="5"/>
      <c r="L639" s="5"/>
      <c r="M639" s="5"/>
      <c r="N639" s="5"/>
    </row>
    <row r="640" ht="14.25" customHeight="1">
      <c r="A640" s="5"/>
      <c r="B640" s="5"/>
      <c r="C640" s="6"/>
      <c r="D640" s="5"/>
      <c r="E640" s="5"/>
      <c r="F640" s="5"/>
      <c r="G640" s="5"/>
      <c r="H640" s="5"/>
      <c r="I640" s="5"/>
      <c r="J640" s="5"/>
      <c r="K640" s="5"/>
      <c r="L640" s="5"/>
      <c r="M640" s="5"/>
      <c r="N640" s="5"/>
    </row>
    <row r="641" ht="14.25" customHeight="1">
      <c r="A641" s="5"/>
      <c r="B641" s="5"/>
      <c r="C641" s="6"/>
      <c r="D641" s="5"/>
      <c r="E641" s="5"/>
      <c r="F641" s="5"/>
      <c r="G641" s="5"/>
      <c r="H641" s="5"/>
      <c r="I641" s="5"/>
      <c r="J641" s="5"/>
      <c r="K641" s="5"/>
      <c r="L641" s="5"/>
      <c r="M641" s="5"/>
      <c r="N641" s="5"/>
    </row>
    <row r="642" ht="14.25" customHeight="1">
      <c r="A642" s="5"/>
      <c r="B642" s="5"/>
      <c r="C642" s="6"/>
      <c r="D642" s="5"/>
      <c r="E642" s="5"/>
      <c r="F642" s="5"/>
      <c r="G642" s="5"/>
      <c r="H642" s="5"/>
      <c r="I642" s="5"/>
      <c r="J642" s="5"/>
      <c r="K642" s="5"/>
      <c r="L642" s="5"/>
      <c r="M642" s="5"/>
      <c r="N642" s="5"/>
    </row>
    <row r="643" ht="14.25" customHeight="1">
      <c r="A643" s="5"/>
      <c r="B643" s="5"/>
      <c r="C643" s="6"/>
      <c r="D643" s="5"/>
      <c r="E643" s="5"/>
      <c r="F643" s="5"/>
      <c r="G643" s="5"/>
      <c r="H643" s="5"/>
      <c r="I643" s="5"/>
      <c r="J643" s="5"/>
      <c r="K643" s="5"/>
      <c r="L643" s="5"/>
      <c r="M643" s="5"/>
      <c r="N643" s="5"/>
    </row>
    <row r="644" ht="14.25" customHeight="1">
      <c r="A644" s="5"/>
      <c r="B644" s="5"/>
      <c r="C644" s="6"/>
      <c r="D644" s="5"/>
      <c r="E644" s="5"/>
      <c r="F644" s="5"/>
      <c r="G644" s="5"/>
      <c r="H644" s="5"/>
      <c r="I644" s="5"/>
      <c r="J644" s="5"/>
      <c r="K644" s="5"/>
      <c r="L644" s="5"/>
      <c r="M644" s="5"/>
      <c r="N644" s="5"/>
    </row>
    <row r="645" ht="14.25" customHeight="1">
      <c r="A645" s="5"/>
      <c r="B645" s="5"/>
      <c r="C645" s="6"/>
      <c r="D645" s="5"/>
      <c r="E645" s="5"/>
      <c r="F645" s="5"/>
      <c r="G645" s="5"/>
      <c r="H645" s="5"/>
      <c r="I645" s="5"/>
      <c r="J645" s="5"/>
      <c r="K645" s="5"/>
      <c r="L645" s="5"/>
      <c r="M645" s="5"/>
      <c r="N645" s="5"/>
    </row>
    <row r="646" ht="14.25" customHeight="1">
      <c r="A646" s="5"/>
      <c r="B646" s="5"/>
      <c r="C646" s="6"/>
      <c r="D646" s="5"/>
      <c r="E646" s="5"/>
      <c r="F646" s="5"/>
      <c r="G646" s="5"/>
      <c r="H646" s="5"/>
      <c r="I646" s="5"/>
      <c r="J646" s="5"/>
      <c r="K646" s="5"/>
      <c r="L646" s="5"/>
      <c r="M646" s="5"/>
      <c r="N646" s="5"/>
    </row>
    <row r="647" ht="14.25" customHeight="1">
      <c r="A647" s="5"/>
      <c r="B647" s="5"/>
      <c r="C647" s="6"/>
      <c r="D647" s="5"/>
      <c r="E647" s="5"/>
      <c r="F647" s="5"/>
      <c r="G647" s="5"/>
      <c r="H647" s="5"/>
      <c r="I647" s="5"/>
      <c r="J647" s="5"/>
      <c r="K647" s="5"/>
      <c r="L647" s="5"/>
      <c r="M647" s="5"/>
      <c r="N647" s="5"/>
    </row>
    <row r="648" ht="14.25" customHeight="1">
      <c r="A648" s="5"/>
      <c r="B648" s="5"/>
      <c r="C648" s="6"/>
      <c r="D648" s="5"/>
      <c r="E648" s="5"/>
      <c r="F648" s="5"/>
      <c r="G648" s="5"/>
      <c r="H648" s="5"/>
      <c r="I648" s="5"/>
      <c r="J648" s="5"/>
      <c r="K648" s="5"/>
      <c r="L648" s="5"/>
      <c r="M648" s="5"/>
      <c r="N648" s="5"/>
    </row>
    <row r="649" ht="14.25" customHeight="1">
      <c r="A649" s="5"/>
      <c r="B649" s="5"/>
      <c r="C649" s="6"/>
      <c r="D649" s="5"/>
      <c r="E649" s="5"/>
      <c r="F649" s="5"/>
      <c r="G649" s="5"/>
      <c r="H649" s="5"/>
      <c r="I649" s="5"/>
      <c r="J649" s="5"/>
      <c r="K649" s="5"/>
      <c r="L649" s="5"/>
      <c r="M649" s="5"/>
      <c r="N649" s="5"/>
    </row>
    <row r="650" ht="14.25" customHeight="1">
      <c r="A650" s="5"/>
      <c r="B650" s="5"/>
      <c r="C650" s="6"/>
      <c r="D650" s="5"/>
      <c r="E650" s="5"/>
      <c r="F650" s="5"/>
      <c r="G650" s="5"/>
      <c r="H650" s="5"/>
      <c r="I650" s="5"/>
      <c r="J650" s="5"/>
      <c r="K650" s="5"/>
      <c r="L650" s="5"/>
      <c r="M650" s="5"/>
      <c r="N650" s="5"/>
    </row>
    <row r="651" ht="14.25" customHeight="1">
      <c r="A651" s="5"/>
      <c r="B651" s="5"/>
      <c r="C651" s="6"/>
      <c r="D651" s="5"/>
      <c r="E651" s="5"/>
      <c r="F651" s="5"/>
      <c r="G651" s="5"/>
      <c r="H651" s="5"/>
      <c r="I651" s="5"/>
      <c r="J651" s="5"/>
      <c r="K651" s="5"/>
      <c r="L651" s="5"/>
      <c r="M651" s="5"/>
      <c r="N651" s="5"/>
    </row>
    <row r="652" ht="14.25" customHeight="1">
      <c r="A652" s="5"/>
      <c r="B652" s="5"/>
      <c r="C652" s="6"/>
      <c r="D652" s="5"/>
      <c r="E652" s="5"/>
      <c r="F652" s="5"/>
      <c r="G652" s="5"/>
      <c r="H652" s="5"/>
      <c r="I652" s="5"/>
      <c r="J652" s="5"/>
      <c r="K652" s="5"/>
      <c r="L652" s="5"/>
      <c r="M652" s="5"/>
      <c r="N652" s="5"/>
    </row>
    <row r="653" ht="14.25" customHeight="1">
      <c r="A653" s="5"/>
      <c r="B653" s="5"/>
      <c r="C653" s="6"/>
      <c r="D653" s="5"/>
      <c r="E653" s="5"/>
      <c r="F653" s="5"/>
      <c r="G653" s="5"/>
      <c r="H653" s="5"/>
      <c r="I653" s="5"/>
      <c r="J653" s="5"/>
      <c r="K653" s="5"/>
      <c r="L653" s="5"/>
      <c r="M653" s="5"/>
      <c r="N653" s="5"/>
    </row>
    <row r="654" ht="14.25" customHeight="1">
      <c r="A654" s="5"/>
      <c r="B654" s="5"/>
      <c r="C654" s="6"/>
      <c r="D654" s="5"/>
      <c r="E654" s="5"/>
      <c r="F654" s="5"/>
      <c r="G654" s="5"/>
      <c r="H654" s="5"/>
      <c r="I654" s="5"/>
      <c r="J654" s="5"/>
      <c r="K654" s="5"/>
      <c r="L654" s="5"/>
      <c r="M654" s="5"/>
      <c r="N654" s="5"/>
    </row>
    <row r="655" ht="14.25" customHeight="1">
      <c r="A655" s="5"/>
      <c r="B655" s="5"/>
      <c r="C655" s="6"/>
      <c r="D655" s="5"/>
      <c r="E655" s="5"/>
      <c r="F655" s="5"/>
      <c r="G655" s="5"/>
      <c r="H655" s="5"/>
      <c r="I655" s="5"/>
      <c r="J655" s="5"/>
      <c r="K655" s="5"/>
      <c r="L655" s="5"/>
      <c r="M655" s="5"/>
      <c r="N655" s="5"/>
    </row>
    <row r="656" ht="14.25" customHeight="1">
      <c r="A656" s="5"/>
      <c r="B656" s="5"/>
      <c r="C656" s="6"/>
      <c r="D656" s="5"/>
      <c r="E656" s="5"/>
      <c r="F656" s="5"/>
      <c r="G656" s="5"/>
      <c r="H656" s="5"/>
      <c r="I656" s="5"/>
      <c r="J656" s="5"/>
      <c r="K656" s="5"/>
      <c r="L656" s="5"/>
      <c r="M656" s="5"/>
      <c r="N656" s="5"/>
    </row>
    <row r="657" ht="14.25" customHeight="1">
      <c r="A657" s="5"/>
      <c r="B657" s="5"/>
      <c r="C657" s="6"/>
      <c r="D657" s="5"/>
      <c r="E657" s="5"/>
      <c r="F657" s="5"/>
      <c r="G657" s="5"/>
      <c r="H657" s="5"/>
      <c r="I657" s="5"/>
      <c r="J657" s="5"/>
      <c r="K657" s="5"/>
      <c r="L657" s="5"/>
      <c r="M657" s="5"/>
      <c r="N657" s="5"/>
    </row>
    <row r="658" ht="14.25" customHeight="1">
      <c r="A658" s="5"/>
      <c r="B658" s="5"/>
      <c r="C658" s="6"/>
      <c r="D658" s="5"/>
      <c r="E658" s="5"/>
      <c r="F658" s="5"/>
      <c r="G658" s="5"/>
      <c r="H658" s="5"/>
      <c r="I658" s="5"/>
      <c r="J658" s="5"/>
      <c r="K658" s="5"/>
      <c r="L658" s="5"/>
      <c r="M658" s="5"/>
      <c r="N658" s="5"/>
    </row>
    <row r="659" ht="14.25" customHeight="1">
      <c r="A659" s="5"/>
      <c r="B659" s="5"/>
      <c r="C659" s="6"/>
      <c r="D659" s="5"/>
      <c r="E659" s="5"/>
      <c r="F659" s="5"/>
      <c r="G659" s="5"/>
      <c r="H659" s="5"/>
      <c r="I659" s="5"/>
      <c r="J659" s="5"/>
      <c r="K659" s="5"/>
      <c r="L659" s="5"/>
      <c r="M659" s="5"/>
      <c r="N659" s="5"/>
    </row>
    <row r="660" ht="14.25" customHeight="1">
      <c r="A660" s="5"/>
      <c r="B660" s="5"/>
      <c r="C660" s="6"/>
      <c r="D660" s="5"/>
      <c r="E660" s="5"/>
      <c r="F660" s="5"/>
      <c r="G660" s="5"/>
      <c r="H660" s="5"/>
      <c r="I660" s="5"/>
      <c r="J660" s="5"/>
      <c r="K660" s="5"/>
      <c r="L660" s="5"/>
      <c r="M660" s="5"/>
      <c r="N660" s="5"/>
    </row>
    <row r="661" ht="14.25" customHeight="1">
      <c r="A661" s="5"/>
      <c r="B661" s="5"/>
      <c r="C661" s="6"/>
      <c r="D661" s="5"/>
      <c r="E661" s="5"/>
      <c r="F661" s="5"/>
      <c r="G661" s="5"/>
      <c r="H661" s="5"/>
      <c r="I661" s="5"/>
      <c r="J661" s="5"/>
      <c r="K661" s="5"/>
      <c r="L661" s="5"/>
      <c r="M661" s="5"/>
      <c r="N661" s="5"/>
    </row>
    <row r="662" ht="14.25" customHeight="1">
      <c r="A662" s="5"/>
      <c r="B662" s="5"/>
      <c r="C662" s="6"/>
      <c r="D662" s="5"/>
      <c r="E662" s="5"/>
      <c r="F662" s="5"/>
      <c r="G662" s="5"/>
      <c r="H662" s="5"/>
      <c r="I662" s="5"/>
      <c r="J662" s="5"/>
      <c r="K662" s="5"/>
      <c r="L662" s="5"/>
      <c r="M662" s="5"/>
      <c r="N662" s="5"/>
    </row>
    <row r="663" ht="14.25" customHeight="1">
      <c r="A663" s="5"/>
      <c r="B663" s="5"/>
      <c r="C663" s="6"/>
      <c r="D663" s="5"/>
      <c r="E663" s="5"/>
      <c r="F663" s="5"/>
      <c r="G663" s="5"/>
      <c r="H663" s="5"/>
      <c r="I663" s="5"/>
      <c r="J663" s="5"/>
      <c r="K663" s="5"/>
      <c r="L663" s="5"/>
      <c r="M663" s="5"/>
      <c r="N663" s="5"/>
    </row>
    <row r="664" ht="14.25" customHeight="1">
      <c r="A664" s="5"/>
      <c r="B664" s="5"/>
      <c r="C664" s="6"/>
      <c r="D664" s="5"/>
      <c r="E664" s="5"/>
      <c r="F664" s="5"/>
      <c r="G664" s="5"/>
      <c r="H664" s="5"/>
      <c r="I664" s="5"/>
      <c r="J664" s="5"/>
      <c r="K664" s="5"/>
      <c r="L664" s="5"/>
      <c r="M664" s="5"/>
      <c r="N664" s="5"/>
    </row>
    <row r="665" ht="14.25" customHeight="1">
      <c r="A665" s="5"/>
      <c r="B665" s="5"/>
      <c r="C665" s="6"/>
      <c r="D665" s="5"/>
      <c r="E665" s="5"/>
      <c r="F665" s="5"/>
      <c r="G665" s="5"/>
      <c r="H665" s="5"/>
      <c r="I665" s="5"/>
      <c r="J665" s="5"/>
      <c r="K665" s="5"/>
      <c r="L665" s="5"/>
      <c r="M665" s="5"/>
      <c r="N665" s="5"/>
    </row>
    <row r="666" ht="14.25" customHeight="1">
      <c r="A666" s="5"/>
      <c r="B666" s="5"/>
      <c r="C666" s="6"/>
      <c r="D666" s="5"/>
      <c r="E666" s="5"/>
      <c r="F666" s="5"/>
      <c r="G666" s="5"/>
      <c r="H666" s="5"/>
      <c r="I666" s="5"/>
      <c r="J666" s="5"/>
      <c r="K666" s="5"/>
      <c r="L666" s="5"/>
      <c r="M666" s="5"/>
      <c r="N666" s="5"/>
    </row>
    <row r="667" ht="14.25" customHeight="1">
      <c r="A667" s="5"/>
      <c r="B667" s="5"/>
      <c r="C667" s="6"/>
      <c r="D667" s="5"/>
      <c r="E667" s="5"/>
      <c r="F667" s="5"/>
      <c r="G667" s="5"/>
      <c r="H667" s="5"/>
      <c r="I667" s="5"/>
      <c r="J667" s="5"/>
      <c r="K667" s="5"/>
      <c r="L667" s="5"/>
      <c r="M667" s="5"/>
      <c r="N667" s="5"/>
    </row>
    <row r="668" ht="14.25" customHeight="1">
      <c r="A668" s="5"/>
      <c r="B668" s="5"/>
      <c r="C668" s="6"/>
      <c r="D668" s="5"/>
      <c r="E668" s="5"/>
      <c r="F668" s="5"/>
      <c r="G668" s="5"/>
      <c r="H668" s="5"/>
      <c r="I668" s="5"/>
      <c r="J668" s="5"/>
      <c r="K668" s="5"/>
      <c r="L668" s="5"/>
      <c r="M668" s="5"/>
      <c r="N668" s="5"/>
    </row>
    <row r="669" ht="14.25" customHeight="1">
      <c r="A669" s="5"/>
      <c r="B669" s="5"/>
      <c r="C669" s="6"/>
      <c r="D669" s="5"/>
      <c r="E669" s="5"/>
      <c r="F669" s="5"/>
      <c r="G669" s="5"/>
      <c r="H669" s="5"/>
      <c r="I669" s="5"/>
      <c r="J669" s="5"/>
      <c r="K669" s="5"/>
      <c r="L669" s="5"/>
      <c r="M669" s="5"/>
      <c r="N669" s="5"/>
    </row>
    <row r="670" ht="14.25" customHeight="1">
      <c r="A670" s="5"/>
      <c r="B670" s="5"/>
      <c r="C670" s="6"/>
      <c r="D670" s="5"/>
      <c r="E670" s="5"/>
      <c r="F670" s="5"/>
      <c r="G670" s="5"/>
      <c r="H670" s="5"/>
      <c r="I670" s="5"/>
      <c r="J670" s="5"/>
      <c r="K670" s="5"/>
      <c r="L670" s="5"/>
      <c r="M670" s="5"/>
      <c r="N670" s="5"/>
    </row>
    <row r="671" ht="14.25" customHeight="1">
      <c r="A671" s="5"/>
      <c r="B671" s="5"/>
      <c r="C671" s="6"/>
      <c r="D671" s="5"/>
      <c r="E671" s="5"/>
      <c r="F671" s="5"/>
      <c r="G671" s="5"/>
      <c r="H671" s="5"/>
      <c r="I671" s="5"/>
      <c r="J671" s="5"/>
      <c r="K671" s="5"/>
      <c r="L671" s="5"/>
      <c r="M671" s="5"/>
      <c r="N671" s="5"/>
    </row>
    <row r="672" ht="14.25" customHeight="1">
      <c r="A672" s="5"/>
      <c r="B672" s="5"/>
      <c r="C672" s="6"/>
      <c r="D672" s="5"/>
      <c r="E672" s="5"/>
      <c r="F672" s="5"/>
      <c r="G672" s="5"/>
      <c r="H672" s="5"/>
      <c r="I672" s="5"/>
      <c r="J672" s="5"/>
      <c r="K672" s="5"/>
      <c r="L672" s="5"/>
      <c r="M672" s="5"/>
      <c r="N672" s="5"/>
    </row>
    <row r="673" ht="14.25" customHeight="1">
      <c r="A673" s="5"/>
      <c r="B673" s="5"/>
      <c r="C673" s="6"/>
      <c r="D673" s="5"/>
      <c r="E673" s="5"/>
      <c r="F673" s="5"/>
      <c r="G673" s="5"/>
      <c r="H673" s="5"/>
      <c r="I673" s="5"/>
      <c r="J673" s="5"/>
      <c r="K673" s="5"/>
      <c r="L673" s="5"/>
      <c r="M673" s="5"/>
      <c r="N673" s="5"/>
    </row>
    <row r="674" ht="14.25" customHeight="1">
      <c r="A674" s="5"/>
      <c r="B674" s="5"/>
      <c r="C674" s="6"/>
      <c r="D674" s="5"/>
      <c r="E674" s="5"/>
      <c r="F674" s="5"/>
      <c r="G674" s="5"/>
      <c r="H674" s="5"/>
      <c r="I674" s="5"/>
      <c r="J674" s="5"/>
      <c r="K674" s="5"/>
      <c r="L674" s="5"/>
      <c r="M674" s="5"/>
      <c r="N674" s="5"/>
    </row>
    <row r="675" ht="14.25" customHeight="1">
      <c r="A675" s="5"/>
      <c r="B675" s="5"/>
      <c r="C675" s="6"/>
      <c r="D675" s="5"/>
      <c r="E675" s="5"/>
      <c r="F675" s="5"/>
      <c r="G675" s="5"/>
      <c r="H675" s="5"/>
      <c r="I675" s="5"/>
      <c r="J675" s="5"/>
      <c r="K675" s="5"/>
      <c r="L675" s="5"/>
      <c r="M675" s="5"/>
      <c r="N675" s="5"/>
    </row>
    <row r="676" ht="14.25" customHeight="1">
      <c r="A676" s="5"/>
      <c r="B676" s="5"/>
      <c r="C676" s="6"/>
      <c r="D676" s="5"/>
      <c r="E676" s="5"/>
      <c r="F676" s="5"/>
      <c r="G676" s="5"/>
      <c r="H676" s="5"/>
      <c r="I676" s="5"/>
      <c r="J676" s="5"/>
      <c r="K676" s="5"/>
      <c r="L676" s="5"/>
      <c r="M676" s="5"/>
      <c r="N676" s="5"/>
    </row>
    <row r="677" ht="14.25" customHeight="1">
      <c r="A677" s="5"/>
      <c r="B677" s="5"/>
      <c r="C677" s="6"/>
      <c r="D677" s="5"/>
      <c r="E677" s="5"/>
      <c r="F677" s="5"/>
      <c r="G677" s="5"/>
      <c r="H677" s="5"/>
      <c r="I677" s="5"/>
      <c r="J677" s="5"/>
      <c r="K677" s="5"/>
      <c r="L677" s="5"/>
      <c r="M677" s="5"/>
      <c r="N677" s="5"/>
    </row>
    <row r="678" ht="14.25" customHeight="1">
      <c r="A678" s="5"/>
      <c r="B678" s="5"/>
      <c r="C678" s="6"/>
      <c r="D678" s="5"/>
      <c r="E678" s="5"/>
      <c r="F678" s="5"/>
      <c r="G678" s="5"/>
      <c r="H678" s="5"/>
      <c r="I678" s="5"/>
      <c r="J678" s="5"/>
      <c r="K678" s="5"/>
      <c r="L678" s="5"/>
      <c r="M678" s="5"/>
      <c r="N678" s="5"/>
    </row>
    <row r="679" ht="14.25" customHeight="1">
      <c r="A679" s="5"/>
      <c r="B679" s="5"/>
      <c r="C679" s="6"/>
      <c r="D679" s="5"/>
      <c r="E679" s="5"/>
      <c r="F679" s="5"/>
      <c r="G679" s="5"/>
      <c r="H679" s="5"/>
      <c r="I679" s="5"/>
      <c r="J679" s="5"/>
      <c r="K679" s="5"/>
      <c r="L679" s="5"/>
      <c r="M679" s="5"/>
      <c r="N679" s="5"/>
    </row>
    <row r="680" ht="14.25" customHeight="1">
      <c r="A680" s="5"/>
      <c r="B680" s="5"/>
      <c r="C680" s="6"/>
      <c r="D680" s="5"/>
      <c r="E680" s="5"/>
      <c r="F680" s="5"/>
      <c r="G680" s="5"/>
      <c r="H680" s="5"/>
      <c r="I680" s="5"/>
      <c r="J680" s="5"/>
      <c r="K680" s="5"/>
      <c r="L680" s="5"/>
      <c r="M680" s="5"/>
      <c r="N680" s="5"/>
    </row>
    <row r="681" ht="14.25" customHeight="1">
      <c r="A681" s="5"/>
      <c r="B681" s="5"/>
      <c r="C681" s="6"/>
      <c r="D681" s="5"/>
      <c r="E681" s="5"/>
      <c r="F681" s="5"/>
      <c r="G681" s="5"/>
      <c r="H681" s="5"/>
      <c r="I681" s="5"/>
      <c r="J681" s="5"/>
      <c r="K681" s="5"/>
      <c r="L681" s="5"/>
      <c r="M681" s="5"/>
      <c r="N681" s="5"/>
    </row>
    <row r="682" ht="14.25" customHeight="1">
      <c r="A682" s="5"/>
      <c r="B682" s="5"/>
      <c r="C682" s="6"/>
      <c r="D682" s="5"/>
      <c r="E682" s="5"/>
      <c r="F682" s="5"/>
      <c r="G682" s="5"/>
      <c r="H682" s="5"/>
      <c r="I682" s="5"/>
      <c r="J682" s="5"/>
      <c r="K682" s="5"/>
      <c r="L682" s="5"/>
      <c r="M682" s="5"/>
      <c r="N682" s="5"/>
    </row>
    <row r="683" ht="14.25" customHeight="1">
      <c r="A683" s="5"/>
      <c r="B683" s="5"/>
      <c r="C683" s="6"/>
      <c r="D683" s="5"/>
      <c r="E683" s="5"/>
      <c r="F683" s="5"/>
      <c r="G683" s="5"/>
      <c r="H683" s="5"/>
      <c r="I683" s="5"/>
      <c r="J683" s="5"/>
      <c r="K683" s="5"/>
      <c r="L683" s="5"/>
      <c r="M683" s="5"/>
      <c r="N683" s="5"/>
    </row>
    <row r="684" ht="14.25" customHeight="1">
      <c r="A684" s="5"/>
      <c r="B684" s="5"/>
      <c r="C684" s="6"/>
      <c r="D684" s="5"/>
      <c r="E684" s="5"/>
      <c r="F684" s="5"/>
      <c r="G684" s="5"/>
      <c r="H684" s="5"/>
      <c r="I684" s="5"/>
      <c r="J684" s="5"/>
      <c r="K684" s="5"/>
      <c r="L684" s="5"/>
      <c r="M684" s="5"/>
      <c r="N684" s="5"/>
    </row>
    <row r="685" ht="14.25" customHeight="1">
      <c r="A685" s="5"/>
      <c r="B685" s="5"/>
      <c r="C685" s="6"/>
      <c r="D685" s="5"/>
      <c r="E685" s="5"/>
      <c r="F685" s="5"/>
      <c r="G685" s="5"/>
      <c r="H685" s="5"/>
      <c r="I685" s="5"/>
      <c r="J685" s="5"/>
      <c r="K685" s="5"/>
      <c r="L685" s="5"/>
      <c r="M685" s="5"/>
      <c r="N685" s="5"/>
    </row>
    <row r="686" ht="14.25" customHeight="1">
      <c r="A686" s="5"/>
      <c r="B686" s="5"/>
      <c r="C686" s="6"/>
      <c r="D686" s="5"/>
      <c r="E686" s="5"/>
      <c r="F686" s="5"/>
      <c r="G686" s="5"/>
      <c r="H686" s="5"/>
      <c r="I686" s="5"/>
      <c r="J686" s="5"/>
      <c r="K686" s="5"/>
      <c r="L686" s="5"/>
      <c r="M686" s="5"/>
      <c r="N686" s="5"/>
    </row>
    <row r="687" ht="14.25" customHeight="1">
      <c r="A687" s="5"/>
      <c r="B687" s="5"/>
      <c r="C687" s="6"/>
      <c r="D687" s="5"/>
      <c r="E687" s="5"/>
      <c r="F687" s="5"/>
      <c r="G687" s="5"/>
      <c r="H687" s="5"/>
      <c r="I687" s="5"/>
      <c r="J687" s="5"/>
      <c r="K687" s="5"/>
      <c r="L687" s="5"/>
      <c r="M687" s="5"/>
      <c r="N687" s="5"/>
    </row>
    <row r="688" ht="14.25" customHeight="1">
      <c r="A688" s="5"/>
      <c r="B688" s="5"/>
      <c r="C688" s="6"/>
      <c r="D688" s="5"/>
      <c r="E688" s="5"/>
      <c r="F688" s="5"/>
      <c r="G688" s="5"/>
      <c r="H688" s="5"/>
      <c r="I688" s="5"/>
      <c r="J688" s="5"/>
      <c r="K688" s="5"/>
      <c r="L688" s="5"/>
      <c r="M688" s="5"/>
      <c r="N688" s="5"/>
    </row>
    <row r="689" ht="14.25" customHeight="1">
      <c r="A689" s="5"/>
      <c r="B689" s="5"/>
      <c r="C689" s="6"/>
      <c r="D689" s="5"/>
      <c r="E689" s="5"/>
      <c r="F689" s="5"/>
      <c r="G689" s="5"/>
      <c r="H689" s="5"/>
      <c r="I689" s="5"/>
      <c r="J689" s="5"/>
      <c r="K689" s="5"/>
      <c r="L689" s="5"/>
      <c r="M689" s="5"/>
      <c r="N689" s="5"/>
    </row>
    <row r="690" ht="14.25" customHeight="1">
      <c r="A690" s="5"/>
      <c r="B690" s="5"/>
      <c r="C690" s="6"/>
      <c r="D690" s="5"/>
      <c r="E690" s="5"/>
      <c r="F690" s="5"/>
      <c r="G690" s="5"/>
      <c r="H690" s="5"/>
      <c r="I690" s="5"/>
      <c r="J690" s="5"/>
      <c r="K690" s="5"/>
      <c r="L690" s="5"/>
      <c r="M690" s="5"/>
      <c r="N690" s="5"/>
    </row>
    <row r="691" ht="14.25" customHeight="1">
      <c r="A691" s="5"/>
      <c r="B691" s="5"/>
      <c r="C691" s="6"/>
      <c r="D691" s="5"/>
      <c r="E691" s="5"/>
      <c r="F691" s="5"/>
      <c r="G691" s="5"/>
      <c r="H691" s="5"/>
      <c r="I691" s="5"/>
      <c r="J691" s="5"/>
      <c r="K691" s="5"/>
      <c r="L691" s="5"/>
      <c r="M691" s="5"/>
      <c r="N691" s="5"/>
    </row>
    <row r="692" ht="14.25" customHeight="1">
      <c r="A692" s="5"/>
      <c r="B692" s="5"/>
      <c r="C692" s="6"/>
      <c r="D692" s="5"/>
      <c r="E692" s="5"/>
      <c r="F692" s="5"/>
      <c r="G692" s="5"/>
      <c r="H692" s="5"/>
      <c r="I692" s="5"/>
      <c r="J692" s="5"/>
      <c r="K692" s="5"/>
      <c r="L692" s="5"/>
      <c r="M692" s="5"/>
      <c r="N692" s="5"/>
    </row>
    <row r="693" ht="14.25" customHeight="1">
      <c r="A693" s="5"/>
      <c r="B693" s="5"/>
      <c r="C693" s="6"/>
      <c r="D693" s="5"/>
      <c r="E693" s="5"/>
      <c r="F693" s="5"/>
      <c r="G693" s="5"/>
      <c r="H693" s="5"/>
      <c r="I693" s="5"/>
      <c r="J693" s="5"/>
      <c r="K693" s="5"/>
      <c r="L693" s="5"/>
      <c r="M693" s="5"/>
      <c r="N693" s="5"/>
    </row>
    <row r="694" ht="14.25" customHeight="1">
      <c r="A694" s="5"/>
      <c r="B694" s="5"/>
      <c r="C694" s="6"/>
      <c r="D694" s="5"/>
      <c r="E694" s="5"/>
      <c r="F694" s="5"/>
      <c r="G694" s="5"/>
      <c r="H694" s="5"/>
      <c r="I694" s="5"/>
      <c r="J694" s="5"/>
      <c r="K694" s="5"/>
      <c r="L694" s="5"/>
      <c r="M694" s="5"/>
      <c r="N694" s="5"/>
    </row>
    <row r="695" ht="14.25" customHeight="1">
      <c r="A695" s="5"/>
      <c r="B695" s="5"/>
      <c r="C695" s="6"/>
      <c r="D695" s="5"/>
      <c r="E695" s="5"/>
      <c r="F695" s="5"/>
      <c r="G695" s="5"/>
      <c r="H695" s="5"/>
      <c r="I695" s="5"/>
      <c r="J695" s="5"/>
      <c r="K695" s="5"/>
      <c r="L695" s="5"/>
      <c r="M695" s="5"/>
      <c r="N695" s="5"/>
    </row>
    <row r="696" ht="14.25" customHeight="1">
      <c r="A696" s="5"/>
      <c r="B696" s="5"/>
      <c r="C696" s="6"/>
      <c r="D696" s="5"/>
      <c r="E696" s="5"/>
      <c r="F696" s="5"/>
      <c r="G696" s="5"/>
      <c r="H696" s="5"/>
      <c r="I696" s="5"/>
      <c r="J696" s="5"/>
      <c r="K696" s="5"/>
      <c r="L696" s="5"/>
      <c r="M696" s="5"/>
      <c r="N696" s="5"/>
    </row>
    <row r="697" ht="14.25" customHeight="1">
      <c r="A697" s="5"/>
      <c r="B697" s="5"/>
      <c r="C697" s="6"/>
      <c r="D697" s="5"/>
      <c r="E697" s="5"/>
      <c r="F697" s="5"/>
      <c r="G697" s="5"/>
      <c r="H697" s="5"/>
      <c r="I697" s="5"/>
      <c r="J697" s="5"/>
      <c r="K697" s="5"/>
      <c r="L697" s="5"/>
      <c r="M697" s="5"/>
      <c r="N697" s="5"/>
    </row>
    <row r="698" ht="14.25" customHeight="1">
      <c r="A698" s="5"/>
      <c r="B698" s="5"/>
      <c r="C698" s="6"/>
      <c r="D698" s="5"/>
      <c r="E698" s="5"/>
      <c r="F698" s="5"/>
      <c r="G698" s="5"/>
      <c r="H698" s="5"/>
      <c r="I698" s="5"/>
      <c r="J698" s="5"/>
      <c r="K698" s="5"/>
      <c r="L698" s="5"/>
      <c r="M698" s="5"/>
      <c r="N698" s="5"/>
    </row>
    <row r="699" ht="14.25" customHeight="1">
      <c r="A699" s="5"/>
      <c r="B699" s="5"/>
      <c r="C699" s="6"/>
      <c r="D699" s="5"/>
      <c r="E699" s="5"/>
      <c r="F699" s="5"/>
      <c r="G699" s="5"/>
      <c r="H699" s="5"/>
      <c r="I699" s="5"/>
      <c r="J699" s="5"/>
      <c r="K699" s="5"/>
      <c r="L699" s="5"/>
      <c r="M699" s="5"/>
      <c r="N699" s="5"/>
    </row>
    <row r="700" ht="14.25" customHeight="1">
      <c r="A700" s="5"/>
      <c r="B700" s="5"/>
      <c r="C700" s="6"/>
      <c r="D700" s="5"/>
      <c r="E700" s="5"/>
      <c r="F700" s="5"/>
      <c r="G700" s="5"/>
      <c r="H700" s="5"/>
      <c r="I700" s="5"/>
      <c r="J700" s="5"/>
      <c r="K700" s="5"/>
      <c r="L700" s="5"/>
      <c r="M700" s="5"/>
      <c r="N700" s="5"/>
    </row>
    <row r="701" ht="14.25" customHeight="1">
      <c r="A701" s="5"/>
      <c r="B701" s="5"/>
      <c r="C701" s="6"/>
      <c r="D701" s="5"/>
      <c r="E701" s="5"/>
      <c r="F701" s="5"/>
      <c r="G701" s="5"/>
      <c r="H701" s="5"/>
      <c r="I701" s="5"/>
      <c r="J701" s="5"/>
      <c r="K701" s="5"/>
      <c r="L701" s="5"/>
      <c r="M701" s="5"/>
      <c r="N701" s="5"/>
    </row>
    <row r="702" ht="14.25" customHeight="1">
      <c r="A702" s="5"/>
      <c r="B702" s="5"/>
      <c r="C702" s="6"/>
      <c r="D702" s="5"/>
      <c r="E702" s="5"/>
      <c r="F702" s="5"/>
      <c r="G702" s="5"/>
      <c r="H702" s="5"/>
      <c r="I702" s="5"/>
      <c r="J702" s="5"/>
      <c r="K702" s="5"/>
      <c r="L702" s="5"/>
      <c r="M702" s="5"/>
      <c r="N702" s="5"/>
    </row>
    <row r="703" ht="14.25" customHeight="1">
      <c r="A703" s="5"/>
      <c r="B703" s="5"/>
      <c r="C703" s="6"/>
      <c r="D703" s="5"/>
      <c r="E703" s="5"/>
      <c r="F703" s="5"/>
      <c r="G703" s="5"/>
      <c r="H703" s="5"/>
      <c r="I703" s="5"/>
      <c r="J703" s="5"/>
      <c r="K703" s="5"/>
      <c r="L703" s="5"/>
      <c r="M703" s="5"/>
      <c r="N703" s="5"/>
    </row>
    <row r="704" ht="14.25" customHeight="1">
      <c r="A704" s="5"/>
      <c r="B704" s="5"/>
      <c r="C704" s="6"/>
      <c r="D704" s="5"/>
      <c r="E704" s="5"/>
      <c r="F704" s="5"/>
      <c r="G704" s="5"/>
      <c r="H704" s="5"/>
      <c r="I704" s="5"/>
      <c r="J704" s="5"/>
      <c r="K704" s="5"/>
      <c r="L704" s="5"/>
      <c r="M704" s="5"/>
      <c r="N704" s="5"/>
    </row>
    <row r="705" ht="14.25" customHeight="1">
      <c r="A705" s="5"/>
      <c r="B705" s="5"/>
      <c r="C705" s="6"/>
      <c r="D705" s="5"/>
      <c r="E705" s="5"/>
      <c r="F705" s="5"/>
      <c r="G705" s="5"/>
      <c r="H705" s="5"/>
      <c r="I705" s="5"/>
      <c r="J705" s="5"/>
      <c r="K705" s="5"/>
      <c r="L705" s="5"/>
      <c r="M705" s="5"/>
      <c r="N705" s="5"/>
    </row>
    <row r="706" ht="14.25" customHeight="1">
      <c r="A706" s="5"/>
      <c r="B706" s="5"/>
      <c r="C706" s="6"/>
      <c r="D706" s="5"/>
      <c r="E706" s="5"/>
      <c r="F706" s="5"/>
      <c r="G706" s="5"/>
      <c r="H706" s="5"/>
      <c r="I706" s="5"/>
      <c r="J706" s="5"/>
      <c r="K706" s="5"/>
      <c r="L706" s="5"/>
      <c r="M706" s="5"/>
      <c r="N706" s="5"/>
    </row>
    <row r="707" ht="14.25" customHeight="1">
      <c r="A707" s="5"/>
      <c r="B707" s="5"/>
      <c r="C707" s="6"/>
      <c r="D707" s="5"/>
      <c r="E707" s="5"/>
      <c r="F707" s="5"/>
      <c r="G707" s="5"/>
      <c r="H707" s="5"/>
      <c r="I707" s="5"/>
      <c r="J707" s="5"/>
      <c r="K707" s="5"/>
      <c r="L707" s="5"/>
      <c r="M707" s="5"/>
      <c r="N707" s="5"/>
    </row>
    <row r="708" ht="14.25" customHeight="1">
      <c r="A708" s="5"/>
      <c r="B708" s="5"/>
      <c r="C708" s="6"/>
      <c r="D708" s="5"/>
      <c r="E708" s="5"/>
      <c r="F708" s="5"/>
      <c r="G708" s="5"/>
      <c r="H708" s="5"/>
      <c r="I708" s="5"/>
      <c r="J708" s="5"/>
      <c r="K708" s="5"/>
      <c r="L708" s="5"/>
      <c r="M708" s="5"/>
      <c r="N708" s="5"/>
    </row>
    <row r="709" ht="14.25" customHeight="1">
      <c r="A709" s="5"/>
      <c r="B709" s="5"/>
      <c r="C709" s="6"/>
      <c r="D709" s="5"/>
      <c r="E709" s="5"/>
      <c r="F709" s="5"/>
      <c r="G709" s="5"/>
      <c r="H709" s="5"/>
      <c r="I709" s="5"/>
      <c r="J709" s="5"/>
      <c r="K709" s="5"/>
      <c r="L709" s="5"/>
      <c r="M709" s="5"/>
      <c r="N709" s="5"/>
    </row>
    <row r="710" ht="14.25" customHeight="1">
      <c r="A710" s="5"/>
      <c r="B710" s="5"/>
      <c r="C710" s="6"/>
      <c r="D710" s="5"/>
      <c r="E710" s="5"/>
      <c r="F710" s="5"/>
      <c r="G710" s="5"/>
      <c r="H710" s="5"/>
      <c r="I710" s="5"/>
      <c r="J710" s="5"/>
      <c r="K710" s="5"/>
      <c r="L710" s="5"/>
      <c r="M710" s="5"/>
      <c r="N710" s="5"/>
    </row>
    <row r="711" ht="14.25" customHeight="1">
      <c r="A711" s="5"/>
      <c r="B711" s="5"/>
      <c r="C711" s="6"/>
      <c r="D711" s="5"/>
      <c r="E711" s="5"/>
      <c r="F711" s="5"/>
      <c r="G711" s="5"/>
      <c r="H711" s="5"/>
      <c r="I711" s="5"/>
      <c r="J711" s="5"/>
      <c r="K711" s="5"/>
      <c r="L711" s="5"/>
      <c r="M711" s="5"/>
      <c r="N711" s="5"/>
    </row>
    <row r="712" ht="14.25" customHeight="1">
      <c r="A712" s="5"/>
      <c r="B712" s="5"/>
      <c r="C712" s="6"/>
      <c r="D712" s="5"/>
      <c r="E712" s="5"/>
      <c r="F712" s="5"/>
      <c r="G712" s="5"/>
      <c r="H712" s="5"/>
      <c r="I712" s="5"/>
      <c r="J712" s="5"/>
      <c r="K712" s="5"/>
      <c r="L712" s="5"/>
      <c r="M712" s="5"/>
      <c r="N712" s="5"/>
    </row>
    <row r="713" ht="14.25" customHeight="1">
      <c r="A713" s="5"/>
      <c r="B713" s="5"/>
      <c r="C713" s="6"/>
      <c r="D713" s="5"/>
      <c r="E713" s="5"/>
      <c r="F713" s="5"/>
      <c r="G713" s="5"/>
      <c r="H713" s="5"/>
      <c r="I713" s="5"/>
      <c r="J713" s="5"/>
      <c r="K713" s="5"/>
      <c r="L713" s="5"/>
      <c r="M713" s="5"/>
      <c r="N713" s="5"/>
    </row>
    <row r="714" ht="14.25" customHeight="1">
      <c r="A714" s="5"/>
      <c r="B714" s="5"/>
      <c r="C714" s="6"/>
      <c r="D714" s="5"/>
      <c r="E714" s="5"/>
      <c r="F714" s="5"/>
      <c r="G714" s="5"/>
      <c r="H714" s="5"/>
      <c r="I714" s="5"/>
      <c r="J714" s="5"/>
      <c r="K714" s="5"/>
      <c r="L714" s="5"/>
      <c r="M714" s="5"/>
      <c r="N714" s="5"/>
    </row>
    <row r="715" ht="14.25" customHeight="1">
      <c r="A715" s="5"/>
      <c r="B715" s="5"/>
      <c r="C715" s="6"/>
      <c r="D715" s="5"/>
      <c r="E715" s="5"/>
      <c r="F715" s="5"/>
      <c r="G715" s="5"/>
      <c r="H715" s="5"/>
      <c r="I715" s="5"/>
      <c r="J715" s="5"/>
      <c r="K715" s="5"/>
      <c r="L715" s="5"/>
      <c r="M715" s="5"/>
      <c r="N715" s="5"/>
    </row>
    <row r="716" ht="14.25" customHeight="1">
      <c r="A716" s="5"/>
      <c r="B716" s="5"/>
      <c r="C716" s="6"/>
      <c r="D716" s="5"/>
      <c r="E716" s="5"/>
      <c r="F716" s="5"/>
      <c r="G716" s="5"/>
      <c r="H716" s="5"/>
      <c r="I716" s="5"/>
      <c r="J716" s="5"/>
      <c r="K716" s="5"/>
      <c r="L716" s="5"/>
      <c r="M716" s="5"/>
      <c r="N716" s="5"/>
    </row>
    <row r="717" ht="14.25" customHeight="1">
      <c r="A717" s="5"/>
      <c r="B717" s="5"/>
      <c r="C717" s="6"/>
      <c r="D717" s="5"/>
      <c r="E717" s="5"/>
      <c r="F717" s="5"/>
      <c r="G717" s="5"/>
      <c r="H717" s="5"/>
      <c r="I717" s="5"/>
      <c r="J717" s="5"/>
      <c r="K717" s="5"/>
      <c r="L717" s="5"/>
      <c r="M717" s="5"/>
      <c r="N717" s="5"/>
    </row>
    <row r="718" ht="14.25" customHeight="1">
      <c r="A718" s="5"/>
      <c r="B718" s="5"/>
      <c r="C718" s="6"/>
      <c r="D718" s="5"/>
      <c r="E718" s="5"/>
      <c r="F718" s="5"/>
      <c r="G718" s="5"/>
      <c r="H718" s="5"/>
      <c r="I718" s="5"/>
      <c r="J718" s="5"/>
      <c r="K718" s="5"/>
      <c r="L718" s="5"/>
      <c r="M718" s="5"/>
      <c r="N718" s="5"/>
    </row>
    <row r="719" ht="14.25" customHeight="1">
      <c r="A719" s="5"/>
      <c r="B719" s="5"/>
      <c r="C719" s="6"/>
      <c r="D719" s="5"/>
      <c r="E719" s="5"/>
      <c r="F719" s="5"/>
      <c r="G719" s="5"/>
      <c r="H719" s="5"/>
      <c r="I719" s="5"/>
      <c r="J719" s="5"/>
      <c r="K719" s="5"/>
      <c r="L719" s="5"/>
      <c r="M719" s="5"/>
      <c r="N719" s="5"/>
    </row>
    <row r="720" ht="14.25" customHeight="1">
      <c r="A720" s="5"/>
      <c r="B720" s="5"/>
      <c r="C720" s="6"/>
      <c r="D720" s="5"/>
      <c r="E720" s="5"/>
      <c r="F720" s="5"/>
      <c r="G720" s="5"/>
      <c r="H720" s="5"/>
      <c r="I720" s="5"/>
      <c r="J720" s="5"/>
      <c r="K720" s="5"/>
      <c r="L720" s="5"/>
      <c r="M720" s="5"/>
      <c r="N720" s="5"/>
    </row>
    <row r="721" ht="14.25" customHeight="1">
      <c r="A721" s="5"/>
      <c r="B721" s="5"/>
      <c r="C721" s="6"/>
      <c r="D721" s="5"/>
      <c r="E721" s="5"/>
      <c r="F721" s="5"/>
      <c r="G721" s="5"/>
      <c r="H721" s="5"/>
      <c r="I721" s="5"/>
      <c r="J721" s="5"/>
      <c r="K721" s="5"/>
      <c r="L721" s="5"/>
      <c r="M721" s="5"/>
      <c r="N721" s="5"/>
    </row>
    <row r="722" ht="14.25" customHeight="1">
      <c r="A722" s="5"/>
      <c r="B722" s="5"/>
      <c r="C722" s="6"/>
      <c r="D722" s="5"/>
      <c r="E722" s="5"/>
      <c r="F722" s="5"/>
      <c r="G722" s="5"/>
      <c r="H722" s="5"/>
      <c r="I722" s="5"/>
      <c r="J722" s="5"/>
      <c r="K722" s="5"/>
      <c r="L722" s="5"/>
      <c r="M722" s="5"/>
      <c r="N722" s="5"/>
    </row>
    <row r="723" ht="14.25" customHeight="1">
      <c r="A723" s="5"/>
      <c r="B723" s="5"/>
      <c r="C723" s="6"/>
      <c r="D723" s="5"/>
      <c r="E723" s="5"/>
      <c r="F723" s="5"/>
      <c r="G723" s="5"/>
      <c r="H723" s="5"/>
      <c r="I723" s="5"/>
      <c r="J723" s="5"/>
      <c r="K723" s="5"/>
      <c r="L723" s="5"/>
      <c r="M723" s="5"/>
      <c r="N723" s="5"/>
    </row>
    <row r="724" ht="14.25" customHeight="1">
      <c r="A724" s="5"/>
      <c r="B724" s="5"/>
      <c r="C724" s="6"/>
      <c r="D724" s="5"/>
      <c r="E724" s="5"/>
      <c r="F724" s="5"/>
      <c r="G724" s="5"/>
      <c r="H724" s="5"/>
      <c r="I724" s="5"/>
      <c r="J724" s="5"/>
      <c r="K724" s="5"/>
      <c r="L724" s="5"/>
      <c r="M724" s="5"/>
      <c r="N724" s="5"/>
    </row>
    <row r="725" ht="14.25" customHeight="1">
      <c r="A725" s="5"/>
      <c r="B725" s="5"/>
      <c r="C725" s="6"/>
      <c r="D725" s="5"/>
      <c r="E725" s="5"/>
      <c r="F725" s="5"/>
      <c r="G725" s="5"/>
      <c r="H725" s="5"/>
      <c r="I725" s="5"/>
      <c r="J725" s="5"/>
      <c r="K725" s="5"/>
      <c r="L725" s="5"/>
      <c r="M725" s="5"/>
      <c r="N725" s="5"/>
    </row>
    <row r="726" ht="14.25" customHeight="1">
      <c r="A726" s="5"/>
      <c r="B726" s="5"/>
      <c r="C726" s="6"/>
      <c r="D726" s="5"/>
      <c r="E726" s="5"/>
      <c r="F726" s="5"/>
      <c r="G726" s="5"/>
      <c r="H726" s="5"/>
      <c r="I726" s="5"/>
      <c r="J726" s="5"/>
      <c r="K726" s="5"/>
      <c r="L726" s="5"/>
      <c r="M726" s="5"/>
      <c r="N726" s="5"/>
    </row>
    <row r="727" ht="14.25" customHeight="1">
      <c r="A727" s="5"/>
      <c r="B727" s="5"/>
      <c r="C727" s="6"/>
      <c r="D727" s="5"/>
      <c r="E727" s="5"/>
      <c r="F727" s="5"/>
      <c r="G727" s="5"/>
      <c r="H727" s="5"/>
      <c r="I727" s="5"/>
      <c r="J727" s="5"/>
      <c r="K727" s="5"/>
      <c r="L727" s="5"/>
      <c r="M727" s="5"/>
      <c r="N727" s="5"/>
    </row>
    <row r="728" ht="14.25" customHeight="1">
      <c r="A728" s="5"/>
      <c r="B728" s="5"/>
      <c r="C728" s="6"/>
      <c r="D728" s="5"/>
      <c r="E728" s="5"/>
      <c r="F728" s="5"/>
      <c r="G728" s="5"/>
      <c r="H728" s="5"/>
      <c r="I728" s="5"/>
      <c r="J728" s="5"/>
      <c r="K728" s="5"/>
      <c r="L728" s="5"/>
      <c r="M728" s="5"/>
      <c r="N728" s="5"/>
    </row>
    <row r="729" ht="14.25" customHeight="1">
      <c r="A729" s="5"/>
      <c r="B729" s="5"/>
      <c r="C729" s="6"/>
      <c r="D729" s="5"/>
      <c r="E729" s="5"/>
      <c r="F729" s="5"/>
      <c r="G729" s="5"/>
      <c r="H729" s="5"/>
      <c r="I729" s="5"/>
      <c r="J729" s="5"/>
      <c r="K729" s="5"/>
      <c r="L729" s="5"/>
      <c r="M729" s="5"/>
      <c r="N729" s="5"/>
    </row>
    <row r="730" ht="14.25" customHeight="1">
      <c r="A730" s="5"/>
      <c r="B730" s="5"/>
      <c r="C730" s="6"/>
      <c r="D730" s="5"/>
      <c r="E730" s="5"/>
      <c r="F730" s="5"/>
      <c r="G730" s="5"/>
      <c r="H730" s="5"/>
      <c r="I730" s="5"/>
      <c r="J730" s="5"/>
      <c r="K730" s="5"/>
      <c r="L730" s="5"/>
      <c r="M730" s="5"/>
      <c r="N730" s="5"/>
    </row>
    <row r="731" ht="14.25" customHeight="1">
      <c r="A731" s="5"/>
      <c r="B731" s="5"/>
      <c r="C731" s="6"/>
      <c r="D731" s="5"/>
      <c r="E731" s="5"/>
      <c r="F731" s="5"/>
      <c r="G731" s="5"/>
      <c r="H731" s="5"/>
      <c r="I731" s="5"/>
      <c r="J731" s="5"/>
      <c r="K731" s="5"/>
      <c r="L731" s="5"/>
      <c r="M731" s="5"/>
      <c r="N731" s="5"/>
    </row>
    <row r="732" ht="14.25" customHeight="1">
      <c r="A732" s="5"/>
      <c r="B732" s="5"/>
      <c r="C732" s="6"/>
      <c r="D732" s="5"/>
      <c r="E732" s="5"/>
      <c r="F732" s="5"/>
      <c r="G732" s="5"/>
      <c r="H732" s="5"/>
      <c r="I732" s="5"/>
      <c r="J732" s="5"/>
      <c r="K732" s="5"/>
      <c r="L732" s="5"/>
      <c r="M732" s="5"/>
      <c r="N732" s="5"/>
    </row>
    <row r="733" ht="14.25" customHeight="1">
      <c r="A733" s="5"/>
      <c r="B733" s="5"/>
      <c r="C733" s="6"/>
      <c r="D733" s="5"/>
      <c r="E733" s="5"/>
      <c r="F733" s="5"/>
      <c r="G733" s="5"/>
      <c r="H733" s="5"/>
      <c r="I733" s="5"/>
      <c r="J733" s="5"/>
      <c r="K733" s="5"/>
      <c r="L733" s="5"/>
      <c r="M733" s="5"/>
      <c r="N733" s="5"/>
    </row>
    <row r="734" ht="14.25" customHeight="1">
      <c r="A734" s="5"/>
      <c r="B734" s="5"/>
      <c r="C734" s="6"/>
      <c r="D734" s="5"/>
      <c r="E734" s="5"/>
      <c r="F734" s="5"/>
      <c r="G734" s="5"/>
      <c r="H734" s="5"/>
      <c r="I734" s="5"/>
      <c r="J734" s="5"/>
      <c r="K734" s="5"/>
      <c r="L734" s="5"/>
      <c r="M734" s="5"/>
      <c r="N734" s="5"/>
    </row>
    <row r="735" ht="14.25" customHeight="1">
      <c r="A735" s="5"/>
      <c r="B735" s="5"/>
      <c r="C735" s="6"/>
      <c r="D735" s="5"/>
      <c r="E735" s="5"/>
      <c r="F735" s="5"/>
      <c r="G735" s="5"/>
      <c r="H735" s="5"/>
      <c r="I735" s="5"/>
      <c r="J735" s="5"/>
      <c r="K735" s="5"/>
      <c r="L735" s="5"/>
      <c r="M735" s="5"/>
      <c r="N735" s="5"/>
    </row>
    <row r="736" ht="14.25" customHeight="1">
      <c r="A736" s="5"/>
      <c r="B736" s="5"/>
      <c r="C736" s="6"/>
      <c r="D736" s="5"/>
      <c r="E736" s="5"/>
      <c r="F736" s="5"/>
      <c r="G736" s="5"/>
      <c r="H736" s="5"/>
      <c r="I736" s="5"/>
      <c r="J736" s="5"/>
      <c r="K736" s="5"/>
      <c r="L736" s="5"/>
      <c r="M736" s="5"/>
      <c r="N736" s="5"/>
    </row>
    <row r="737" ht="14.25" customHeight="1">
      <c r="A737" s="5"/>
      <c r="B737" s="5"/>
      <c r="C737" s="6"/>
      <c r="D737" s="5"/>
      <c r="E737" s="5"/>
      <c r="F737" s="5"/>
      <c r="G737" s="5"/>
      <c r="H737" s="5"/>
      <c r="I737" s="5"/>
      <c r="J737" s="5"/>
      <c r="K737" s="5"/>
      <c r="L737" s="5"/>
      <c r="M737" s="5"/>
      <c r="N737" s="5"/>
    </row>
    <row r="738" ht="14.25" customHeight="1">
      <c r="A738" s="5"/>
      <c r="B738" s="5"/>
      <c r="C738" s="6"/>
      <c r="D738" s="5"/>
      <c r="E738" s="5"/>
      <c r="F738" s="5"/>
      <c r="G738" s="5"/>
      <c r="H738" s="5"/>
      <c r="I738" s="5"/>
      <c r="J738" s="5"/>
      <c r="K738" s="5"/>
      <c r="L738" s="5"/>
      <c r="M738" s="5"/>
      <c r="N738" s="5"/>
    </row>
    <row r="739" ht="14.25" customHeight="1">
      <c r="A739" s="5"/>
      <c r="B739" s="5"/>
      <c r="C739" s="6"/>
      <c r="D739" s="5"/>
      <c r="E739" s="5"/>
      <c r="F739" s="5"/>
      <c r="G739" s="5"/>
      <c r="H739" s="5"/>
      <c r="I739" s="5"/>
      <c r="J739" s="5"/>
      <c r="K739" s="5"/>
      <c r="L739" s="5"/>
      <c r="M739" s="5"/>
      <c r="N739" s="5"/>
    </row>
    <row r="740" ht="14.25" customHeight="1">
      <c r="A740" s="5"/>
      <c r="B740" s="5"/>
      <c r="C740" s="6"/>
      <c r="D740" s="5"/>
      <c r="E740" s="5"/>
      <c r="F740" s="5"/>
      <c r="G740" s="5"/>
      <c r="H740" s="5"/>
      <c r="I740" s="5"/>
      <c r="J740" s="5"/>
      <c r="K740" s="5"/>
      <c r="L740" s="5"/>
      <c r="M740" s="5"/>
      <c r="N740" s="5"/>
    </row>
    <row r="741" ht="14.25" customHeight="1">
      <c r="A741" s="5"/>
      <c r="B741" s="5"/>
      <c r="C741" s="6"/>
      <c r="D741" s="5"/>
      <c r="E741" s="5"/>
      <c r="F741" s="5"/>
      <c r="G741" s="5"/>
      <c r="H741" s="5"/>
      <c r="I741" s="5"/>
      <c r="J741" s="5"/>
      <c r="K741" s="5"/>
      <c r="L741" s="5"/>
      <c r="M741" s="5"/>
      <c r="N741" s="5"/>
    </row>
    <row r="742" ht="14.25" customHeight="1">
      <c r="A742" s="5"/>
      <c r="B742" s="5"/>
      <c r="C742" s="6"/>
      <c r="D742" s="5"/>
      <c r="E742" s="5"/>
      <c r="F742" s="5"/>
      <c r="G742" s="5"/>
      <c r="H742" s="5"/>
      <c r="I742" s="5"/>
      <c r="J742" s="5"/>
      <c r="K742" s="5"/>
      <c r="L742" s="5"/>
      <c r="M742" s="5"/>
      <c r="N742" s="5"/>
    </row>
    <row r="743" ht="14.25" customHeight="1">
      <c r="A743" s="5"/>
      <c r="B743" s="5"/>
      <c r="C743" s="6"/>
      <c r="D743" s="5"/>
      <c r="E743" s="5"/>
      <c r="F743" s="5"/>
      <c r="G743" s="5"/>
      <c r="H743" s="5"/>
      <c r="I743" s="5"/>
      <c r="J743" s="5"/>
      <c r="K743" s="5"/>
      <c r="L743" s="5"/>
      <c r="M743" s="5"/>
      <c r="N743" s="5"/>
    </row>
    <row r="744" ht="14.25" customHeight="1">
      <c r="A744" s="5"/>
      <c r="B744" s="5"/>
      <c r="C744" s="6"/>
      <c r="D744" s="5"/>
      <c r="E744" s="5"/>
      <c r="F744" s="5"/>
      <c r="G744" s="5"/>
      <c r="H744" s="5"/>
      <c r="I744" s="5"/>
      <c r="J744" s="5"/>
      <c r="K744" s="5"/>
      <c r="L744" s="5"/>
      <c r="M744" s="5"/>
      <c r="N744" s="5"/>
    </row>
    <row r="745" ht="14.25" customHeight="1">
      <c r="A745" s="5"/>
      <c r="B745" s="5"/>
      <c r="C745" s="6"/>
      <c r="D745" s="5"/>
      <c r="E745" s="5"/>
      <c r="F745" s="5"/>
      <c r="G745" s="5"/>
      <c r="H745" s="5"/>
      <c r="I745" s="5"/>
      <c r="J745" s="5"/>
      <c r="K745" s="5"/>
      <c r="L745" s="5"/>
      <c r="M745" s="5"/>
      <c r="N745" s="5"/>
    </row>
    <row r="746" ht="14.25" customHeight="1">
      <c r="A746" s="5"/>
      <c r="B746" s="5"/>
      <c r="C746" s="6"/>
      <c r="D746" s="5"/>
      <c r="E746" s="5"/>
      <c r="F746" s="5"/>
      <c r="G746" s="5"/>
      <c r="H746" s="5"/>
      <c r="I746" s="5"/>
      <c r="J746" s="5"/>
      <c r="K746" s="5"/>
      <c r="L746" s="5"/>
      <c r="M746" s="5"/>
      <c r="N746" s="5"/>
    </row>
    <row r="747" ht="14.25" customHeight="1">
      <c r="A747" s="5"/>
      <c r="B747" s="5"/>
      <c r="C747" s="6"/>
      <c r="D747" s="5"/>
      <c r="E747" s="5"/>
      <c r="F747" s="5"/>
      <c r="G747" s="5"/>
      <c r="H747" s="5"/>
      <c r="I747" s="5"/>
      <c r="J747" s="5"/>
      <c r="K747" s="5"/>
      <c r="L747" s="5"/>
      <c r="M747" s="5"/>
      <c r="N747" s="5"/>
    </row>
    <row r="748" ht="14.25" customHeight="1">
      <c r="A748" s="5"/>
      <c r="B748" s="5"/>
      <c r="C748" s="6"/>
      <c r="D748" s="5"/>
      <c r="E748" s="5"/>
      <c r="F748" s="5"/>
      <c r="G748" s="5"/>
      <c r="H748" s="5"/>
      <c r="I748" s="5"/>
      <c r="J748" s="5"/>
      <c r="K748" s="5"/>
      <c r="L748" s="5"/>
      <c r="M748" s="5"/>
      <c r="N748" s="5"/>
    </row>
    <row r="749" ht="14.25" customHeight="1">
      <c r="A749" s="5"/>
      <c r="B749" s="5"/>
      <c r="C749" s="6"/>
      <c r="D749" s="5"/>
      <c r="E749" s="5"/>
      <c r="F749" s="5"/>
      <c r="G749" s="5"/>
      <c r="H749" s="5"/>
      <c r="I749" s="5"/>
      <c r="J749" s="5"/>
      <c r="K749" s="5"/>
      <c r="L749" s="5"/>
      <c r="M749" s="5"/>
      <c r="N749" s="5"/>
    </row>
    <row r="750" ht="14.25" customHeight="1">
      <c r="A750" s="5"/>
      <c r="B750" s="5"/>
      <c r="C750" s="6"/>
      <c r="D750" s="5"/>
      <c r="E750" s="5"/>
      <c r="F750" s="5"/>
      <c r="G750" s="5"/>
      <c r="H750" s="5"/>
      <c r="I750" s="5"/>
      <c r="J750" s="5"/>
      <c r="K750" s="5"/>
      <c r="L750" s="5"/>
      <c r="M750" s="5"/>
      <c r="N750" s="5"/>
    </row>
    <row r="751" ht="14.25" customHeight="1">
      <c r="A751" s="5"/>
      <c r="B751" s="5"/>
      <c r="C751" s="6"/>
      <c r="D751" s="5"/>
      <c r="E751" s="5"/>
      <c r="F751" s="5"/>
      <c r="G751" s="5"/>
      <c r="H751" s="5"/>
      <c r="I751" s="5"/>
      <c r="J751" s="5"/>
      <c r="K751" s="5"/>
      <c r="L751" s="5"/>
      <c r="M751" s="5"/>
      <c r="N751" s="5"/>
    </row>
    <row r="752" ht="14.25" customHeight="1">
      <c r="A752" s="5"/>
      <c r="B752" s="5"/>
      <c r="C752" s="6"/>
      <c r="D752" s="5"/>
      <c r="E752" s="5"/>
      <c r="F752" s="5"/>
      <c r="G752" s="5"/>
      <c r="H752" s="5"/>
      <c r="I752" s="5"/>
      <c r="J752" s="5"/>
      <c r="K752" s="5"/>
      <c r="L752" s="5"/>
      <c r="M752" s="5"/>
      <c r="N752" s="5"/>
    </row>
    <row r="753" ht="14.25" customHeight="1">
      <c r="A753" s="5"/>
      <c r="B753" s="5"/>
      <c r="C753" s="6"/>
      <c r="D753" s="5"/>
      <c r="E753" s="5"/>
      <c r="F753" s="5"/>
      <c r="G753" s="5"/>
      <c r="H753" s="5"/>
      <c r="I753" s="5"/>
      <c r="J753" s="5"/>
      <c r="K753" s="5"/>
      <c r="L753" s="5"/>
      <c r="M753" s="5"/>
      <c r="N753" s="5"/>
    </row>
    <row r="754" ht="14.25" customHeight="1">
      <c r="A754" s="5"/>
      <c r="B754" s="5"/>
      <c r="C754" s="6"/>
      <c r="D754" s="5"/>
      <c r="E754" s="5"/>
      <c r="F754" s="5"/>
      <c r="G754" s="5"/>
      <c r="H754" s="5"/>
      <c r="I754" s="5"/>
      <c r="J754" s="5"/>
      <c r="K754" s="5"/>
      <c r="L754" s="5"/>
      <c r="M754" s="5"/>
      <c r="N754" s="5"/>
    </row>
    <row r="755" ht="14.25" customHeight="1">
      <c r="A755" s="5"/>
      <c r="B755" s="5"/>
      <c r="C755" s="6"/>
      <c r="D755" s="5"/>
      <c r="E755" s="5"/>
      <c r="F755" s="5"/>
      <c r="G755" s="5"/>
      <c r="H755" s="5"/>
      <c r="I755" s="5"/>
      <c r="J755" s="5"/>
      <c r="K755" s="5"/>
      <c r="L755" s="5"/>
      <c r="M755" s="5"/>
      <c r="N755" s="5"/>
    </row>
    <row r="756" ht="14.25" customHeight="1">
      <c r="A756" s="5"/>
      <c r="B756" s="5"/>
      <c r="C756" s="6"/>
      <c r="D756" s="5"/>
      <c r="E756" s="5"/>
      <c r="F756" s="5"/>
      <c r="G756" s="5"/>
      <c r="H756" s="5"/>
      <c r="I756" s="5"/>
      <c r="J756" s="5"/>
      <c r="K756" s="5"/>
      <c r="L756" s="5"/>
      <c r="M756" s="5"/>
      <c r="N756" s="5"/>
    </row>
    <row r="757" ht="14.25" customHeight="1">
      <c r="A757" s="5"/>
      <c r="B757" s="5"/>
      <c r="C757" s="6"/>
      <c r="D757" s="5"/>
      <c r="E757" s="5"/>
      <c r="F757" s="5"/>
      <c r="G757" s="5"/>
      <c r="H757" s="5"/>
      <c r="I757" s="5"/>
      <c r="J757" s="5"/>
      <c r="K757" s="5"/>
      <c r="L757" s="5"/>
      <c r="M757" s="5"/>
      <c r="N757" s="5"/>
    </row>
    <row r="758" ht="14.25" customHeight="1">
      <c r="A758" s="5"/>
      <c r="B758" s="5"/>
      <c r="C758" s="6"/>
      <c r="D758" s="5"/>
      <c r="E758" s="5"/>
      <c r="F758" s="5"/>
      <c r="G758" s="5"/>
      <c r="H758" s="5"/>
      <c r="I758" s="5"/>
      <c r="J758" s="5"/>
      <c r="K758" s="5"/>
      <c r="L758" s="5"/>
      <c r="M758" s="5"/>
      <c r="N758" s="5"/>
    </row>
    <row r="759" ht="14.25" customHeight="1">
      <c r="A759" s="5"/>
      <c r="B759" s="5"/>
      <c r="C759" s="6"/>
      <c r="D759" s="5"/>
      <c r="E759" s="5"/>
      <c r="F759" s="5"/>
      <c r="G759" s="5"/>
      <c r="H759" s="5"/>
      <c r="I759" s="5"/>
      <c r="J759" s="5"/>
      <c r="K759" s="5"/>
      <c r="L759" s="5"/>
      <c r="M759" s="5"/>
      <c r="N759" s="5"/>
    </row>
    <row r="760" ht="14.25" customHeight="1">
      <c r="A760" s="5"/>
      <c r="B760" s="5"/>
      <c r="C760" s="6"/>
      <c r="D760" s="5"/>
      <c r="E760" s="5"/>
      <c r="F760" s="5"/>
      <c r="G760" s="5"/>
      <c r="H760" s="5"/>
      <c r="I760" s="5"/>
      <c r="J760" s="5"/>
      <c r="K760" s="5"/>
      <c r="L760" s="5"/>
      <c r="M760" s="5"/>
      <c r="N760" s="5"/>
    </row>
    <row r="761" ht="14.25" customHeight="1">
      <c r="A761" s="5"/>
      <c r="B761" s="5"/>
      <c r="C761" s="6"/>
      <c r="D761" s="5"/>
      <c r="E761" s="5"/>
      <c r="F761" s="5"/>
      <c r="G761" s="5"/>
      <c r="H761" s="5"/>
      <c r="I761" s="5"/>
      <c r="J761" s="5"/>
      <c r="K761" s="5"/>
      <c r="L761" s="5"/>
      <c r="M761" s="5"/>
      <c r="N761" s="5"/>
    </row>
    <row r="762" ht="14.25" customHeight="1">
      <c r="A762" s="5"/>
      <c r="B762" s="5"/>
      <c r="C762" s="6"/>
      <c r="D762" s="5"/>
      <c r="E762" s="5"/>
      <c r="F762" s="5"/>
      <c r="G762" s="5"/>
      <c r="H762" s="5"/>
      <c r="I762" s="5"/>
      <c r="J762" s="5"/>
      <c r="K762" s="5"/>
      <c r="L762" s="5"/>
      <c r="M762" s="5"/>
      <c r="N762" s="5"/>
    </row>
    <row r="763" ht="14.25" customHeight="1">
      <c r="A763" s="5"/>
      <c r="B763" s="5"/>
      <c r="C763" s="6"/>
      <c r="D763" s="5"/>
      <c r="E763" s="5"/>
      <c r="F763" s="5"/>
      <c r="G763" s="5"/>
      <c r="H763" s="5"/>
      <c r="I763" s="5"/>
      <c r="J763" s="5"/>
      <c r="K763" s="5"/>
      <c r="L763" s="5"/>
      <c r="M763" s="5"/>
      <c r="N763" s="5"/>
    </row>
    <row r="764" ht="14.25" customHeight="1">
      <c r="A764" s="5"/>
      <c r="B764" s="5"/>
      <c r="C764" s="6"/>
      <c r="D764" s="5"/>
      <c r="E764" s="5"/>
      <c r="F764" s="5"/>
      <c r="G764" s="5"/>
      <c r="H764" s="5"/>
      <c r="I764" s="5"/>
      <c r="J764" s="5"/>
      <c r="K764" s="5"/>
      <c r="L764" s="5"/>
      <c r="M764" s="5"/>
      <c r="N764" s="5"/>
    </row>
    <row r="765" ht="14.25" customHeight="1">
      <c r="A765" s="5"/>
      <c r="B765" s="5"/>
      <c r="C765" s="6"/>
      <c r="D765" s="5"/>
      <c r="E765" s="5"/>
      <c r="F765" s="5"/>
      <c r="G765" s="5"/>
      <c r="H765" s="5"/>
      <c r="I765" s="5"/>
      <c r="J765" s="5"/>
      <c r="K765" s="5"/>
      <c r="L765" s="5"/>
      <c r="M765" s="5"/>
      <c r="N765" s="5"/>
    </row>
    <row r="766" ht="14.25" customHeight="1">
      <c r="A766" s="5"/>
      <c r="B766" s="5"/>
      <c r="C766" s="6"/>
      <c r="D766" s="5"/>
      <c r="E766" s="5"/>
      <c r="F766" s="5"/>
      <c r="G766" s="5"/>
      <c r="H766" s="5"/>
      <c r="I766" s="5"/>
      <c r="J766" s="5"/>
      <c r="K766" s="5"/>
      <c r="L766" s="5"/>
      <c r="M766" s="5"/>
      <c r="N766" s="5"/>
    </row>
    <row r="767" ht="14.25" customHeight="1">
      <c r="A767" s="5"/>
      <c r="B767" s="5"/>
      <c r="C767" s="6"/>
      <c r="D767" s="5"/>
      <c r="E767" s="5"/>
      <c r="F767" s="5"/>
      <c r="G767" s="5"/>
      <c r="H767" s="5"/>
      <c r="I767" s="5"/>
      <c r="J767" s="5"/>
      <c r="K767" s="5"/>
      <c r="L767" s="5"/>
      <c r="M767" s="5"/>
      <c r="N767" s="5"/>
    </row>
    <row r="768" ht="14.25" customHeight="1">
      <c r="A768" s="5"/>
      <c r="B768" s="5"/>
      <c r="C768" s="6"/>
      <c r="D768" s="5"/>
      <c r="E768" s="5"/>
      <c r="F768" s="5"/>
      <c r="G768" s="5"/>
      <c r="H768" s="5"/>
      <c r="I768" s="5"/>
      <c r="J768" s="5"/>
      <c r="K768" s="5"/>
      <c r="L768" s="5"/>
      <c r="M768" s="5"/>
      <c r="N768" s="5"/>
    </row>
    <row r="769" ht="14.25" customHeight="1">
      <c r="A769" s="5"/>
      <c r="B769" s="5"/>
      <c r="C769" s="6"/>
      <c r="D769" s="5"/>
      <c r="E769" s="5"/>
      <c r="F769" s="5"/>
      <c r="G769" s="5"/>
      <c r="H769" s="5"/>
      <c r="I769" s="5"/>
      <c r="J769" s="5"/>
      <c r="K769" s="5"/>
      <c r="L769" s="5"/>
      <c r="M769" s="5"/>
      <c r="N769" s="5"/>
    </row>
    <row r="770" ht="14.25" customHeight="1">
      <c r="A770" s="5"/>
      <c r="B770" s="5"/>
      <c r="C770" s="6"/>
      <c r="D770" s="5"/>
      <c r="E770" s="5"/>
      <c r="F770" s="5"/>
      <c r="G770" s="5"/>
      <c r="H770" s="5"/>
      <c r="I770" s="5"/>
      <c r="J770" s="5"/>
      <c r="K770" s="5"/>
      <c r="L770" s="5"/>
      <c r="M770" s="5"/>
      <c r="N770" s="5"/>
    </row>
    <row r="771" ht="14.25" customHeight="1">
      <c r="A771" s="5"/>
      <c r="B771" s="5"/>
      <c r="C771" s="6"/>
      <c r="D771" s="5"/>
      <c r="E771" s="5"/>
      <c r="F771" s="5"/>
      <c r="G771" s="5"/>
      <c r="H771" s="5"/>
      <c r="I771" s="5"/>
      <c r="J771" s="5"/>
      <c r="K771" s="5"/>
      <c r="L771" s="5"/>
      <c r="M771" s="5"/>
      <c r="N771" s="5"/>
    </row>
    <row r="772" ht="14.25" customHeight="1">
      <c r="A772" s="5"/>
      <c r="B772" s="5"/>
      <c r="C772" s="6"/>
      <c r="D772" s="5"/>
      <c r="E772" s="5"/>
      <c r="F772" s="5"/>
      <c r="G772" s="5"/>
      <c r="H772" s="5"/>
      <c r="I772" s="5"/>
      <c r="J772" s="5"/>
      <c r="K772" s="5"/>
      <c r="L772" s="5"/>
      <c r="M772" s="5"/>
      <c r="N772" s="5"/>
    </row>
    <row r="773" ht="14.25" customHeight="1">
      <c r="A773" s="5"/>
      <c r="B773" s="5"/>
      <c r="C773" s="6"/>
      <c r="D773" s="5"/>
      <c r="E773" s="5"/>
      <c r="F773" s="5"/>
      <c r="G773" s="5"/>
      <c r="H773" s="5"/>
      <c r="I773" s="5"/>
      <c r="J773" s="5"/>
      <c r="K773" s="5"/>
      <c r="L773" s="5"/>
      <c r="M773" s="5"/>
      <c r="N773" s="5"/>
    </row>
    <row r="774" ht="14.25" customHeight="1">
      <c r="A774" s="5"/>
      <c r="B774" s="5"/>
      <c r="C774" s="6"/>
      <c r="D774" s="5"/>
      <c r="E774" s="5"/>
      <c r="F774" s="5"/>
      <c r="G774" s="5"/>
      <c r="H774" s="5"/>
      <c r="I774" s="5"/>
      <c r="J774" s="5"/>
      <c r="K774" s="5"/>
      <c r="L774" s="5"/>
      <c r="M774" s="5"/>
      <c r="N774" s="5"/>
    </row>
    <row r="775" ht="14.25" customHeight="1">
      <c r="A775" s="5"/>
      <c r="B775" s="5"/>
      <c r="C775" s="6"/>
      <c r="D775" s="5"/>
      <c r="E775" s="5"/>
      <c r="F775" s="5"/>
      <c r="G775" s="5"/>
      <c r="H775" s="5"/>
      <c r="I775" s="5"/>
      <c r="J775" s="5"/>
      <c r="K775" s="5"/>
      <c r="L775" s="5"/>
      <c r="M775" s="5"/>
      <c r="N775" s="5"/>
    </row>
    <row r="776" ht="14.25" customHeight="1">
      <c r="A776" s="5"/>
      <c r="B776" s="5"/>
      <c r="C776" s="6"/>
      <c r="D776" s="5"/>
      <c r="E776" s="5"/>
      <c r="F776" s="5"/>
      <c r="G776" s="5"/>
      <c r="H776" s="5"/>
      <c r="I776" s="5"/>
      <c r="J776" s="5"/>
      <c r="K776" s="5"/>
      <c r="L776" s="5"/>
      <c r="M776" s="5"/>
      <c r="N776" s="5"/>
    </row>
    <row r="777" ht="14.25" customHeight="1">
      <c r="A777" s="5"/>
      <c r="B777" s="5"/>
      <c r="C777" s="6"/>
      <c r="D777" s="5"/>
      <c r="E777" s="5"/>
      <c r="F777" s="5"/>
      <c r="G777" s="5"/>
      <c r="H777" s="5"/>
      <c r="I777" s="5"/>
      <c r="J777" s="5"/>
      <c r="K777" s="5"/>
      <c r="L777" s="5"/>
      <c r="M777" s="5"/>
      <c r="N777" s="5"/>
    </row>
    <row r="778" ht="14.25" customHeight="1">
      <c r="A778" s="5"/>
      <c r="B778" s="5"/>
      <c r="C778" s="6"/>
      <c r="D778" s="5"/>
      <c r="E778" s="5"/>
      <c r="F778" s="5"/>
      <c r="G778" s="5"/>
      <c r="H778" s="5"/>
      <c r="I778" s="5"/>
      <c r="J778" s="5"/>
      <c r="K778" s="5"/>
      <c r="L778" s="5"/>
      <c r="M778" s="5"/>
      <c r="N778" s="5"/>
    </row>
    <row r="779" ht="14.25" customHeight="1">
      <c r="A779" s="5"/>
      <c r="B779" s="5"/>
      <c r="C779" s="6"/>
      <c r="D779" s="5"/>
      <c r="E779" s="5"/>
      <c r="F779" s="5"/>
      <c r="G779" s="5"/>
      <c r="H779" s="5"/>
      <c r="I779" s="5"/>
      <c r="J779" s="5"/>
      <c r="K779" s="5"/>
      <c r="L779" s="5"/>
      <c r="M779" s="5"/>
      <c r="N779" s="5"/>
    </row>
    <row r="780" ht="14.25" customHeight="1">
      <c r="A780" s="5"/>
      <c r="B780" s="5"/>
      <c r="C780" s="6"/>
      <c r="D780" s="5"/>
      <c r="E780" s="5"/>
      <c r="F780" s="5"/>
      <c r="G780" s="5"/>
      <c r="H780" s="5"/>
      <c r="I780" s="5"/>
      <c r="J780" s="5"/>
      <c r="K780" s="5"/>
      <c r="L780" s="5"/>
      <c r="M780" s="5"/>
      <c r="N780" s="5"/>
    </row>
    <row r="781" ht="14.25" customHeight="1">
      <c r="A781" s="5"/>
      <c r="B781" s="5"/>
      <c r="C781" s="6"/>
      <c r="D781" s="5"/>
      <c r="E781" s="5"/>
      <c r="F781" s="5"/>
      <c r="G781" s="5"/>
      <c r="H781" s="5"/>
      <c r="I781" s="5"/>
      <c r="J781" s="5"/>
      <c r="K781" s="5"/>
      <c r="L781" s="5"/>
      <c r="M781" s="5"/>
      <c r="N781" s="5"/>
    </row>
    <row r="782" ht="14.25" customHeight="1">
      <c r="A782" s="5"/>
      <c r="B782" s="5"/>
      <c r="C782" s="6"/>
      <c r="D782" s="5"/>
      <c r="E782" s="5"/>
      <c r="F782" s="5"/>
      <c r="G782" s="5"/>
      <c r="H782" s="5"/>
      <c r="I782" s="5"/>
      <c r="J782" s="5"/>
      <c r="K782" s="5"/>
      <c r="L782" s="5"/>
      <c r="M782" s="5"/>
      <c r="N782" s="5"/>
    </row>
    <row r="783" ht="14.25" customHeight="1">
      <c r="A783" s="5"/>
      <c r="B783" s="5"/>
      <c r="C783" s="6"/>
      <c r="D783" s="5"/>
      <c r="E783" s="5"/>
      <c r="F783" s="5"/>
      <c r="G783" s="5"/>
      <c r="H783" s="5"/>
      <c r="I783" s="5"/>
      <c r="J783" s="5"/>
      <c r="K783" s="5"/>
      <c r="L783" s="5"/>
      <c r="M783" s="5"/>
      <c r="N783" s="5"/>
    </row>
    <row r="784" ht="14.25" customHeight="1">
      <c r="A784" s="5"/>
      <c r="B784" s="5"/>
      <c r="C784" s="6"/>
      <c r="D784" s="5"/>
      <c r="E784" s="5"/>
      <c r="F784" s="5"/>
      <c r="G784" s="5"/>
      <c r="H784" s="5"/>
      <c r="I784" s="5"/>
      <c r="J784" s="5"/>
      <c r="K784" s="5"/>
      <c r="L784" s="5"/>
      <c r="M784" s="5"/>
      <c r="N784" s="5"/>
    </row>
    <row r="785" ht="14.25" customHeight="1">
      <c r="A785" s="5"/>
      <c r="B785" s="5"/>
      <c r="C785" s="6"/>
      <c r="D785" s="5"/>
      <c r="E785" s="5"/>
      <c r="F785" s="5"/>
      <c r="G785" s="5"/>
      <c r="H785" s="5"/>
      <c r="I785" s="5"/>
      <c r="J785" s="5"/>
      <c r="K785" s="5"/>
      <c r="L785" s="5"/>
      <c r="M785" s="5"/>
      <c r="N785" s="5"/>
    </row>
    <row r="786" ht="14.25" customHeight="1">
      <c r="A786" s="5"/>
      <c r="B786" s="5"/>
      <c r="C786" s="6"/>
      <c r="D786" s="5"/>
      <c r="E786" s="5"/>
      <c r="F786" s="5"/>
      <c r="G786" s="5"/>
      <c r="H786" s="5"/>
      <c r="I786" s="5"/>
      <c r="J786" s="5"/>
      <c r="K786" s="5"/>
      <c r="L786" s="5"/>
      <c r="M786" s="5"/>
      <c r="N786" s="5"/>
    </row>
    <row r="787" ht="14.25" customHeight="1">
      <c r="A787" s="5"/>
      <c r="B787" s="5"/>
      <c r="C787" s="6"/>
      <c r="D787" s="5"/>
      <c r="E787" s="5"/>
      <c r="F787" s="5"/>
      <c r="G787" s="5"/>
      <c r="H787" s="5"/>
      <c r="I787" s="5"/>
      <c r="J787" s="5"/>
      <c r="K787" s="5"/>
      <c r="L787" s="5"/>
      <c r="M787" s="5"/>
      <c r="N787" s="5"/>
    </row>
    <row r="788" ht="14.25" customHeight="1">
      <c r="A788" s="5"/>
      <c r="B788" s="5"/>
      <c r="C788" s="6"/>
      <c r="D788" s="5"/>
      <c r="E788" s="5"/>
      <c r="F788" s="5"/>
      <c r="G788" s="5"/>
      <c r="H788" s="5"/>
      <c r="I788" s="5"/>
      <c r="J788" s="5"/>
      <c r="K788" s="5"/>
      <c r="L788" s="5"/>
      <c r="M788" s="5"/>
      <c r="N788" s="5"/>
    </row>
    <row r="789" ht="14.25" customHeight="1">
      <c r="A789" s="5"/>
      <c r="B789" s="5"/>
      <c r="C789" s="6"/>
      <c r="D789" s="5"/>
      <c r="E789" s="5"/>
      <c r="F789" s="5"/>
      <c r="G789" s="5"/>
      <c r="H789" s="5"/>
      <c r="I789" s="5"/>
      <c r="J789" s="5"/>
      <c r="K789" s="5"/>
      <c r="L789" s="5"/>
      <c r="M789" s="5"/>
      <c r="N789" s="5"/>
    </row>
    <row r="790" ht="14.25" customHeight="1">
      <c r="A790" s="5"/>
      <c r="B790" s="5"/>
      <c r="C790" s="6"/>
      <c r="D790" s="5"/>
      <c r="E790" s="5"/>
      <c r="F790" s="5"/>
      <c r="G790" s="5"/>
      <c r="H790" s="5"/>
      <c r="I790" s="5"/>
      <c r="J790" s="5"/>
      <c r="K790" s="5"/>
      <c r="L790" s="5"/>
      <c r="M790" s="5"/>
      <c r="N790" s="5"/>
    </row>
    <row r="791" ht="14.25" customHeight="1">
      <c r="A791" s="5"/>
      <c r="B791" s="5"/>
      <c r="C791" s="6"/>
      <c r="D791" s="5"/>
      <c r="E791" s="5"/>
      <c r="F791" s="5"/>
      <c r="G791" s="5"/>
      <c r="H791" s="5"/>
      <c r="I791" s="5"/>
      <c r="J791" s="5"/>
      <c r="K791" s="5"/>
      <c r="L791" s="5"/>
      <c r="M791" s="5"/>
      <c r="N791" s="5"/>
    </row>
    <row r="792" ht="14.25" customHeight="1">
      <c r="A792" s="5"/>
      <c r="B792" s="5"/>
      <c r="C792" s="6"/>
      <c r="D792" s="5"/>
      <c r="E792" s="5"/>
      <c r="F792" s="5"/>
      <c r="G792" s="5"/>
      <c r="H792" s="5"/>
      <c r="I792" s="5"/>
      <c r="J792" s="5"/>
      <c r="K792" s="5"/>
      <c r="L792" s="5"/>
      <c r="M792" s="5"/>
      <c r="N792" s="5"/>
    </row>
    <row r="793" ht="14.25" customHeight="1">
      <c r="A793" s="5"/>
      <c r="B793" s="5"/>
      <c r="C793" s="6"/>
      <c r="D793" s="5"/>
      <c r="E793" s="5"/>
      <c r="F793" s="5"/>
      <c r="G793" s="5"/>
      <c r="H793" s="5"/>
      <c r="I793" s="5"/>
      <c r="J793" s="5"/>
      <c r="K793" s="5"/>
      <c r="L793" s="5"/>
      <c r="M793" s="5"/>
      <c r="N793" s="5"/>
    </row>
    <row r="794" ht="14.25" customHeight="1">
      <c r="A794" s="5"/>
      <c r="B794" s="5"/>
      <c r="C794" s="6"/>
      <c r="D794" s="5"/>
      <c r="E794" s="5"/>
      <c r="F794" s="5"/>
      <c r="G794" s="5"/>
      <c r="H794" s="5"/>
      <c r="I794" s="5"/>
      <c r="J794" s="5"/>
      <c r="K794" s="5"/>
      <c r="L794" s="5"/>
      <c r="M794" s="5"/>
      <c r="N794" s="5"/>
    </row>
    <row r="795" ht="14.25" customHeight="1">
      <c r="A795" s="5"/>
      <c r="B795" s="5"/>
      <c r="C795" s="6"/>
      <c r="D795" s="5"/>
      <c r="E795" s="5"/>
      <c r="F795" s="5"/>
      <c r="G795" s="5"/>
      <c r="H795" s="5"/>
      <c r="I795" s="5"/>
      <c r="J795" s="5"/>
      <c r="K795" s="5"/>
      <c r="L795" s="5"/>
      <c r="M795" s="5"/>
      <c r="N795" s="5"/>
    </row>
    <row r="796" ht="14.25" customHeight="1">
      <c r="A796" s="5"/>
      <c r="B796" s="5"/>
      <c r="C796" s="6"/>
      <c r="D796" s="5"/>
      <c r="E796" s="5"/>
      <c r="F796" s="5"/>
      <c r="G796" s="5"/>
      <c r="H796" s="5"/>
      <c r="I796" s="5"/>
      <c r="J796" s="5"/>
      <c r="K796" s="5"/>
      <c r="L796" s="5"/>
      <c r="M796" s="5"/>
      <c r="N796" s="5"/>
    </row>
    <row r="797" ht="14.25" customHeight="1">
      <c r="A797" s="5"/>
      <c r="B797" s="5"/>
      <c r="C797" s="6"/>
      <c r="D797" s="5"/>
      <c r="E797" s="5"/>
      <c r="F797" s="5"/>
      <c r="G797" s="5"/>
      <c r="H797" s="5"/>
      <c r="I797" s="5"/>
      <c r="J797" s="5"/>
      <c r="K797" s="5"/>
      <c r="L797" s="5"/>
      <c r="M797" s="5"/>
      <c r="N797" s="5"/>
    </row>
    <row r="798" ht="14.25" customHeight="1">
      <c r="A798" s="5"/>
      <c r="B798" s="5"/>
      <c r="C798" s="6"/>
      <c r="D798" s="5"/>
      <c r="E798" s="5"/>
      <c r="F798" s="5"/>
      <c r="G798" s="5"/>
      <c r="H798" s="5"/>
      <c r="I798" s="5"/>
      <c r="J798" s="5"/>
      <c r="K798" s="5"/>
      <c r="L798" s="5"/>
      <c r="M798" s="5"/>
      <c r="N798" s="5"/>
    </row>
    <row r="799" ht="14.25" customHeight="1">
      <c r="A799" s="5"/>
      <c r="B799" s="5"/>
      <c r="C799" s="6"/>
      <c r="D799" s="5"/>
      <c r="E799" s="5"/>
      <c r="F799" s="5"/>
      <c r="G799" s="5"/>
      <c r="H799" s="5"/>
      <c r="I799" s="5"/>
      <c r="J799" s="5"/>
      <c r="K799" s="5"/>
      <c r="L799" s="5"/>
      <c r="M799" s="5"/>
      <c r="N799" s="5"/>
    </row>
    <row r="800" ht="14.25" customHeight="1">
      <c r="A800" s="5"/>
      <c r="B800" s="5"/>
      <c r="C800" s="6"/>
      <c r="D800" s="5"/>
      <c r="E800" s="5"/>
      <c r="F800" s="5"/>
      <c r="G800" s="5"/>
      <c r="H800" s="5"/>
      <c r="I800" s="5"/>
      <c r="J800" s="5"/>
      <c r="K800" s="5"/>
      <c r="L800" s="5"/>
      <c r="M800" s="5"/>
      <c r="N800" s="5"/>
    </row>
    <row r="801" ht="14.25" customHeight="1">
      <c r="A801" s="5"/>
      <c r="B801" s="5"/>
      <c r="C801" s="6"/>
      <c r="D801" s="5"/>
      <c r="E801" s="5"/>
      <c r="F801" s="5"/>
      <c r="G801" s="5"/>
      <c r="H801" s="5"/>
      <c r="I801" s="5"/>
      <c r="J801" s="5"/>
      <c r="K801" s="5"/>
      <c r="L801" s="5"/>
      <c r="M801" s="5"/>
      <c r="N801" s="5"/>
    </row>
    <row r="802" ht="14.25" customHeight="1">
      <c r="A802" s="5"/>
      <c r="B802" s="5"/>
      <c r="C802" s="6"/>
      <c r="D802" s="5"/>
      <c r="E802" s="5"/>
      <c r="F802" s="5"/>
      <c r="G802" s="5"/>
      <c r="H802" s="5"/>
      <c r="I802" s="5"/>
      <c r="J802" s="5"/>
      <c r="K802" s="5"/>
      <c r="L802" s="5"/>
      <c r="M802" s="5"/>
      <c r="N802" s="5"/>
    </row>
    <row r="803" ht="14.25" customHeight="1">
      <c r="A803" s="5"/>
      <c r="B803" s="5"/>
      <c r="C803" s="6"/>
      <c r="D803" s="5"/>
      <c r="E803" s="5"/>
      <c r="F803" s="5"/>
      <c r="G803" s="5"/>
      <c r="H803" s="5"/>
      <c r="I803" s="5"/>
      <c r="J803" s="5"/>
      <c r="K803" s="5"/>
      <c r="L803" s="5"/>
      <c r="M803" s="5"/>
      <c r="N803" s="5"/>
    </row>
    <row r="804" ht="14.25" customHeight="1">
      <c r="A804" s="5"/>
      <c r="B804" s="5"/>
      <c r="C804" s="6"/>
      <c r="D804" s="5"/>
      <c r="E804" s="5"/>
      <c r="F804" s="5"/>
      <c r="G804" s="5"/>
      <c r="H804" s="5"/>
      <c r="I804" s="5"/>
      <c r="J804" s="5"/>
      <c r="K804" s="5"/>
      <c r="L804" s="5"/>
      <c r="M804" s="5"/>
      <c r="N804" s="5"/>
    </row>
    <row r="805" ht="14.25" customHeight="1">
      <c r="A805" s="5"/>
      <c r="B805" s="5"/>
      <c r="C805" s="6"/>
      <c r="D805" s="5"/>
      <c r="E805" s="5"/>
      <c r="F805" s="5"/>
      <c r="G805" s="5"/>
      <c r="H805" s="5"/>
      <c r="I805" s="5"/>
      <c r="J805" s="5"/>
      <c r="K805" s="5"/>
      <c r="L805" s="5"/>
      <c r="M805" s="5"/>
      <c r="N805" s="5"/>
    </row>
    <row r="806" ht="14.25" customHeight="1">
      <c r="A806" s="5"/>
      <c r="B806" s="5"/>
      <c r="C806" s="6"/>
      <c r="D806" s="5"/>
      <c r="E806" s="5"/>
      <c r="F806" s="5"/>
      <c r="G806" s="5"/>
      <c r="H806" s="5"/>
      <c r="I806" s="5"/>
      <c r="J806" s="5"/>
      <c r="K806" s="5"/>
      <c r="L806" s="5"/>
      <c r="M806" s="5"/>
      <c r="N806" s="5"/>
    </row>
    <row r="807" ht="14.25" customHeight="1">
      <c r="A807" s="5"/>
      <c r="B807" s="5"/>
      <c r="C807" s="6"/>
      <c r="D807" s="5"/>
      <c r="E807" s="5"/>
      <c r="F807" s="5"/>
      <c r="G807" s="5"/>
      <c r="H807" s="5"/>
      <c r="I807" s="5"/>
      <c r="J807" s="5"/>
      <c r="K807" s="5"/>
      <c r="L807" s="5"/>
      <c r="M807" s="5"/>
      <c r="N807" s="5"/>
    </row>
    <row r="808" ht="14.25" customHeight="1">
      <c r="A808" s="5"/>
      <c r="B808" s="5"/>
      <c r="C808" s="6"/>
      <c r="D808" s="5"/>
      <c r="E808" s="5"/>
      <c r="F808" s="5"/>
      <c r="G808" s="5"/>
      <c r="H808" s="5"/>
      <c r="I808" s="5"/>
      <c r="J808" s="5"/>
      <c r="K808" s="5"/>
      <c r="L808" s="5"/>
      <c r="M808" s="5"/>
      <c r="N808" s="5"/>
    </row>
    <row r="809" ht="14.25" customHeight="1">
      <c r="A809" s="5"/>
      <c r="B809" s="5"/>
      <c r="C809" s="6"/>
      <c r="D809" s="5"/>
      <c r="E809" s="5"/>
      <c r="F809" s="5"/>
      <c r="G809" s="5"/>
      <c r="H809" s="5"/>
      <c r="I809" s="5"/>
      <c r="J809" s="5"/>
      <c r="K809" s="5"/>
      <c r="L809" s="5"/>
      <c r="M809" s="5"/>
      <c r="N809" s="5"/>
    </row>
    <row r="810" ht="14.25" customHeight="1">
      <c r="A810" s="5"/>
      <c r="B810" s="5"/>
      <c r="C810" s="6"/>
      <c r="D810" s="5"/>
      <c r="E810" s="5"/>
      <c r="F810" s="5"/>
      <c r="G810" s="5"/>
      <c r="H810" s="5"/>
      <c r="I810" s="5"/>
      <c r="J810" s="5"/>
      <c r="K810" s="5"/>
      <c r="L810" s="5"/>
      <c r="M810" s="5"/>
      <c r="N810" s="5"/>
    </row>
    <row r="811" ht="14.25" customHeight="1">
      <c r="A811" s="5"/>
      <c r="B811" s="5"/>
      <c r="C811" s="6"/>
      <c r="D811" s="5"/>
      <c r="E811" s="5"/>
      <c r="F811" s="5"/>
      <c r="G811" s="5"/>
      <c r="H811" s="5"/>
      <c r="I811" s="5"/>
      <c r="J811" s="5"/>
      <c r="K811" s="5"/>
      <c r="L811" s="5"/>
      <c r="M811" s="5"/>
      <c r="N811" s="5"/>
    </row>
    <row r="812" ht="14.25" customHeight="1">
      <c r="A812" s="5"/>
      <c r="B812" s="5"/>
      <c r="C812" s="6"/>
      <c r="D812" s="5"/>
      <c r="E812" s="5"/>
      <c r="F812" s="5"/>
      <c r="G812" s="5"/>
      <c r="H812" s="5"/>
      <c r="I812" s="5"/>
      <c r="J812" s="5"/>
      <c r="K812" s="5"/>
      <c r="L812" s="5"/>
      <c r="M812" s="5"/>
      <c r="N812" s="5"/>
    </row>
    <row r="813" ht="14.25" customHeight="1">
      <c r="A813" s="5"/>
      <c r="B813" s="5"/>
      <c r="C813" s="6"/>
      <c r="D813" s="5"/>
      <c r="E813" s="5"/>
      <c r="F813" s="5"/>
      <c r="G813" s="5"/>
      <c r="H813" s="5"/>
      <c r="I813" s="5"/>
      <c r="J813" s="5"/>
      <c r="K813" s="5"/>
      <c r="L813" s="5"/>
      <c r="M813" s="5"/>
      <c r="N813" s="5"/>
    </row>
    <row r="814" ht="14.25" customHeight="1">
      <c r="A814" s="5"/>
      <c r="B814" s="5"/>
      <c r="C814" s="6"/>
      <c r="D814" s="5"/>
      <c r="E814" s="5"/>
      <c r="F814" s="5"/>
      <c r="G814" s="5"/>
      <c r="H814" s="5"/>
      <c r="I814" s="5"/>
      <c r="J814" s="5"/>
      <c r="K814" s="5"/>
      <c r="L814" s="5"/>
      <c r="M814" s="5"/>
      <c r="N814" s="5"/>
    </row>
    <row r="815" ht="14.25" customHeight="1">
      <c r="A815" s="5"/>
      <c r="B815" s="5"/>
      <c r="C815" s="6"/>
      <c r="D815" s="5"/>
      <c r="E815" s="5"/>
      <c r="F815" s="5"/>
      <c r="G815" s="5"/>
      <c r="H815" s="5"/>
      <c r="I815" s="5"/>
      <c r="J815" s="5"/>
      <c r="K815" s="5"/>
      <c r="L815" s="5"/>
      <c r="M815" s="5"/>
      <c r="N815" s="5"/>
    </row>
    <row r="816" ht="14.25" customHeight="1">
      <c r="A816" s="5"/>
      <c r="B816" s="5"/>
      <c r="C816" s="6"/>
      <c r="D816" s="5"/>
      <c r="E816" s="5"/>
      <c r="F816" s="5"/>
      <c r="G816" s="5"/>
      <c r="H816" s="5"/>
      <c r="I816" s="5"/>
      <c r="J816" s="5"/>
      <c r="K816" s="5"/>
      <c r="L816" s="5"/>
      <c r="M816" s="5"/>
      <c r="N816" s="5"/>
    </row>
    <row r="817" ht="14.25" customHeight="1">
      <c r="A817" s="5"/>
      <c r="B817" s="5"/>
      <c r="C817" s="6"/>
      <c r="D817" s="5"/>
      <c r="E817" s="5"/>
      <c r="F817" s="5"/>
      <c r="G817" s="5"/>
      <c r="H817" s="5"/>
      <c r="I817" s="5"/>
      <c r="J817" s="5"/>
      <c r="K817" s="5"/>
      <c r="L817" s="5"/>
      <c r="M817" s="5"/>
      <c r="N817" s="5"/>
    </row>
    <row r="818" ht="14.25" customHeight="1">
      <c r="A818" s="5"/>
      <c r="B818" s="5"/>
      <c r="C818" s="6"/>
      <c r="D818" s="5"/>
      <c r="E818" s="5"/>
      <c r="F818" s="5"/>
      <c r="G818" s="5"/>
      <c r="H818" s="5"/>
      <c r="I818" s="5"/>
      <c r="J818" s="5"/>
      <c r="K818" s="5"/>
      <c r="L818" s="5"/>
      <c r="M818" s="5"/>
      <c r="N818" s="5"/>
    </row>
    <row r="819" ht="14.25" customHeight="1">
      <c r="A819" s="5"/>
      <c r="B819" s="5"/>
      <c r="C819" s="6"/>
      <c r="D819" s="5"/>
      <c r="E819" s="5"/>
      <c r="F819" s="5"/>
      <c r="G819" s="5"/>
      <c r="H819" s="5"/>
      <c r="I819" s="5"/>
      <c r="J819" s="5"/>
      <c r="K819" s="5"/>
      <c r="L819" s="5"/>
      <c r="M819" s="5"/>
      <c r="N819" s="5"/>
    </row>
    <row r="820" ht="14.25" customHeight="1">
      <c r="A820" s="5"/>
      <c r="B820" s="5"/>
      <c r="C820" s="6"/>
      <c r="D820" s="5"/>
      <c r="E820" s="5"/>
      <c r="F820" s="5"/>
      <c r="G820" s="5"/>
      <c r="H820" s="5"/>
      <c r="I820" s="5"/>
      <c r="J820" s="5"/>
      <c r="K820" s="5"/>
      <c r="L820" s="5"/>
      <c r="M820" s="5"/>
      <c r="N820" s="5"/>
    </row>
    <row r="821" ht="14.25" customHeight="1">
      <c r="A821" s="5"/>
      <c r="B821" s="5"/>
      <c r="C821" s="6"/>
      <c r="D821" s="5"/>
      <c r="E821" s="5"/>
      <c r="F821" s="5"/>
      <c r="G821" s="5"/>
      <c r="H821" s="5"/>
      <c r="I821" s="5"/>
      <c r="J821" s="5"/>
      <c r="K821" s="5"/>
      <c r="L821" s="5"/>
      <c r="M821" s="5"/>
      <c r="N821" s="5"/>
    </row>
    <row r="822" ht="14.25" customHeight="1">
      <c r="A822" s="5"/>
      <c r="B822" s="5"/>
      <c r="C822" s="6"/>
      <c r="D822" s="5"/>
      <c r="E822" s="5"/>
      <c r="F822" s="5"/>
      <c r="G822" s="5"/>
      <c r="H822" s="5"/>
      <c r="I822" s="5"/>
      <c r="J822" s="5"/>
      <c r="K822" s="5"/>
      <c r="L822" s="5"/>
      <c r="M822" s="5"/>
      <c r="N822" s="5"/>
    </row>
    <row r="823" ht="14.25" customHeight="1">
      <c r="A823" s="5"/>
      <c r="B823" s="5"/>
      <c r="C823" s="6"/>
      <c r="D823" s="5"/>
      <c r="E823" s="5"/>
      <c r="F823" s="5"/>
      <c r="G823" s="5"/>
      <c r="H823" s="5"/>
      <c r="I823" s="5"/>
      <c r="J823" s="5"/>
      <c r="K823" s="5"/>
      <c r="L823" s="5"/>
      <c r="M823" s="5"/>
      <c r="N823" s="5"/>
    </row>
    <row r="824" ht="14.25" customHeight="1">
      <c r="A824" s="5"/>
      <c r="B824" s="5"/>
      <c r="C824" s="6"/>
      <c r="D824" s="5"/>
      <c r="E824" s="5"/>
      <c r="F824" s="5"/>
      <c r="G824" s="5"/>
      <c r="H824" s="5"/>
      <c r="I824" s="5"/>
      <c r="J824" s="5"/>
      <c r="K824" s="5"/>
      <c r="L824" s="5"/>
      <c r="M824" s="5"/>
      <c r="N824" s="5"/>
    </row>
    <row r="825" ht="14.25" customHeight="1">
      <c r="A825" s="5"/>
      <c r="B825" s="5"/>
      <c r="C825" s="6"/>
      <c r="D825" s="5"/>
      <c r="E825" s="5"/>
      <c r="F825" s="5"/>
      <c r="G825" s="5"/>
      <c r="H825" s="5"/>
      <c r="I825" s="5"/>
      <c r="J825" s="5"/>
      <c r="K825" s="5"/>
      <c r="L825" s="5"/>
      <c r="M825" s="5"/>
      <c r="N825" s="5"/>
    </row>
    <row r="826" ht="14.25" customHeight="1">
      <c r="A826" s="5"/>
      <c r="B826" s="5"/>
      <c r="C826" s="6"/>
      <c r="D826" s="5"/>
      <c r="E826" s="5"/>
      <c r="F826" s="5"/>
      <c r="G826" s="5"/>
      <c r="H826" s="5"/>
      <c r="I826" s="5"/>
      <c r="J826" s="5"/>
      <c r="K826" s="5"/>
      <c r="L826" s="5"/>
      <c r="M826" s="5"/>
      <c r="N826" s="5"/>
    </row>
    <row r="827" ht="14.25" customHeight="1">
      <c r="A827" s="5"/>
      <c r="B827" s="5"/>
      <c r="C827" s="6"/>
      <c r="D827" s="5"/>
      <c r="E827" s="5"/>
      <c r="F827" s="5"/>
      <c r="G827" s="5"/>
      <c r="H827" s="5"/>
      <c r="I827" s="5"/>
      <c r="J827" s="5"/>
      <c r="K827" s="5"/>
      <c r="L827" s="5"/>
      <c r="M827" s="5"/>
      <c r="N827" s="5"/>
    </row>
    <row r="828" ht="14.25" customHeight="1">
      <c r="A828" s="5"/>
      <c r="B828" s="5"/>
      <c r="C828" s="6"/>
      <c r="D828" s="5"/>
      <c r="E828" s="5"/>
      <c r="F828" s="5"/>
      <c r="G828" s="5"/>
      <c r="H828" s="5"/>
      <c r="I828" s="5"/>
      <c r="J828" s="5"/>
      <c r="K828" s="5"/>
      <c r="L828" s="5"/>
      <c r="M828" s="5"/>
      <c r="N828" s="5"/>
    </row>
    <row r="829" ht="14.25" customHeight="1">
      <c r="A829" s="5"/>
      <c r="B829" s="5"/>
      <c r="C829" s="6"/>
      <c r="D829" s="5"/>
      <c r="E829" s="5"/>
      <c r="F829" s="5"/>
      <c r="G829" s="5"/>
      <c r="H829" s="5"/>
      <c r="I829" s="5"/>
      <c r="J829" s="5"/>
      <c r="K829" s="5"/>
      <c r="L829" s="5"/>
      <c r="M829" s="5"/>
      <c r="N829" s="5"/>
    </row>
    <row r="830" ht="14.25" customHeight="1">
      <c r="A830" s="5"/>
      <c r="B830" s="5"/>
      <c r="C830" s="6"/>
      <c r="D830" s="5"/>
      <c r="E830" s="5"/>
      <c r="F830" s="5"/>
      <c r="G830" s="5"/>
      <c r="H830" s="5"/>
      <c r="I830" s="5"/>
      <c r="J830" s="5"/>
      <c r="K830" s="5"/>
      <c r="L830" s="5"/>
      <c r="M830" s="5"/>
      <c r="N830" s="5"/>
    </row>
    <row r="831" ht="14.25" customHeight="1">
      <c r="A831" s="5"/>
      <c r="B831" s="5"/>
      <c r="C831" s="6"/>
      <c r="D831" s="5"/>
      <c r="E831" s="5"/>
      <c r="F831" s="5"/>
      <c r="G831" s="5"/>
      <c r="H831" s="5"/>
      <c r="I831" s="5"/>
      <c r="J831" s="5"/>
      <c r="K831" s="5"/>
      <c r="L831" s="5"/>
      <c r="M831" s="5"/>
      <c r="N831" s="5"/>
    </row>
    <row r="832" ht="14.25" customHeight="1">
      <c r="A832" s="5"/>
      <c r="B832" s="5"/>
      <c r="C832" s="6"/>
      <c r="D832" s="5"/>
      <c r="E832" s="5"/>
      <c r="F832" s="5"/>
      <c r="G832" s="5"/>
      <c r="H832" s="5"/>
      <c r="I832" s="5"/>
      <c r="J832" s="5"/>
      <c r="K832" s="5"/>
      <c r="L832" s="5"/>
      <c r="M832" s="5"/>
      <c r="N832" s="5"/>
    </row>
    <row r="833" ht="14.25" customHeight="1">
      <c r="A833" s="5"/>
      <c r="B833" s="5"/>
      <c r="C833" s="6"/>
      <c r="D833" s="5"/>
      <c r="E833" s="5"/>
      <c r="F833" s="5"/>
      <c r="G833" s="5"/>
      <c r="H833" s="5"/>
      <c r="I833" s="5"/>
      <c r="J833" s="5"/>
      <c r="K833" s="5"/>
      <c r="L833" s="5"/>
      <c r="M833" s="5"/>
      <c r="N833" s="5"/>
    </row>
    <row r="834" ht="14.25" customHeight="1">
      <c r="A834" s="5"/>
      <c r="B834" s="5"/>
      <c r="C834" s="6"/>
      <c r="D834" s="5"/>
      <c r="E834" s="5"/>
      <c r="F834" s="5"/>
      <c r="G834" s="5"/>
      <c r="H834" s="5"/>
      <c r="I834" s="5"/>
      <c r="J834" s="5"/>
      <c r="K834" s="5"/>
      <c r="L834" s="5"/>
      <c r="M834" s="5"/>
      <c r="N834" s="5"/>
    </row>
    <row r="835" ht="14.25" customHeight="1">
      <c r="A835" s="5"/>
      <c r="B835" s="5"/>
      <c r="C835" s="6"/>
      <c r="D835" s="5"/>
      <c r="E835" s="5"/>
      <c r="F835" s="5"/>
      <c r="G835" s="5"/>
      <c r="H835" s="5"/>
      <c r="I835" s="5"/>
      <c r="J835" s="5"/>
      <c r="K835" s="5"/>
      <c r="L835" s="5"/>
      <c r="M835" s="5"/>
      <c r="N835" s="5"/>
    </row>
    <row r="836" ht="14.25" customHeight="1">
      <c r="A836" s="5"/>
      <c r="B836" s="5"/>
      <c r="C836" s="6"/>
      <c r="D836" s="5"/>
      <c r="E836" s="5"/>
      <c r="F836" s="5"/>
      <c r="G836" s="5"/>
      <c r="H836" s="5"/>
      <c r="I836" s="5"/>
      <c r="J836" s="5"/>
      <c r="K836" s="5"/>
      <c r="L836" s="5"/>
      <c r="M836" s="5"/>
      <c r="N836" s="5"/>
    </row>
    <row r="837" ht="14.25" customHeight="1">
      <c r="A837" s="5"/>
      <c r="B837" s="5"/>
      <c r="C837" s="6"/>
      <c r="D837" s="5"/>
      <c r="E837" s="5"/>
      <c r="F837" s="5"/>
      <c r="G837" s="5"/>
      <c r="H837" s="5"/>
      <c r="I837" s="5"/>
      <c r="J837" s="5"/>
      <c r="K837" s="5"/>
      <c r="L837" s="5"/>
      <c r="M837" s="5"/>
      <c r="N837" s="5"/>
    </row>
    <row r="838" ht="14.25" customHeight="1">
      <c r="A838" s="5"/>
      <c r="B838" s="5"/>
      <c r="C838" s="6"/>
      <c r="D838" s="5"/>
      <c r="E838" s="5"/>
      <c r="F838" s="5"/>
      <c r="G838" s="5"/>
      <c r="H838" s="5"/>
      <c r="I838" s="5"/>
      <c r="J838" s="5"/>
      <c r="K838" s="5"/>
      <c r="L838" s="5"/>
      <c r="M838" s="5"/>
      <c r="N838" s="5"/>
    </row>
    <row r="839" ht="14.25" customHeight="1">
      <c r="A839" s="5"/>
      <c r="B839" s="5"/>
      <c r="C839" s="6"/>
      <c r="D839" s="5"/>
      <c r="E839" s="5"/>
      <c r="F839" s="5"/>
      <c r="G839" s="5"/>
      <c r="H839" s="5"/>
      <c r="I839" s="5"/>
      <c r="J839" s="5"/>
      <c r="K839" s="5"/>
      <c r="L839" s="5"/>
      <c r="M839" s="5"/>
      <c r="N839" s="5"/>
    </row>
    <row r="840" ht="14.25" customHeight="1">
      <c r="A840" s="5"/>
      <c r="B840" s="5"/>
      <c r="C840" s="6"/>
      <c r="D840" s="5"/>
      <c r="E840" s="5"/>
      <c r="F840" s="5"/>
      <c r="G840" s="5"/>
      <c r="H840" s="5"/>
      <c r="I840" s="5"/>
      <c r="J840" s="5"/>
      <c r="K840" s="5"/>
      <c r="L840" s="5"/>
      <c r="M840" s="5"/>
      <c r="N840" s="5"/>
    </row>
    <row r="841" ht="14.25" customHeight="1">
      <c r="A841" s="5"/>
      <c r="B841" s="5"/>
      <c r="C841" s="6"/>
      <c r="D841" s="5"/>
      <c r="E841" s="5"/>
      <c r="F841" s="5"/>
      <c r="G841" s="5"/>
      <c r="H841" s="5"/>
      <c r="I841" s="5"/>
      <c r="J841" s="5"/>
      <c r="K841" s="5"/>
      <c r="L841" s="5"/>
      <c r="M841" s="5"/>
      <c r="N841" s="5"/>
    </row>
    <row r="842" ht="14.25" customHeight="1">
      <c r="A842" s="5"/>
      <c r="B842" s="5"/>
      <c r="C842" s="6"/>
      <c r="D842" s="5"/>
      <c r="E842" s="5"/>
      <c r="F842" s="5"/>
      <c r="G842" s="5"/>
      <c r="H842" s="5"/>
      <c r="I842" s="5"/>
      <c r="J842" s="5"/>
      <c r="K842" s="5"/>
      <c r="L842" s="5"/>
      <c r="M842" s="5"/>
      <c r="N842" s="5"/>
    </row>
    <row r="843" ht="14.25" customHeight="1">
      <c r="A843" s="5"/>
      <c r="B843" s="5"/>
      <c r="C843" s="6"/>
      <c r="D843" s="5"/>
      <c r="E843" s="5"/>
      <c r="F843" s="5"/>
      <c r="G843" s="5"/>
      <c r="H843" s="5"/>
      <c r="I843" s="5"/>
      <c r="J843" s="5"/>
      <c r="K843" s="5"/>
      <c r="L843" s="5"/>
      <c r="M843" s="5"/>
      <c r="N843" s="5"/>
    </row>
    <row r="844" ht="14.25" customHeight="1">
      <c r="A844" s="5"/>
      <c r="B844" s="5"/>
      <c r="C844" s="6"/>
      <c r="D844" s="5"/>
      <c r="E844" s="5"/>
      <c r="F844" s="5"/>
      <c r="G844" s="5"/>
      <c r="H844" s="5"/>
      <c r="I844" s="5"/>
      <c r="J844" s="5"/>
      <c r="K844" s="5"/>
      <c r="L844" s="5"/>
      <c r="M844" s="5"/>
      <c r="N844" s="5"/>
    </row>
    <row r="845" ht="14.25" customHeight="1">
      <c r="A845" s="5"/>
      <c r="B845" s="5"/>
      <c r="C845" s="6"/>
      <c r="D845" s="5"/>
      <c r="E845" s="5"/>
      <c r="F845" s="5"/>
      <c r="G845" s="5"/>
      <c r="H845" s="5"/>
      <c r="I845" s="5"/>
      <c r="J845" s="5"/>
      <c r="K845" s="5"/>
      <c r="L845" s="5"/>
      <c r="M845" s="5"/>
      <c r="N845" s="5"/>
    </row>
    <row r="846" ht="14.25" customHeight="1">
      <c r="A846" s="5"/>
      <c r="B846" s="5"/>
      <c r="C846" s="6"/>
      <c r="D846" s="5"/>
      <c r="E846" s="5"/>
      <c r="F846" s="5"/>
      <c r="G846" s="5"/>
      <c r="H846" s="5"/>
      <c r="I846" s="5"/>
      <c r="J846" s="5"/>
      <c r="K846" s="5"/>
      <c r="L846" s="5"/>
      <c r="M846" s="5"/>
      <c r="N846" s="5"/>
    </row>
    <row r="847" ht="14.25" customHeight="1">
      <c r="A847" s="5"/>
      <c r="B847" s="5"/>
      <c r="C847" s="6"/>
      <c r="D847" s="5"/>
      <c r="E847" s="5"/>
      <c r="F847" s="5"/>
      <c r="G847" s="5"/>
      <c r="H847" s="5"/>
      <c r="I847" s="5"/>
      <c r="J847" s="5"/>
      <c r="K847" s="5"/>
      <c r="L847" s="5"/>
      <c r="M847" s="5"/>
      <c r="N847" s="5"/>
    </row>
    <row r="848" ht="14.25" customHeight="1">
      <c r="A848" s="5"/>
      <c r="B848" s="5"/>
      <c r="C848" s="6"/>
      <c r="D848" s="5"/>
      <c r="E848" s="5"/>
      <c r="F848" s="5"/>
      <c r="G848" s="5"/>
      <c r="H848" s="5"/>
      <c r="I848" s="5"/>
      <c r="J848" s="5"/>
      <c r="K848" s="5"/>
      <c r="L848" s="5"/>
      <c r="M848" s="5"/>
      <c r="N848" s="5"/>
    </row>
    <row r="849" ht="14.25" customHeight="1">
      <c r="A849" s="5"/>
      <c r="B849" s="5"/>
      <c r="C849" s="6"/>
      <c r="D849" s="5"/>
      <c r="E849" s="5"/>
      <c r="F849" s="5"/>
      <c r="G849" s="5"/>
      <c r="H849" s="5"/>
      <c r="I849" s="5"/>
      <c r="J849" s="5"/>
      <c r="K849" s="5"/>
      <c r="L849" s="5"/>
      <c r="M849" s="5"/>
      <c r="N849" s="5"/>
    </row>
    <row r="850" ht="14.25" customHeight="1">
      <c r="A850" s="5"/>
      <c r="B850" s="5"/>
      <c r="C850" s="6"/>
      <c r="D850" s="5"/>
      <c r="E850" s="5"/>
      <c r="F850" s="5"/>
      <c r="G850" s="5"/>
      <c r="H850" s="5"/>
      <c r="I850" s="5"/>
      <c r="J850" s="5"/>
      <c r="K850" s="5"/>
      <c r="L850" s="5"/>
      <c r="M850" s="5"/>
      <c r="N850" s="5"/>
    </row>
    <row r="851" ht="14.25" customHeight="1">
      <c r="A851" s="5"/>
      <c r="B851" s="5"/>
      <c r="C851" s="6"/>
      <c r="D851" s="5"/>
      <c r="E851" s="5"/>
      <c r="F851" s="5"/>
      <c r="G851" s="5"/>
      <c r="H851" s="5"/>
      <c r="I851" s="5"/>
      <c r="J851" s="5"/>
      <c r="K851" s="5"/>
      <c r="L851" s="5"/>
      <c r="M851" s="5"/>
      <c r="N851" s="5"/>
    </row>
    <row r="852" ht="14.25" customHeight="1">
      <c r="A852" s="5"/>
      <c r="B852" s="5"/>
      <c r="C852" s="6"/>
      <c r="D852" s="5"/>
      <c r="E852" s="5"/>
      <c r="F852" s="5"/>
      <c r="G852" s="5"/>
      <c r="H852" s="5"/>
      <c r="I852" s="5"/>
      <c r="J852" s="5"/>
      <c r="K852" s="5"/>
      <c r="L852" s="5"/>
      <c r="M852" s="5"/>
      <c r="N852" s="5"/>
    </row>
    <row r="853" ht="14.25" customHeight="1">
      <c r="A853" s="5"/>
      <c r="B853" s="5"/>
      <c r="C853" s="6"/>
      <c r="D853" s="5"/>
      <c r="E853" s="5"/>
      <c r="F853" s="5"/>
      <c r="G853" s="5"/>
      <c r="H853" s="5"/>
      <c r="I853" s="5"/>
      <c r="J853" s="5"/>
      <c r="K853" s="5"/>
      <c r="L853" s="5"/>
      <c r="M853" s="5"/>
      <c r="N853" s="5"/>
    </row>
    <row r="854" ht="14.25" customHeight="1">
      <c r="A854" s="5"/>
      <c r="B854" s="5"/>
      <c r="C854" s="6"/>
      <c r="D854" s="5"/>
      <c r="E854" s="5"/>
      <c r="F854" s="5"/>
      <c r="G854" s="5"/>
      <c r="H854" s="5"/>
      <c r="I854" s="5"/>
      <c r="J854" s="5"/>
      <c r="K854" s="5"/>
      <c r="L854" s="5"/>
      <c r="M854" s="5"/>
      <c r="N854" s="5"/>
    </row>
    <row r="855" ht="14.25" customHeight="1">
      <c r="A855" s="5"/>
      <c r="B855" s="5"/>
      <c r="C855" s="6"/>
      <c r="D855" s="5"/>
      <c r="E855" s="5"/>
      <c r="F855" s="5"/>
      <c r="G855" s="5"/>
      <c r="H855" s="5"/>
      <c r="I855" s="5"/>
      <c r="J855" s="5"/>
      <c r="K855" s="5"/>
      <c r="L855" s="5"/>
      <c r="M855" s="5"/>
      <c r="N855" s="5"/>
    </row>
    <row r="856" ht="14.25" customHeight="1">
      <c r="A856" s="5"/>
      <c r="B856" s="5"/>
      <c r="C856" s="6"/>
      <c r="D856" s="5"/>
      <c r="E856" s="5"/>
      <c r="F856" s="5"/>
      <c r="G856" s="5"/>
      <c r="H856" s="5"/>
      <c r="I856" s="5"/>
      <c r="J856" s="5"/>
      <c r="K856" s="5"/>
      <c r="L856" s="5"/>
      <c r="M856" s="5"/>
      <c r="N856" s="5"/>
    </row>
    <row r="857" ht="14.25" customHeight="1">
      <c r="A857" s="5"/>
      <c r="B857" s="5"/>
      <c r="C857" s="6"/>
      <c r="D857" s="5"/>
      <c r="E857" s="5"/>
      <c r="F857" s="5"/>
      <c r="G857" s="5"/>
      <c r="H857" s="5"/>
      <c r="I857" s="5"/>
      <c r="J857" s="5"/>
      <c r="K857" s="5"/>
      <c r="L857" s="5"/>
      <c r="M857" s="5"/>
      <c r="N857" s="5"/>
    </row>
    <row r="858" ht="14.25" customHeight="1">
      <c r="A858" s="5"/>
      <c r="B858" s="5"/>
      <c r="C858" s="6"/>
      <c r="D858" s="5"/>
      <c r="E858" s="5"/>
      <c r="F858" s="5"/>
      <c r="G858" s="5"/>
      <c r="H858" s="5"/>
      <c r="I858" s="5"/>
      <c r="J858" s="5"/>
      <c r="K858" s="5"/>
      <c r="L858" s="5"/>
      <c r="M858" s="5"/>
      <c r="N858" s="5"/>
    </row>
    <row r="859" ht="14.25" customHeight="1">
      <c r="A859" s="5"/>
      <c r="B859" s="5"/>
      <c r="C859" s="6"/>
      <c r="D859" s="5"/>
      <c r="E859" s="5"/>
      <c r="F859" s="5"/>
      <c r="G859" s="5"/>
      <c r="H859" s="5"/>
      <c r="I859" s="5"/>
      <c r="J859" s="5"/>
      <c r="K859" s="5"/>
      <c r="L859" s="5"/>
      <c r="M859" s="5"/>
      <c r="N859" s="5"/>
    </row>
    <row r="860" ht="14.25" customHeight="1">
      <c r="A860" s="5"/>
      <c r="B860" s="5"/>
      <c r="C860" s="6"/>
      <c r="D860" s="5"/>
      <c r="E860" s="5"/>
      <c r="F860" s="5"/>
      <c r="G860" s="5"/>
      <c r="H860" s="5"/>
      <c r="I860" s="5"/>
      <c r="J860" s="5"/>
      <c r="K860" s="5"/>
      <c r="L860" s="5"/>
      <c r="M860" s="5"/>
      <c r="N860" s="5"/>
    </row>
    <row r="861" ht="14.25" customHeight="1">
      <c r="A861" s="5"/>
      <c r="B861" s="5"/>
      <c r="C861" s="6"/>
      <c r="D861" s="5"/>
      <c r="E861" s="5"/>
      <c r="F861" s="5"/>
      <c r="G861" s="5"/>
      <c r="H861" s="5"/>
      <c r="I861" s="5"/>
      <c r="J861" s="5"/>
      <c r="K861" s="5"/>
      <c r="L861" s="5"/>
      <c r="M861" s="5"/>
      <c r="N861" s="5"/>
    </row>
    <row r="862" ht="14.25" customHeight="1">
      <c r="A862" s="5"/>
      <c r="B862" s="5"/>
      <c r="C862" s="6"/>
      <c r="D862" s="5"/>
      <c r="E862" s="5"/>
      <c r="F862" s="5"/>
      <c r="G862" s="5"/>
      <c r="H862" s="5"/>
      <c r="I862" s="5"/>
      <c r="J862" s="5"/>
      <c r="K862" s="5"/>
      <c r="L862" s="5"/>
      <c r="M862" s="5"/>
      <c r="N862" s="5"/>
    </row>
    <row r="863" ht="14.25" customHeight="1">
      <c r="A863" s="5"/>
      <c r="B863" s="5"/>
      <c r="C863" s="6"/>
      <c r="D863" s="5"/>
      <c r="E863" s="5"/>
      <c r="F863" s="5"/>
      <c r="G863" s="5"/>
      <c r="H863" s="5"/>
      <c r="I863" s="5"/>
      <c r="J863" s="5"/>
      <c r="K863" s="5"/>
      <c r="L863" s="5"/>
      <c r="M863" s="5"/>
      <c r="N863" s="5"/>
    </row>
    <row r="864" ht="14.25" customHeight="1">
      <c r="A864" s="5"/>
      <c r="B864" s="5"/>
      <c r="C864" s="6"/>
      <c r="D864" s="5"/>
      <c r="E864" s="5"/>
      <c r="F864" s="5"/>
      <c r="G864" s="5"/>
      <c r="H864" s="5"/>
      <c r="I864" s="5"/>
      <c r="J864" s="5"/>
      <c r="K864" s="5"/>
      <c r="L864" s="5"/>
      <c r="M864" s="5"/>
      <c r="N864" s="5"/>
    </row>
    <row r="865" ht="14.25" customHeight="1">
      <c r="A865" s="5"/>
      <c r="B865" s="5"/>
      <c r="C865" s="6"/>
      <c r="D865" s="5"/>
      <c r="E865" s="5"/>
      <c r="F865" s="5"/>
      <c r="G865" s="5"/>
      <c r="H865" s="5"/>
      <c r="I865" s="5"/>
      <c r="J865" s="5"/>
      <c r="K865" s="5"/>
      <c r="L865" s="5"/>
      <c r="M865" s="5"/>
      <c r="N865" s="5"/>
    </row>
    <row r="866" ht="14.25" customHeight="1">
      <c r="A866" s="5"/>
      <c r="B866" s="5"/>
      <c r="C866" s="6"/>
      <c r="D866" s="5"/>
      <c r="E866" s="5"/>
      <c r="F866" s="5"/>
      <c r="G866" s="5"/>
      <c r="H866" s="5"/>
      <c r="I866" s="5"/>
      <c r="J866" s="5"/>
      <c r="K866" s="5"/>
      <c r="L866" s="5"/>
      <c r="M866" s="5"/>
      <c r="N866" s="5"/>
    </row>
    <row r="867" ht="14.25" customHeight="1">
      <c r="A867" s="5"/>
      <c r="B867" s="5"/>
      <c r="C867" s="6"/>
      <c r="D867" s="5"/>
      <c r="E867" s="5"/>
      <c r="F867" s="5"/>
      <c r="G867" s="5"/>
      <c r="H867" s="5"/>
      <c r="I867" s="5"/>
      <c r="J867" s="5"/>
      <c r="K867" s="5"/>
      <c r="L867" s="5"/>
      <c r="M867" s="5"/>
      <c r="N867" s="5"/>
    </row>
    <row r="868" ht="14.25" customHeight="1">
      <c r="A868" s="5"/>
      <c r="B868" s="5"/>
      <c r="C868" s="6"/>
      <c r="D868" s="5"/>
      <c r="E868" s="5"/>
      <c r="F868" s="5"/>
      <c r="G868" s="5"/>
      <c r="H868" s="5"/>
      <c r="I868" s="5"/>
      <c r="J868" s="5"/>
      <c r="K868" s="5"/>
      <c r="L868" s="5"/>
      <c r="M868" s="5"/>
      <c r="N868" s="5"/>
    </row>
    <row r="869" ht="14.25" customHeight="1">
      <c r="A869" s="5"/>
      <c r="B869" s="5"/>
      <c r="C869" s="6"/>
      <c r="D869" s="5"/>
      <c r="E869" s="5"/>
      <c r="F869" s="5"/>
      <c r="G869" s="5"/>
      <c r="H869" s="5"/>
      <c r="I869" s="5"/>
      <c r="J869" s="5"/>
      <c r="K869" s="5"/>
      <c r="L869" s="5"/>
      <c r="M869" s="5"/>
      <c r="N869" s="5"/>
    </row>
    <row r="870" ht="14.25" customHeight="1">
      <c r="A870" s="5"/>
      <c r="B870" s="5"/>
      <c r="C870" s="6"/>
      <c r="D870" s="5"/>
      <c r="E870" s="5"/>
      <c r="F870" s="5"/>
      <c r="G870" s="5"/>
      <c r="H870" s="5"/>
      <c r="I870" s="5"/>
      <c r="J870" s="5"/>
      <c r="K870" s="5"/>
      <c r="L870" s="5"/>
      <c r="M870" s="5"/>
      <c r="N870" s="5"/>
    </row>
    <row r="871" ht="14.25" customHeight="1">
      <c r="A871" s="5"/>
      <c r="B871" s="5"/>
      <c r="C871" s="6"/>
      <c r="D871" s="5"/>
      <c r="E871" s="5"/>
      <c r="F871" s="5"/>
      <c r="G871" s="5"/>
      <c r="H871" s="5"/>
      <c r="I871" s="5"/>
      <c r="J871" s="5"/>
      <c r="K871" s="5"/>
      <c r="L871" s="5"/>
      <c r="M871" s="5"/>
      <c r="N871" s="5"/>
    </row>
    <row r="872" ht="14.25" customHeight="1">
      <c r="A872" s="5"/>
      <c r="B872" s="5"/>
      <c r="C872" s="6"/>
      <c r="D872" s="5"/>
      <c r="E872" s="5"/>
      <c r="F872" s="5"/>
      <c r="G872" s="5"/>
      <c r="H872" s="5"/>
      <c r="I872" s="5"/>
      <c r="J872" s="5"/>
      <c r="K872" s="5"/>
      <c r="L872" s="5"/>
      <c r="M872" s="5"/>
      <c r="N872" s="5"/>
    </row>
    <row r="873" ht="14.25" customHeight="1">
      <c r="A873" s="5"/>
      <c r="B873" s="5"/>
      <c r="C873" s="6"/>
      <c r="D873" s="5"/>
      <c r="E873" s="5"/>
      <c r="F873" s="5"/>
      <c r="G873" s="5"/>
      <c r="H873" s="5"/>
      <c r="I873" s="5"/>
      <c r="J873" s="5"/>
      <c r="K873" s="5"/>
      <c r="L873" s="5"/>
      <c r="M873" s="5"/>
      <c r="N873" s="5"/>
    </row>
    <row r="874" ht="14.25" customHeight="1">
      <c r="A874" s="5"/>
      <c r="B874" s="5"/>
      <c r="C874" s="6"/>
      <c r="D874" s="5"/>
      <c r="E874" s="5"/>
      <c r="F874" s="5"/>
      <c r="G874" s="5"/>
      <c r="H874" s="5"/>
      <c r="I874" s="5"/>
      <c r="J874" s="5"/>
      <c r="K874" s="5"/>
      <c r="L874" s="5"/>
      <c r="M874" s="5"/>
      <c r="N874" s="5"/>
    </row>
    <row r="875" ht="14.25" customHeight="1">
      <c r="A875" s="5"/>
      <c r="B875" s="5"/>
      <c r="C875" s="6"/>
      <c r="D875" s="5"/>
      <c r="E875" s="5"/>
      <c r="F875" s="5"/>
      <c r="G875" s="5"/>
      <c r="H875" s="5"/>
      <c r="I875" s="5"/>
      <c r="J875" s="5"/>
      <c r="K875" s="5"/>
      <c r="L875" s="5"/>
      <c r="M875" s="5"/>
      <c r="N875" s="5"/>
    </row>
    <row r="876" ht="14.25" customHeight="1">
      <c r="A876" s="5"/>
      <c r="B876" s="5"/>
      <c r="C876" s="6"/>
      <c r="D876" s="5"/>
      <c r="E876" s="5"/>
      <c r="F876" s="5"/>
      <c r="G876" s="5"/>
      <c r="H876" s="5"/>
      <c r="I876" s="5"/>
      <c r="J876" s="5"/>
      <c r="K876" s="5"/>
      <c r="L876" s="5"/>
      <c r="M876" s="5"/>
      <c r="N876" s="5"/>
    </row>
    <row r="877" ht="14.25" customHeight="1">
      <c r="A877" s="5"/>
      <c r="B877" s="5"/>
      <c r="C877" s="6"/>
      <c r="D877" s="5"/>
      <c r="E877" s="5"/>
      <c r="F877" s="5"/>
      <c r="G877" s="5"/>
      <c r="H877" s="5"/>
      <c r="I877" s="5"/>
      <c r="J877" s="5"/>
      <c r="K877" s="5"/>
      <c r="L877" s="5"/>
      <c r="M877" s="5"/>
      <c r="N877" s="5"/>
    </row>
    <row r="878" ht="14.25" customHeight="1">
      <c r="A878" s="5"/>
      <c r="B878" s="5"/>
      <c r="C878" s="6"/>
      <c r="D878" s="5"/>
      <c r="E878" s="5"/>
      <c r="F878" s="5"/>
      <c r="G878" s="5"/>
      <c r="H878" s="5"/>
      <c r="I878" s="5"/>
      <c r="J878" s="5"/>
      <c r="K878" s="5"/>
      <c r="L878" s="5"/>
      <c r="M878" s="5"/>
      <c r="N878" s="5"/>
    </row>
    <row r="879" ht="14.25" customHeight="1">
      <c r="A879" s="5"/>
      <c r="B879" s="5"/>
      <c r="C879" s="6"/>
      <c r="D879" s="5"/>
      <c r="E879" s="5"/>
      <c r="F879" s="5"/>
      <c r="G879" s="5"/>
      <c r="H879" s="5"/>
      <c r="I879" s="5"/>
      <c r="J879" s="5"/>
      <c r="K879" s="5"/>
      <c r="L879" s="5"/>
      <c r="M879" s="5"/>
      <c r="N879" s="5"/>
    </row>
    <row r="880" ht="14.25" customHeight="1">
      <c r="A880" s="5"/>
      <c r="B880" s="5"/>
      <c r="C880" s="6"/>
      <c r="D880" s="5"/>
      <c r="E880" s="5"/>
      <c r="F880" s="5"/>
      <c r="G880" s="5"/>
      <c r="H880" s="5"/>
      <c r="I880" s="5"/>
      <c r="J880" s="5"/>
      <c r="K880" s="5"/>
      <c r="L880" s="5"/>
      <c r="M880" s="5"/>
      <c r="N880" s="5"/>
    </row>
    <row r="881" ht="14.25" customHeight="1">
      <c r="A881" s="5"/>
      <c r="B881" s="5"/>
      <c r="C881" s="6"/>
      <c r="D881" s="5"/>
      <c r="E881" s="5"/>
      <c r="F881" s="5"/>
      <c r="G881" s="5"/>
      <c r="H881" s="5"/>
      <c r="I881" s="5"/>
      <c r="J881" s="5"/>
      <c r="K881" s="5"/>
      <c r="L881" s="5"/>
      <c r="M881" s="5"/>
      <c r="N881" s="5"/>
    </row>
    <row r="882" ht="14.25" customHeight="1">
      <c r="A882" s="5"/>
      <c r="B882" s="5"/>
      <c r="C882" s="6"/>
      <c r="D882" s="5"/>
      <c r="E882" s="5"/>
      <c r="F882" s="5"/>
      <c r="G882" s="5"/>
      <c r="H882" s="5"/>
      <c r="I882" s="5"/>
      <c r="J882" s="5"/>
      <c r="K882" s="5"/>
      <c r="L882" s="5"/>
      <c r="M882" s="5"/>
      <c r="N882" s="5"/>
    </row>
    <row r="883" ht="14.25" customHeight="1">
      <c r="A883" s="5"/>
      <c r="B883" s="5"/>
      <c r="C883" s="6"/>
      <c r="D883" s="5"/>
      <c r="E883" s="5"/>
      <c r="F883" s="5"/>
      <c r="G883" s="5"/>
      <c r="H883" s="5"/>
      <c r="I883" s="5"/>
      <c r="J883" s="5"/>
      <c r="K883" s="5"/>
      <c r="L883" s="5"/>
      <c r="M883" s="5"/>
      <c r="N883" s="5"/>
    </row>
    <row r="884" ht="14.25" customHeight="1">
      <c r="A884" s="5"/>
      <c r="B884" s="5"/>
      <c r="C884" s="6"/>
      <c r="D884" s="5"/>
      <c r="E884" s="5"/>
      <c r="F884" s="5"/>
      <c r="G884" s="5"/>
      <c r="H884" s="5"/>
      <c r="I884" s="5"/>
      <c r="J884" s="5"/>
      <c r="K884" s="5"/>
      <c r="L884" s="5"/>
      <c r="M884" s="5"/>
      <c r="N884" s="5"/>
    </row>
    <row r="885" ht="14.25" customHeight="1">
      <c r="A885" s="5"/>
      <c r="B885" s="5"/>
      <c r="C885" s="6"/>
      <c r="D885" s="5"/>
      <c r="E885" s="5"/>
      <c r="F885" s="5"/>
      <c r="G885" s="5"/>
      <c r="H885" s="5"/>
      <c r="I885" s="5"/>
      <c r="J885" s="5"/>
      <c r="K885" s="5"/>
      <c r="L885" s="5"/>
      <c r="M885" s="5"/>
      <c r="N885" s="5"/>
    </row>
    <row r="886" ht="14.25" customHeight="1">
      <c r="A886" s="5"/>
      <c r="B886" s="5"/>
      <c r="C886" s="6"/>
      <c r="D886" s="5"/>
      <c r="E886" s="5"/>
      <c r="F886" s="5"/>
      <c r="G886" s="5"/>
      <c r="H886" s="5"/>
      <c r="I886" s="5"/>
      <c r="J886" s="5"/>
      <c r="K886" s="5"/>
      <c r="L886" s="5"/>
      <c r="M886" s="5"/>
      <c r="N886" s="5"/>
    </row>
    <row r="887" ht="14.25" customHeight="1">
      <c r="A887" s="5"/>
      <c r="B887" s="5"/>
      <c r="C887" s="6"/>
      <c r="D887" s="5"/>
      <c r="E887" s="5"/>
      <c r="F887" s="5"/>
      <c r="G887" s="5"/>
      <c r="H887" s="5"/>
      <c r="I887" s="5"/>
      <c r="J887" s="5"/>
      <c r="K887" s="5"/>
      <c r="L887" s="5"/>
      <c r="M887" s="5"/>
      <c r="N887" s="5"/>
    </row>
    <row r="888" ht="14.25" customHeight="1">
      <c r="A888" s="5"/>
      <c r="B888" s="5"/>
      <c r="C888" s="6"/>
      <c r="D888" s="5"/>
      <c r="E888" s="5"/>
      <c r="F888" s="5"/>
      <c r="G888" s="5"/>
      <c r="H888" s="5"/>
      <c r="I888" s="5"/>
      <c r="J888" s="5"/>
      <c r="K888" s="5"/>
      <c r="L888" s="5"/>
      <c r="M888" s="5"/>
      <c r="N888" s="5"/>
    </row>
    <row r="889" ht="14.25" customHeight="1">
      <c r="A889" s="5"/>
      <c r="B889" s="5"/>
      <c r="C889" s="6"/>
      <c r="D889" s="5"/>
      <c r="E889" s="5"/>
      <c r="F889" s="5"/>
      <c r="G889" s="5"/>
      <c r="H889" s="5"/>
      <c r="I889" s="5"/>
      <c r="J889" s="5"/>
      <c r="K889" s="5"/>
      <c r="L889" s="5"/>
      <c r="M889" s="5"/>
      <c r="N889" s="5"/>
    </row>
    <row r="890" ht="14.25" customHeight="1">
      <c r="A890" s="5"/>
      <c r="B890" s="5"/>
      <c r="C890" s="6"/>
      <c r="D890" s="5"/>
      <c r="E890" s="5"/>
      <c r="F890" s="5"/>
      <c r="G890" s="5"/>
      <c r="H890" s="5"/>
      <c r="I890" s="5"/>
      <c r="J890" s="5"/>
      <c r="K890" s="5"/>
      <c r="L890" s="5"/>
      <c r="M890" s="5"/>
      <c r="N890" s="5"/>
    </row>
    <row r="891" ht="14.25" customHeight="1">
      <c r="A891" s="5"/>
      <c r="B891" s="5"/>
      <c r="C891" s="6"/>
      <c r="D891" s="5"/>
      <c r="E891" s="5"/>
      <c r="F891" s="5"/>
      <c r="G891" s="5"/>
      <c r="H891" s="5"/>
      <c r="I891" s="5"/>
      <c r="J891" s="5"/>
      <c r="K891" s="5"/>
      <c r="L891" s="5"/>
      <c r="M891" s="5"/>
      <c r="N891" s="5"/>
    </row>
    <row r="892" ht="14.25" customHeight="1">
      <c r="A892" s="5"/>
      <c r="B892" s="5"/>
      <c r="C892" s="6"/>
      <c r="D892" s="5"/>
      <c r="E892" s="5"/>
      <c r="F892" s="5"/>
      <c r="G892" s="5"/>
      <c r="H892" s="5"/>
      <c r="I892" s="5"/>
      <c r="J892" s="5"/>
      <c r="K892" s="5"/>
      <c r="L892" s="5"/>
      <c r="M892" s="5"/>
      <c r="N892" s="5"/>
    </row>
    <row r="893" ht="14.25" customHeight="1">
      <c r="A893" s="5"/>
      <c r="B893" s="5"/>
      <c r="C893" s="6"/>
      <c r="D893" s="5"/>
      <c r="E893" s="5"/>
      <c r="F893" s="5"/>
      <c r="G893" s="5"/>
      <c r="H893" s="5"/>
      <c r="I893" s="5"/>
      <c r="J893" s="5"/>
      <c r="K893" s="5"/>
      <c r="L893" s="5"/>
      <c r="M893" s="5"/>
      <c r="N893" s="5"/>
    </row>
    <row r="894" ht="14.25" customHeight="1">
      <c r="A894" s="5"/>
      <c r="B894" s="5"/>
      <c r="C894" s="6"/>
      <c r="D894" s="5"/>
      <c r="E894" s="5"/>
      <c r="F894" s="5"/>
      <c r="G894" s="5"/>
      <c r="H894" s="5"/>
      <c r="I894" s="5"/>
      <c r="J894" s="5"/>
      <c r="K894" s="5"/>
      <c r="L894" s="5"/>
      <c r="M894" s="5"/>
      <c r="N894" s="5"/>
    </row>
    <row r="895" ht="14.25" customHeight="1">
      <c r="A895" s="5"/>
      <c r="B895" s="5"/>
      <c r="C895" s="6"/>
      <c r="D895" s="5"/>
      <c r="E895" s="5"/>
      <c r="F895" s="5"/>
      <c r="G895" s="5"/>
      <c r="H895" s="5"/>
      <c r="I895" s="5"/>
      <c r="J895" s="5"/>
      <c r="K895" s="5"/>
      <c r="L895" s="5"/>
      <c r="M895" s="5"/>
      <c r="N895" s="5"/>
    </row>
    <row r="896" ht="14.25" customHeight="1">
      <c r="A896" s="5"/>
      <c r="B896" s="5"/>
      <c r="C896" s="6"/>
      <c r="D896" s="5"/>
      <c r="E896" s="5"/>
      <c r="F896" s="5"/>
      <c r="G896" s="5"/>
      <c r="H896" s="5"/>
      <c r="I896" s="5"/>
      <c r="J896" s="5"/>
      <c r="K896" s="5"/>
      <c r="L896" s="5"/>
      <c r="M896" s="5"/>
      <c r="N896" s="5"/>
    </row>
    <row r="897" ht="14.25" customHeight="1">
      <c r="A897" s="5"/>
      <c r="B897" s="5"/>
      <c r="C897" s="6"/>
      <c r="D897" s="5"/>
      <c r="E897" s="5"/>
      <c r="F897" s="5"/>
      <c r="G897" s="5"/>
      <c r="H897" s="5"/>
      <c r="I897" s="5"/>
      <c r="J897" s="5"/>
      <c r="K897" s="5"/>
      <c r="L897" s="5"/>
      <c r="M897" s="5"/>
      <c r="N897" s="5"/>
    </row>
    <row r="898" ht="14.25" customHeight="1">
      <c r="A898" s="5"/>
      <c r="B898" s="5"/>
      <c r="C898" s="6"/>
      <c r="D898" s="5"/>
      <c r="E898" s="5"/>
      <c r="F898" s="5"/>
      <c r="G898" s="5"/>
      <c r="H898" s="5"/>
      <c r="I898" s="5"/>
      <c r="J898" s="5"/>
      <c r="K898" s="5"/>
      <c r="L898" s="5"/>
      <c r="M898" s="5"/>
      <c r="N898" s="5"/>
    </row>
    <row r="899" ht="14.25" customHeight="1">
      <c r="A899" s="5"/>
      <c r="B899" s="5"/>
      <c r="C899" s="6"/>
      <c r="D899" s="5"/>
      <c r="E899" s="5"/>
      <c r="F899" s="5"/>
      <c r="G899" s="5"/>
      <c r="H899" s="5"/>
      <c r="I899" s="5"/>
      <c r="J899" s="5"/>
      <c r="K899" s="5"/>
      <c r="L899" s="5"/>
      <c r="M899" s="5"/>
      <c r="N899" s="5"/>
    </row>
    <row r="900" ht="14.25" customHeight="1">
      <c r="A900" s="5"/>
      <c r="B900" s="5"/>
      <c r="C900" s="6"/>
      <c r="D900" s="5"/>
      <c r="E900" s="5"/>
      <c r="F900" s="5"/>
      <c r="G900" s="5"/>
      <c r="H900" s="5"/>
      <c r="I900" s="5"/>
      <c r="J900" s="5"/>
      <c r="K900" s="5"/>
      <c r="L900" s="5"/>
      <c r="M900" s="5"/>
      <c r="N900" s="5"/>
    </row>
    <row r="901" ht="14.25" customHeight="1">
      <c r="A901" s="5"/>
      <c r="B901" s="5"/>
      <c r="C901" s="6"/>
      <c r="D901" s="5"/>
      <c r="E901" s="5"/>
      <c r="F901" s="5"/>
      <c r="G901" s="5"/>
      <c r="H901" s="5"/>
      <c r="I901" s="5"/>
      <c r="J901" s="5"/>
      <c r="K901" s="5"/>
      <c r="L901" s="5"/>
      <c r="M901" s="5"/>
      <c r="N901" s="5"/>
    </row>
    <row r="902" ht="14.25" customHeight="1">
      <c r="A902" s="5"/>
      <c r="B902" s="5"/>
      <c r="C902" s="6"/>
      <c r="D902" s="5"/>
      <c r="E902" s="5"/>
      <c r="F902" s="5"/>
      <c r="G902" s="5"/>
      <c r="H902" s="5"/>
      <c r="I902" s="5"/>
      <c r="J902" s="5"/>
      <c r="K902" s="5"/>
      <c r="L902" s="5"/>
      <c r="M902" s="5"/>
      <c r="N902" s="5"/>
    </row>
    <row r="903" ht="14.25" customHeight="1">
      <c r="A903" s="5"/>
      <c r="B903" s="5"/>
      <c r="C903" s="6"/>
      <c r="D903" s="5"/>
      <c r="E903" s="5"/>
      <c r="F903" s="5"/>
      <c r="G903" s="5"/>
      <c r="H903" s="5"/>
      <c r="I903" s="5"/>
      <c r="J903" s="5"/>
      <c r="K903" s="5"/>
      <c r="L903" s="5"/>
      <c r="M903" s="5"/>
      <c r="N903" s="5"/>
    </row>
    <row r="904" ht="14.25" customHeight="1">
      <c r="A904" s="5"/>
      <c r="B904" s="5"/>
      <c r="C904" s="6"/>
      <c r="D904" s="5"/>
      <c r="E904" s="5"/>
      <c r="F904" s="5"/>
      <c r="G904" s="5"/>
      <c r="H904" s="5"/>
      <c r="I904" s="5"/>
      <c r="J904" s="5"/>
      <c r="K904" s="5"/>
      <c r="L904" s="5"/>
      <c r="M904" s="5"/>
      <c r="N904" s="5"/>
    </row>
    <row r="905" ht="14.25" customHeight="1">
      <c r="A905" s="5"/>
      <c r="B905" s="5"/>
      <c r="C905" s="6"/>
      <c r="D905" s="5"/>
      <c r="E905" s="5"/>
      <c r="F905" s="5"/>
      <c r="G905" s="5"/>
      <c r="H905" s="5"/>
      <c r="I905" s="5"/>
      <c r="J905" s="5"/>
      <c r="K905" s="5"/>
      <c r="L905" s="5"/>
      <c r="M905" s="5"/>
      <c r="N905" s="5"/>
    </row>
    <row r="906" ht="14.25" customHeight="1">
      <c r="A906" s="5"/>
      <c r="B906" s="5"/>
      <c r="C906" s="6"/>
      <c r="D906" s="5"/>
      <c r="E906" s="5"/>
      <c r="F906" s="5"/>
      <c r="G906" s="5"/>
      <c r="H906" s="5"/>
      <c r="I906" s="5"/>
      <c r="J906" s="5"/>
      <c r="K906" s="5"/>
      <c r="L906" s="5"/>
      <c r="M906" s="5"/>
      <c r="N906" s="5"/>
    </row>
    <row r="907" ht="14.25" customHeight="1">
      <c r="A907" s="5"/>
      <c r="B907" s="5"/>
      <c r="C907" s="6"/>
      <c r="D907" s="5"/>
      <c r="E907" s="5"/>
      <c r="F907" s="5"/>
      <c r="G907" s="5"/>
      <c r="H907" s="5"/>
      <c r="I907" s="5"/>
      <c r="J907" s="5"/>
      <c r="K907" s="5"/>
      <c r="L907" s="5"/>
      <c r="M907" s="5"/>
      <c r="N907" s="5"/>
    </row>
    <row r="908" ht="14.25" customHeight="1">
      <c r="A908" s="5"/>
      <c r="B908" s="5"/>
      <c r="C908" s="6"/>
      <c r="D908" s="5"/>
      <c r="E908" s="5"/>
      <c r="F908" s="5"/>
      <c r="G908" s="5"/>
      <c r="H908" s="5"/>
      <c r="I908" s="5"/>
      <c r="J908" s="5"/>
      <c r="K908" s="5"/>
      <c r="L908" s="5"/>
      <c r="M908" s="5"/>
      <c r="N908" s="5"/>
    </row>
    <row r="909" ht="14.25" customHeight="1">
      <c r="A909" s="5"/>
      <c r="B909" s="5"/>
      <c r="C909" s="6"/>
      <c r="D909" s="5"/>
      <c r="E909" s="5"/>
      <c r="F909" s="5"/>
      <c r="G909" s="5"/>
      <c r="H909" s="5"/>
      <c r="I909" s="5"/>
      <c r="J909" s="5"/>
      <c r="K909" s="5"/>
      <c r="L909" s="5"/>
      <c r="M909" s="5"/>
      <c r="N909" s="5"/>
    </row>
    <row r="910" ht="14.25" customHeight="1">
      <c r="A910" s="5"/>
      <c r="B910" s="5"/>
      <c r="C910" s="6"/>
      <c r="D910" s="5"/>
      <c r="E910" s="5"/>
      <c r="F910" s="5"/>
      <c r="G910" s="5"/>
      <c r="H910" s="5"/>
      <c r="I910" s="5"/>
      <c r="J910" s="5"/>
      <c r="K910" s="5"/>
      <c r="L910" s="5"/>
      <c r="M910" s="5"/>
      <c r="N910" s="5"/>
    </row>
    <row r="911" ht="14.25" customHeight="1">
      <c r="A911" s="5"/>
      <c r="B911" s="5"/>
      <c r="C911" s="6"/>
      <c r="D911" s="5"/>
      <c r="E911" s="5"/>
      <c r="F911" s="5"/>
      <c r="G911" s="5"/>
      <c r="H911" s="5"/>
      <c r="I911" s="5"/>
      <c r="J911" s="5"/>
      <c r="K911" s="5"/>
      <c r="L911" s="5"/>
      <c r="M911" s="5"/>
      <c r="N911" s="5"/>
    </row>
    <row r="912" ht="14.25" customHeight="1">
      <c r="A912" s="5"/>
      <c r="B912" s="5"/>
      <c r="C912" s="6"/>
      <c r="D912" s="5"/>
      <c r="E912" s="5"/>
      <c r="F912" s="5"/>
      <c r="G912" s="5"/>
      <c r="H912" s="5"/>
      <c r="I912" s="5"/>
      <c r="J912" s="5"/>
      <c r="K912" s="5"/>
      <c r="L912" s="5"/>
      <c r="M912" s="5"/>
      <c r="N912" s="5"/>
    </row>
    <row r="913" ht="14.25" customHeight="1">
      <c r="A913" s="5"/>
      <c r="B913" s="5"/>
      <c r="C913" s="6"/>
      <c r="D913" s="5"/>
      <c r="E913" s="5"/>
      <c r="F913" s="5"/>
      <c r="G913" s="5"/>
      <c r="H913" s="5"/>
      <c r="I913" s="5"/>
      <c r="J913" s="5"/>
      <c r="K913" s="5"/>
      <c r="L913" s="5"/>
      <c r="M913" s="5"/>
      <c r="N913" s="5"/>
    </row>
    <row r="914" ht="14.25" customHeight="1">
      <c r="A914" s="5"/>
      <c r="B914" s="5"/>
      <c r="C914" s="6"/>
      <c r="D914" s="5"/>
      <c r="E914" s="5"/>
      <c r="F914" s="5"/>
      <c r="G914" s="5"/>
      <c r="H914" s="5"/>
      <c r="I914" s="5"/>
      <c r="J914" s="5"/>
      <c r="K914" s="5"/>
      <c r="L914" s="5"/>
      <c r="M914" s="5"/>
      <c r="N914" s="5"/>
    </row>
    <row r="915" ht="14.25" customHeight="1">
      <c r="A915" s="5"/>
      <c r="B915" s="5"/>
      <c r="C915" s="6"/>
      <c r="D915" s="5"/>
      <c r="E915" s="5"/>
      <c r="F915" s="5"/>
      <c r="G915" s="5"/>
      <c r="H915" s="5"/>
      <c r="I915" s="5"/>
      <c r="J915" s="5"/>
      <c r="K915" s="5"/>
      <c r="L915" s="5"/>
      <c r="M915" s="5"/>
      <c r="N915" s="5"/>
    </row>
    <row r="916" ht="14.25" customHeight="1">
      <c r="A916" s="5"/>
      <c r="B916" s="5"/>
      <c r="C916" s="6"/>
      <c r="D916" s="5"/>
      <c r="E916" s="5"/>
      <c r="F916" s="5"/>
      <c r="G916" s="5"/>
      <c r="H916" s="5"/>
      <c r="I916" s="5"/>
      <c r="J916" s="5"/>
      <c r="K916" s="5"/>
      <c r="L916" s="5"/>
      <c r="M916" s="5"/>
      <c r="N916" s="5"/>
    </row>
    <row r="917" ht="14.25" customHeight="1">
      <c r="A917" s="5"/>
      <c r="B917" s="5"/>
      <c r="C917" s="6"/>
      <c r="D917" s="5"/>
      <c r="E917" s="5"/>
      <c r="F917" s="5"/>
      <c r="G917" s="5"/>
      <c r="H917" s="5"/>
      <c r="I917" s="5"/>
      <c r="J917" s="5"/>
      <c r="K917" s="5"/>
      <c r="L917" s="5"/>
      <c r="M917" s="5"/>
      <c r="N917" s="5"/>
    </row>
    <row r="918" ht="14.25" customHeight="1">
      <c r="A918" s="5"/>
      <c r="B918" s="5"/>
      <c r="C918" s="6"/>
      <c r="D918" s="5"/>
      <c r="E918" s="5"/>
      <c r="F918" s="5"/>
      <c r="G918" s="5"/>
      <c r="H918" s="5"/>
      <c r="I918" s="5"/>
      <c r="J918" s="5"/>
      <c r="K918" s="5"/>
      <c r="L918" s="5"/>
      <c r="M918" s="5"/>
      <c r="N918" s="5"/>
    </row>
    <row r="919" ht="14.25" customHeight="1">
      <c r="A919" s="5"/>
      <c r="B919" s="5"/>
      <c r="C919" s="6"/>
      <c r="D919" s="5"/>
      <c r="E919" s="5"/>
      <c r="F919" s="5"/>
      <c r="G919" s="5"/>
      <c r="H919" s="5"/>
      <c r="I919" s="5"/>
      <c r="J919" s="5"/>
      <c r="K919" s="5"/>
      <c r="L919" s="5"/>
      <c r="M919" s="5"/>
      <c r="N919" s="5"/>
    </row>
    <row r="920" ht="14.25" customHeight="1">
      <c r="A920" s="5"/>
      <c r="B920" s="5"/>
      <c r="C920" s="6"/>
      <c r="D920" s="5"/>
      <c r="E920" s="5"/>
      <c r="F920" s="5"/>
      <c r="G920" s="5"/>
      <c r="H920" s="5"/>
      <c r="I920" s="5"/>
      <c r="J920" s="5"/>
      <c r="K920" s="5"/>
      <c r="L920" s="5"/>
      <c r="M920" s="5"/>
      <c r="N920" s="5"/>
    </row>
    <row r="921" ht="14.25" customHeight="1">
      <c r="A921" s="5"/>
      <c r="B921" s="5"/>
      <c r="C921" s="6"/>
      <c r="D921" s="5"/>
      <c r="E921" s="5"/>
      <c r="F921" s="5"/>
      <c r="G921" s="5"/>
      <c r="H921" s="5"/>
      <c r="I921" s="5"/>
      <c r="J921" s="5"/>
      <c r="K921" s="5"/>
      <c r="L921" s="5"/>
      <c r="M921" s="5"/>
      <c r="N921" s="5"/>
    </row>
    <row r="922" ht="14.25" customHeight="1">
      <c r="A922" s="5"/>
      <c r="B922" s="5"/>
      <c r="C922" s="6"/>
      <c r="D922" s="5"/>
      <c r="E922" s="5"/>
      <c r="F922" s="5"/>
      <c r="G922" s="5"/>
      <c r="H922" s="5"/>
      <c r="I922" s="5"/>
      <c r="J922" s="5"/>
      <c r="K922" s="5"/>
      <c r="L922" s="5"/>
      <c r="M922" s="5"/>
      <c r="N922" s="5"/>
    </row>
    <row r="923" ht="14.25" customHeight="1">
      <c r="A923" s="5"/>
      <c r="B923" s="5"/>
      <c r="C923" s="6"/>
      <c r="D923" s="5"/>
      <c r="E923" s="5"/>
      <c r="F923" s="5"/>
      <c r="G923" s="5"/>
      <c r="H923" s="5"/>
      <c r="I923" s="5"/>
      <c r="J923" s="5"/>
      <c r="K923" s="5"/>
      <c r="L923" s="5"/>
      <c r="M923" s="5"/>
      <c r="N923" s="5"/>
    </row>
    <row r="924" ht="14.25" customHeight="1">
      <c r="A924" s="5"/>
      <c r="B924" s="5"/>
      <c r="C924" s="6"/>
      <c r="D924" s="5"/>
      <c r="E924" s="5"/>
      <c r="F924" s="5"/>
      <c r="G924" s="5"/>
      <c r="H924" s="5"/>
      <c r="I924" s="5"/>
      <c r="J924" s="5"/>
      <c r="K924" s="5"/>
      <c r="L924" s="5"/>
      <c r="M924" s="5"/>
      <c r="N924" s="5"/>
    </row>
    <row r="925" ht="14.25" customHeight="1">
      <c r="A925" s="5"/>
      <c r="B925" s="5"/>
      <c r="C925" s="6"/>
      <c r="D925" s="5"/>
      <c r="E925" s="5"/>
      <c r="F925" s="5"/>
      <c r="G925" s="5"/>
      <c r="H925" s="5"/>
      <c r="I925" s="5"/>
      <c r="J925" s="5"/>
      <c r="K925" s="5"/>
      <c r="L925" s="5"/>
      <c r="M925" s="5"/>
      <c r="N925" s="5"/>
    </row>
    <row r="926" ht="14.25" customHeight="1">
      <c r="A926" s="5"/>
      <c r="B926" s="5"/>
      <c r="C926" s="6"/>
      <c r="D926" s="5"/>
      <c r="E926" s="5"/>
      <c r="F926" s="5"/>
      <c r="G926" s="5"/>
      <c r="H926" s="5"/>
      <c r="I926" s="5"/>
      <c r="J926" s="5"/>
      <c r="K926" s="5"/>
      <c r="L926" s="5"/>
      <c r="M926" s="5"/>
      <c r="N926" s="5"/>
    </row>
    <row r="927" ht="14.25" customHeight="1">
      <c r="A927" s="5"/>
      <c r="B927" s="5"/>
      <c r="C927" s="6"/>
      <c r="D927" s="5"/>
      <c r="E927" s="5"/>
      <c r="F927" s="5"/>
      <c r="G927" s="5"/>
      <c r="H927" s="5"/>
      <c r="I927" s="5"/>
      <c r="J927" s="5"/>
      <c r="K927" s="5"/>
      <c r="L927" s="5"/>
      <c r="M927" s="5"/>
      <c r="N927" s="5"/>
    </row>
    <row r="928" ht="14.25" customHeight="1">
      <c r="A928" s="5"/>
      <c r="B928" s="5"/>
      <c r="C928" s="6"/>
      <c r="D928" s="5"/>
      <c r="E928" s="5"/>
      <c r="F928" s="5"/>
      <c r="G928" s="5"/>
      <c r="H928" s="5"/>
      <c r="I928" s="5"/>
      <c r="J928" s="5"/>
      <c r="K928" s="5"/>
      <c r="L928" s="5"/>
      <c r="M928" s="5"/>
      <c r="N928" s="5"/>
    </row>
    <row r="929" ht="14.25" customHeight="1">
      <c r="A929" s="5"/>
      <c r="B929" s="5"/>
      <c r="C929" s="6"/>
      <c r="D929" s="5"/>
      <c r="E929" s="5"/>
      <c r="F929" s="5"/>
      <c r="G929" s="5"/>
      <c r="H929" s="5"/>
      <c r="I929" s="5"/>
      <c r="J929" s="5"/>
      <c r="K929" s="5"/>
      <c r="L929" s="5"/>
      <c r="M929" s="5"/>
      <c r="N929" s="5"/>
    </row>
    <row r="930" ht="14.25" customHeight="1">
      <c r="A930" s="5"/>
      <c r="B930" s="5"/>
      <c r="C930" s="6"/>
      <c r="D930" s="5"/>
      <c r="E930" s="5"/>
      <c r="F930" s="5"/>
      <c r="G930" s="5"/>
      <c r="H930" s="5"/>
      <c r="I930" s="5"/>
      <c r="J930" s="5"/>
      <c r="K930" s="5"/>
      <c r="L930" s="5"/>
      <c r="M930" s="5"/>
      <c r="N930" s="5"/>
    </row>
    <row r="931" ht="14.25" customHeight="1">
      <c r="A931" s="5"/>
      <c r="B931" s="5"/>
      <c r="C931" s="6"/>
      <c r="D931" s="5"/>
      <c r="E931" s="5"/>
      <c r="F931" s="5"/>
      <c r="G931" s="5"/>
      <c r="H931" s="5"/>
      <c r="I931" s="5"/>
      <c r="J931" s="5"/>
      <c r="K931" s="5"/>
      <c r="L931" s="5"/>
      <c r="M931" s="5"/>
      <c r="N931" s="5"/>
    </row>
    <row r="932" ht="14.25" customHeight="1">
      <c r="A932" s="5"/>
      <c r="B932" s="5"/>
      <c r="C932" s="6"/>
      <c r="D932" s="5"/>
      <c r="E932" s="5"/>
      <c r="F932" s="5"/>
      <c r="G932" s="5"/>
      <c r="H932" s="5"/>
      <c r="I932" s="5"/>
      <c r="J932" s="5"/>
      <c r="K932" s="5"/>
      <c r="L932" s="5"/>
      <c r="M932" s="5"/>
      <c r="N932" s="5"/>
    </row>
    <row r="933" ht="14.25" customHeight="1">
      <c r="A933" s="5"/>
      <c r="B933" s="5"/>
      <c r="C933" s="6"/>
      <c r="D933" s="5"/>
      <c r="E933" s="5"/>
      <c r="F933" s="5"/>
      <c r="G933" s="5"/>
      <c r="H933" s="5"/>
      <c r="I933" s="5"/>
      <c r="J933" s="5"/>
      <c r="K933" s="5"/>
      <c r="L933" s="5"/>
      <c r="M933" s="5"/>
      <c r="N933" s="5"/>
    </row>
    <row r="934" ht="14.25" customHeight="1">
      <c r="A934" s="5"/>
      <c r="B934" s="5"/>
      <c r="C934" s="6"/>
      <c r="D934" s="5"/>
      <c r="E934" s="5"/>
      <c r="F934" s="5"/>
      <c r="G934" s="5"/>
      <c r="H934" s="5"/>
      <c r="I934" s="5"/>
      <c r="J934" s="5"/>
      <c r="K934" s="5"/>
      <c r="L934" s="5"/>
      <c r="M934" s="5"/>
      <c r="N934" s="5"/>
    </row>
    <row r="935" ht="14.25" customHeight="1">
      <c r="A935" s="5"/>
      <c r="B935" s="5"/>
      <c r="C935" s="6"/>
      <c r="D935" s="5"/>
      <c r="E935" s="5"/>
      <c r="F935" s="5"/>
      <c r="G935" s="5"/>
      <c r="H935" s="5"/>
      <c r="I935" s="5"/>
      <c r="J935" s="5"/>
      <c r="K935" s="5"/>
      <c r="L935" s="5"/>
      <c r="M935" s="5"/>
      <c r="N935" s="5"/>
    </row>
    <row r="936" ht="14.25" customHeight="1">
      <c r="A936" s="5"/>
      <c r="B936" s="5"/>
      <c r="C936" s="6"/>
      <c r="D936" s="5"/>
      <c r="E936" s="5"/>
      <c r="F936" s="5"/>
      <c r="G936" s="5"/>
      <c r="H936" s="5"/>
      <c r="I936" s="5"/>
      <c r="J936" s="5"/>
      <c r="K936" s="5"/>
      <c r="L936" s="5"/>
      <c r="M936" s="5"/>
      <c r="N936" s="5"/>
    </row>
    <row r="937" ht="14.25" customHeight="1">
      <c r="A937" s="5"/>
      <c r="B937" s="5"/>
      <c r="C937" s="6"/>
      <c r="D937" s="5"/>
      <c r="E937" s="5"/>
      <c r="F937" s="5"/>
      <c r="G937" s="5"/>
      <c r="H937" s="5"/>
      <c r="I937" s="5"/>
      <c r="J937" s="5"/>
      <c r="K937" s="5"/>
      <c r="L937" s="5"/>
      <c r="M937" s="5"/>
      <c r="N937" s="5"/>
    </row>
    <row r="938" ht="14.25" customHeight="1">
      <c r="A938" s="5"/>
      <c r="B938" s="5"/>
      <c r="C938" s="6"/>
      <c r="D938" s="5"/>
      <c r="E938" s="5"/>
      <c r="F938" s="5"/>
      <c r="G938" s="5"/>
      <c r="H938" s="5"/>
      <c r="I938" s="5"/>
      <c r="J938" s="5"/>
      <c r="K938" s="5"/>
      <c r="L938" s="5"/>
      <c r="M938" s="5"/>
      <c r="N938" s="5"/>
    </row>
    <row r="939" ht="14.25" customHeight="1">
      <c r="A939" s="5"/>
      <c r="B939" s="5"/>
      <c r="C939" s="6"/>
      <c r="D939" s="5"/>
      <c r="E939" s="5"/>
      <c r="F939" s="5"/>
      <c r="G939" s="5"/>
      <c r="H939" s="5"/>
      <c r="I939" s="5"/>
      <c r="J939" s="5"/>
      <c r="K939" s="5"/>
      <c r="L939" s="5"/>
      <c r="M939" s="5"/>
      <c r="N939" s="5"/>
    </row>
    <row r="940" ht="14.25" customHeight="1">
      <c r="A940" s="5"/>
      <c r="B940" s="5"/>
      <c r="C940" s="6"/>
      <c r="D940" s="5"/>
      <c r="E940" s="5"/>
      <c r="F940" s="5"/>
      <c r="G940" s="5"/>
      <c r="H940" s="5"/>
      <c r="I940" s="5"/>
      <c r="J940" s="5"/>
      <c r="K940" s="5"/>
      <c r="L940" s="5"/>
      <c r="M940" s="5"/>
      <c r="N940" s="5"/>
    </row>
    <row r="941" ht="14.25" customHeight="1">
      <c r="A941" s="5"/>
      <c r="B941" s="5"/>
      <c r="C941" s="6"/>
      <c r="D941" s="5"/>
      <c r="E941" s="5"/>
      <c r="F941" s="5"/>
      <c r="G941" s="5"/>
      <c r="H941" s="5"/>
      <c r="I941" s="5"/>
      <c r="J941" s="5"/>
      <c r="K941" s="5"/>
      <c r="L941" s="5"/>
      <c r="M941" s="5"/>
      <c r="N941" s="5"/>
    </row>
    <row r="942" ht="14.25" customHeight="1">
      <c r="A942" s="5"/>
      <c r="B942" s="5"/>
      <c r="C942" s="6"/>
      <c r="D942" s="5"/>
      <c r="E942" s="5"/>
      <c r="F942" s="5"/>
      <c r="G942" s="5"/>
      <c r="H942" s="5"/>
      <c r="I942" s="5"/>
      <c r="J942" s="5"/>
      <c r="K942" s="5"/>
      <c r="L942" s="5"/>
      <c r="M942" s="5"/>
      <c r="N942" s="5"/>
    </row>
    <row r="943" ht="14.25" customHeight="1">
      <c r="A943" s="5"/>
      <c r="B943" s="5"/>
      <c r="C943" s="6"/>
      <c r="D943" s="5"/>
      <c r="E943" s="5"/>
      <c r="F943" s="5"/>
      <c r="G943" s="5"/>
      <c r="H943" s="5"/>
      <c r="I943" s="5"/>
      <c r="J943" s="5"/>
      <c r="K943" s="5"/>
      <c r="L943" s="5"/>
      <c r="M943" s="5"/>
      <c r="N943" s="5"/>
    </row>
    <row r="944" ht="14.25" customHeight="1">
      <c r="A944" s="5"/>
      <c r="B944" s="5"/>
      <c r="C944" s="6"/>
      <c r="D944" s="5"/>
      <c r="E944" s="5"/>
      <c r="F944" s="5"/>
      <c r="G944" s="5"/>
      <c r="H944" s="5"/>
      <c r="I944" s="5"/>
      <c r="J944" s="5"/>
      <c r="K944" s="5"/>
      <c r="L944" s="5"/>
      <c r="M944" s="5"/>
      <c r="N944" s="5"/>
    </row>
    <row r="945" ht="14.25" customHeight="1">
      <c r="A945" s="5"/>
      <c r="B945" s="5"/>
      <c r="C945" s="6"/>
      <c r="D945" s="5"/>
      <c r="E945" s="5"/>
      <c r="F945" s="5"/>
      <c r="G945" s="5"/>
      <c r="H945" s="5"/>
      <c r="I945" s="5"/>
      <c r="J945" s="5"/>
      <c r="K945" s="5"/>
      <c r="L945" s="5"/>
      <c r="M945" s="5"/>
      <c r="N945" s="5"/>
    </row>
    <row r="946" ht="14.25" customHeight="1">
      <c r="A946" s="5"/>
      <c r="B946" s="5"/>
      <c r="C946" s="6"/>
      <c r="D946" s="5"/>
      <c r="E946" s="5"/>
      <c r="F946" s="5"/>
      <c r="G946" s="5"/>
      <c r="H946" s="5"/>
      <c r="I946" s="5"/>
      <c r="J946" s="5"/>
      <c r="K946" s="5"/>
      <c r="L946" s="5"/>
      <c r="M946" s="5"/>
      <c r="N946" s="5"/>
    </row>
    <row r="947" ht="14.25" customHeight="1">
      <c r="A947" s="5"/>
      <c r="B947" s="5"/>
      <c r="C947" s="6"/>
      <c r="D947" s="5"/>
      <c r="E947" s="5"/>
      <c r="F947" s="5"/>
      <c r="G947" s="5"/>
      <c r="H947" s="5"/>
      <c r="I947" s="5"/>
      <c r="J947" s="5"/>
      <c r="K947" s="5"/>
      <c r="L947" s="5"/>
      <c r="M947" s="5"/>
      <c r="N947" s="5"/>
    </row>
    <row r="948" ht="14.25" customHeight="1">
      <c r="A948" s="5"/>
      <c r="B948" s="5"/>
      <c r="C948" s="6"/>
      <c r="D948" s="5"/>
      <c r="E948" s="5"/>
      <c r="F948" s="5"/>
      <c r="G948" s="5"/>
      <c r="H948" s="5"/>
      <c r="I948" s="5"/>
      <c r="J948" s="5"/>
      <c r="K948" s="5"/>
      <c r="L948" s="5"/>
      <c r="M948" s="5"/>
      <c r="N948" s="5"/>
    </row>
    <row r="949" ht="14.25" customHeight="1">
      <c r="A949" s="5"/>
      <c r="B949" s="5"/>
      <c r="C949" s="6"/>
      <c r="D949" s="5"/>
      <c r="E949" s="5"/>
      <c r="F949" s="5"/>
      <c r="G949" s="5"/>
      <c r="H949" s="5"/>
      <c r="I949" s="5"/>
      <c r="J949" s="5"/>
      <c r="K949" s="5"/>
      <c r="L949" s="5"/>
      <c r="M949" s="5"/>
      <c r="N949" s="5"/>
    </row>
    <row r="950" ht="14.25" customHeight="1">
      <c r="A950" s="5"/>
      <c r="B950" s="5"/>
      <c r="C950" s="6"/>
      <c r="D950" s="5"/>
      <c r="E950" s="5"/>
      <c r="F950" s="5"/>
      <c r="G950" s="5"/>
      <c r="H950" s="5"/>
      <c r="I950" s="5"/>
      <c r="J950" s="5"/>
      <c r="K950" s="5"/>
      <c r="L950" s="5"/>
      <c r="M950" s="5"/>
      <c r="N950" s="5"/>
    </row>
    <row r="951" ht="14.25" customHeight="1">
      <c r="A951" s="5"/>
      <c r="B951" s="5"/>
      <c r="C951" s="6"/>
      <c r="D951" s="5"/>
      <c r="E951" s="5"/>
      <c r="F951" s="5"/>
      <c r="G951" s="5"/>
      <c r="H951" s="5"/>
      <c r="I951" s="5"/>
      <c r="J951" s="5"/>
      <c r="K951" s="5"/>
      <c r="L951" s="5"/>
      <c r="M951" s="5"/>
      <c r="N951" s="5"/>
    </row>
    <row r="952" ht="14.25" customHeight="1">
      <c r="A952" s="5"/>
      <c r="B952" s="5"/>
      <c r="C952" s="6"/>
      <c r="D952" s="5"/>
      <c r="E952" s="5"/>
      <c r="F952" s="5"/>
      <c r="G952" s="5"/>
      <c r="H952" s="5"/>
      <c r="I952" s="5"/>
      <c r="J952" s="5"/>
      <c r="K952" s="5"/>
      <c r="L952" s="5"/>
      <c r="M952" s="5"/>
      <c r="N952" s="5"/>
    </row>
    <row r="953" ht="14.25" customHeight="1">
      <c r="A953" s="5"/>
      <c r="B953" s="5"/>
      <c r="C953" s="6"/>
      <c r="D953" s="5"/>
      <c r="E953" s="5"/>
      <c r="F953" s="5"/>
      <c r="G953" s="5"/>
      <c r="H953" s="5"/>
      <c r="I953" s="5"/>
      <c r="J953" s="5"/>
      <c r="K953" s="5"/>
      <c r="L953" s="5"/>
      <c r="M953" s="5"/>
      <c r="N953" s="5"/>
    </row>
    <row r="954" ht="14.25" customHeight="1">
      <c r="A954" s="5"/>
      <c r="B954" s="5"/>
      <c r="C954" s="6"/>
      <c r="D954" s="5"/>
      <c r="E954" s="5"/>
      <c r="F954" s="5"/>
      <c r="G954" s="5"/>
      <c r="H954" s="5"/>
      <c r="I954" s="5"/>
      <c r="J954" s="5"/>
      <c r="K954" s="5"/>
      <c r="L954" s="5"/>
      <c r="M954" s="5"/>
      <c r="N954" s="5"/>
    </row>
    <row r="955" ht="14.25" customHeight="1">
      <c r="A955" s="5"/>
      <c r="B955" s="5"/>
      <c r="C955" s="6"/>
      <c r="D955" s="5"/>
      <c r="E955" s="5"/>
      <c r="F955" s="5"/>
      <c r="G955" s="5"/>
      <c r="H955" s="5"/>
      <c r="I955" s="5"/>
      <c r="J955" s="5"/>
      <c r="K955" s="5"/>
      <c r="L955" s="5"/>
      <c r="M955" s="5"/>
      <c r="N955" s="5"/>
    </row>
    <row r="956" ht="14.25" customHeight="1">
      <c r="A956" s="5"/>
      <c r="B956" s="5"/>
      <c r="C956" s="6"/>
      <c r="D956" s="5"/>
      <c r="E956" s="5"/>
      <c r="F956" s="5"/>
      <c r="G956" s="5"/>
      <c r="H956" s="5"/>
      <c r="I956" s="5"/>
      <c r="J956" s="5"/>
      <c r="K956" s="5"/>
      <c r="L956" s="5"/>
      <c r="M956" s="5"/>
      <c r="N956" s="5"/>
    </row>
    <row r="957" ht="14.25" customHeight="1">
      <c r="A957" s="5"/>
      <c r="B957" s="5"/>
      <c r="C957" s="6"/>
      <c r="D957" s="5"/>
      <c r="E957" s="5"/>
      <c r="F957" s="5"/>
      <c r="G957" s="5"/>
      <c r="H957" s="5"/>
      <c r="I957" s="5"/>
      <c r="J957" s="5"/>
      <c r="K957" s="5"/>
      <c r="L957" s="5"/>
      <c r="M957" s="5"/>
      <c r="N957" s="5"/>
    </row>
    <row r="958" ht="14.25" customHeight="1">
      <c r="A958" s="5"/>
      <c r="B958" s="5"/>
      <c r="C958" s="6"/>
      <c r="D958" s="5"/>
      <c r="E958" s="5"/>
      <c r="F958" s="5"/>
      <c r="G958" s="5"/>
      <c r="H958" s="5"/>
      <c r="I958" s="5"/>
      <c r="J958" s="5"/>
      <c r="K958" s="5"/>
      <c r="L958" s="5"/>
      <c r="M958" s="5"/>
      <c r="N958" s="5"/>
    </row>
    <row r="959" ht="14.25" customHeight="1">
      <c r="A959" s="5"/>
      <c r="B959" s="5"/>
      <c r="C959" s="6"/>
      <c r="D959" s="5"/>
      <c r="E959" s="5"/>
      <c r="F959" s="5"/>
      <c r="G959" s="5"/>
      <c r="H959" s="5"/>
      <c r="I959" s="5"/>
      <c r="J959" s="5"/>
      <c r="K959" s="5"/>
      <c r="L959" s="5"/>
      <c r="M959" s="5"/>
      <c r="N959" s="5"/>
    </row>
    <row r="960" ht="14.25" customHeight="1">
      <c r="A960" s="5"/>
      <c r="B960" s="5"/>
      <c r="C960" s="6"/>
      <c r="D960" s="5"/>
      <c r="E960" s="5"/>
      <c r="F960" s="5"/>
      <c r="G960" s="5"/>
      <c r="H960" s="5"/>
      <c r="I960" s="5"/>
      <c r="J960" s="5"/>
      <c r="K960" s="5"/>
      <c r="L960" s="5"/>
      <c r="M960" s="5"/>
      <c r="N960" s="5"/>
    </row>
    <row r="961" ht="14.25" customHeight="1">
      <c r="A961" s="5"/>
      <c r="B961" s="5"/>
      <c r="C961" s="6"/>
      <c r="D961" s="5"/>
      <c r="E961" s="5"/>
      <c r="F961" s="5"/>
      <c r="G961" s="5"/>
      <c r="H961" s="5"/>
      <c r="I961" s="5"/>
      <c r="J961" s="5"/>
      <c r="K961" s="5"/>
      <c r="L961" s="5"/>
      <c r="M961" s="5"/>
      <c r="N961" s="5"/>
    </row>
    <row r="962" ht="14.25" customHeight="1">
      <c r="A962" s="5"/>
      <c r="B962" s="5"/>
      <c r="C962" s="6"/>
      <c r="D962" s="5"/>
      <c r="E962" s="5"/>
      <c r="F962" s="5"/>
      <c r="G962" s="5"/>
      <c r="H962" s="5"/>
      <c r="I962" s="5"/>
      <c r="J962" s="5"/>
      <c r="K962" s="5"/>
      <c r="L962" s="5"/>
      <c r="M962" s="5"/>
      <c r="N962" s="5"/>
    </row>
    <row r="963" ht="14.25" customHeight="1">
      <c r="A963" s="5"/>
      <c r="B963" s="5"/>
      <c r="C963" s="6"/>
      <c r="D963" s="5"/>
      <c r="E963" s="5"/>
      <c r="F963" s="5"/>
      <c r="G963" s="5"/>
      <c r="H963" s="5"/>
      <c r="I963" s="5"/>
      <c r="J963" s="5"/>
      <c r="K963" s="5"/>
      <c r="L963" s="5"/>
      <c r="M963" s="5"/>
      <c r="N963" s="5"/>
    </row>
    <row r="964" ht="14.25" customHeight="1">
      <c r="A964" s="5"/>
      <c r="B964" s="5"/>
      <c r="C964" s="6"/>
      <c r="D964" s="5"/>
      <c r="E964" s="5"/>
      <c r="F964" s="5"/>
      <c r="G964" s="5"/>
      <c r="H964" s="5"/>
      <c r="I964" s="5"/>
      <c r="J964" s="5"/>
      <c r="K964" s="5"/>
      <c r="L964" s="5"/>
      <c r="M964" s="5"/>
      <c r="N964" s="5"/>
    </row>
    <row r="965" ht="14.25" customHeight="1">
      <c r="A965" s="5"/>
      <c r="B965" s="5"/>
      <c r="C965" s="6"/>
      <c r="D965" s="5"/>
      <c r="E965" s="5"/>
      <c r="F965" s="5"/>
      <c r="G965" s="5"/>
      <c r="H965" s="5"/>
      <c r="I965" s="5"/>
      <c r="J965" s="5"/>
      <c r="K965" s="5"/>
      <c r="L965" s="5"/>
      <c r="M965" s="5"/>
      <c r="N965" s="5"/>
    </row>
    <row r="966" ht="14.25" customHeight="1">
      <c r="A966" s="5"/>
      <c r="B966" s="5"/>
      <c r="C966" s="6"/>
      <c r="D966" s="5"/>
      <c r="E966" s="5"/>
      <c r="F966" s="5"/>
      <c r="G966" s="5"/>
      <c r="H966" s="5"/>
      <c r="I966" s="5"/>
      <c r="J966" s="5"/>
      <c r="K966" s="5"/>
      <c r="L966" s="5"/>
      <c r="M966" s="5"/>
      <c r="N966" s="5"/>
    </row>
    <row r="967" ht="14.25" customHeight="1">
      <c r="A967" s="5"/>
      <c r="B967" s="5"/>
      <c r="C967" s="6"/>
      <c r="D967" s="5"/>
      <c r="E967" s="5"/>
      <c r="F967" s="5"/>
      <c r="G967" s="5"/>
      <c r="H967" s="5"/>
      <c r="I967" s="5"/>
      <c r="J967" s="5"/>
      <c r="K967" s="5"/>
      <c r="L967" s="5"/>
      <c r="M967" s="5"/>
      <c r="N967" s="5"/>
    </row>
    <row r="968" ht="14.25" customHeight="1">
      <c r="A968" s="5"/>
      <c r="B968" s="5"/>
      <c r="C968" s="6"/>
      <c r="D968" s="5"/>
      <c r="E968" s="5"/>
      <c r="F968" s="5"/>
      <c r="G968" s="5"/>
      <c r="H968" s="5"/>
      <c r="I968" s="5"/>
      <c r="J968" s="5"/>
      <c r="K968" s="5"/>
      <c r="L968" s="5"/>
      <c r="M968" s="5"/>
      <c r="N968" s="5"/>
    </row>
    <row r="969" ht="14.25" customHeight="1">
      <c r="A969" s="5"/>
      <c r="B969" s="5"/>
      <c r="C969" s="6"/>
      <c r="D969" s="5"/>
      <c r="E969" s="5"/>
      <c r="F969" s="5"/>
      <c r="G969" s="5"/>
      <c r="H969" s="5"/>
      <c r="I969" s="5"/>
      <c r="J969" s="5"/>
      <c r="K969" s="5"/>
      <c r="L969" s="5"/>
      <c r="M969" s="5"/>
      <c r="N969" s="5"/>
    </row>
    <row r="970" ht="14.25" customHeight="1">
      <c r="A970" s="5"/>
      <c r="B970" s="5"/>
      <c r="C970" s="6"/>
      <c r="D970" s="5"/>
      <c r="E970" s="5"/>
      <c r="F970" s="5"/>
      <c r="G970" s="5"/>
      <c r="H970" s="5"/>
      <c r="I970" s="5"/>
      <c r="J970" s="5"/>
      <c r="K970" s="5"/>
      <c r="L970" s="5"/>
      <c r="M970" s="5"/>
      <c r="N970" s="5"/>
    </row>
    <row r="971" ht="14.25" customHeight="1">
      <c r="A971" s="5"/>
      <c r="B971" s="5"/>
      <c r="C971" s="6"/>
      <c r="D971" s="5"/>
      <c r="E971" s="5"/>
      <c r="F971" s="5"/>
      <c r="G971" s="5"/>
      <c r="H971" s="5"/>
      <c r="I971" s="5"/>
      <c r="J971" s="5"/>
      <c r="K971" s="5"/>
      <c r="L971" s="5"/>
      <c r="M971" s="5"/>
      <c r="N971" s="5"/>
    </row>
    <row r="972" ht="14.25" customHeight="1">
      <c r="A972" s="5"/>
      <c r="B972" s="5"/>
      <c r="C972" s="6"/>
      <c r="D972" s="5"/>
      <c r="E972" s="5"/>
      <c r="F972" s="5"/>
      <c r="G972" s="5"/>
      <c r="H972" s="5"/>
      <c r="I972" s="5"/>
      <c r="J972" s="5"/>
      <c r="K972" s="5"/>
      <c r="L972" s="5"/>
      <c r="M972" s="5"/>
      <c r="N972" s="5"/>
    </row>
    <row r="973" ht="14.25" customHeight="1">
      <c r="A973" s="5"/>
      <c r="B973" s="5"/>
      <c r="C973" s="6"/>
      <c r="D973" s="5"/>
      <c r="E973" s="5"/>
      <c r="F973" s="5"/>
      <c r="G973" s="5"/>
      <c r="H973" s="5"/>
      <c r="I973" s="5"/>
      <c r="J973" s="5"/>
      <c r="K973" s="5"/>
      <c r="L973" s="5"/>
      <c r="M973" s="5"/>
      <c r="N973" s="5"/>
    </row>
    <row r="974" ht="14.25" customHeight="1">
      <c r="A974" s="5"/>
      <c r="B974" s="5"/>
      <c r="C974" s="6"/>
      <c r="D974" s="5"/>
      <c r="E974" s="5"/>
      <c r="F974" s="5"/>
      <c r="G974" s="5"/>
      <c r="H974" s="5"/>
      <c r="I974" s="5"/>
      <c r="J974" s="5"/>
      <c r="K974" s="5"/>
      <c r="L974" s="5"/>
      <c r="M974" s="5"/>
      <c r="N974" s="5"/>
    </row>
    <row r="975" ht="14.25" customHeight="1">
      <c r="A975" s="5"/>
      <c r="B975" s="5"/>
      <c r="C975" s="6"/>
      <c r="D975" s="5"/>
      <c r="E975" s="5"/>
      <c r="F975" s="5"/>
      <c r="G975" s="5"/>
      <c r="H975" s="5"/>
      <c r="I975" s="5"/>
      <c r="J975" s="5"/>
      <c r="K975" s="5"/>
      <c r="L975" s="5"/>
      <c r="M975" s="5"/>
      <c r="N975" s="5"/>
    </row>
    <row r="976" ht="14.25" customHeight="1">
      <c r="A976" s="5"/>
      <c r="B976" s="5"/>
      <c r="C976" s="6"/>
      <c r="D976" s="5"/>
      <c r="E976" s="5"/>
      <c r="F976" s="5"/>
      <c r="G976" s="5"/>
      <c r="H976" s="5"/>
      <c r="I976" s="5"/>
      <c r="J976" s="5"/>
      <c r="K976" s="5"/>
      <c r="L976" s="5"/>
      <c r="M976" s="5"/>
      <c r="N976" s="5"/>
    </row>
    <row r="977" ht="14.25" customHeight="1">
      <c r="A977" s="5"/>
      <c r="B977" s="5"/>
      <c r="C977" s="6"/>
      <c r="D977" s="5"/>
      <c r="E977" s="5"/>
      <c r="F977" s="5"/>
      <c r="G977" s="5"/>
      <c r="H977" s="5"/>
      <c r="I977" s="5"/>
      <c r="J977" s="5"/>
      <c r="K977" s="5"/>
      <c r="L977" s="5"/>
      <c r="M977" s="5"/>
      <c r="N977" s="5"/>
    </row>
    <row r="978" ht="14.25" customHeight="1">
      <c r="A978" s="5"/>
      <c r="B978" s="5"/>
      <c r="C978" s="6"/>
      <c r="D978" s="5"/>
      <c r="E978" s="5"/>
      <c r="F978" s="5"/>
      <c r="G978" s="5"/>
      <c r="H978" s="5"/>
      <c r="I978" s="5"/>
      <c r="J978" s="5"/>
      <c r="K978" s="5"/>
      <c r="L978" s="5"/>
      <c r="M978" s="5"/>
      <c r="N978" s="5"/>
    </row>
    <row r="979" ht="14.25" customHeight="1">
      <c r="A979" s="5"/>
      <c r="B979" s="5"/>
      <c r="C979" s="6"/>
      <c r="D979" s="5"/>
      <c r="E979" s="5"/>
      <c r="F979" s="5"/>
      <c r="G979" s="5"/>
      <c r="H979" s="5"/>
      <c r="I979" s="5"/>
      <c r="J979" s="5"/>
      <c r="K979" s="5"/>
      <c r="L979" s="5"/>
      <c r="M979" s="5"/>
      <c r="N979" s="5"/>
    </row>
    <row r="980" ht="14.25" customHeight="1">
      <c r="A980" s="5"/>
      <c r="B980" s="5"/>
      <c r="C980" s="6"/>
      <c r="D980" s="5"/>
      <c r="E980" s="5"/>
      <c r="F980" s="5"/>
      <c r="G980" s="5"/>
      <c r="H980" s="5"/>
      <c r="I980" s="5"/>
      <c r="J980" s="5"/>
      <c r="K980" s="5"/>
      <c r="L980" s="5"/>
      <c r="M980" s="5"/>
      <c r="N980" s="5"/>
    </row>
    <row r="981" ht="14.25" customHeight="1">
      <c r="A981" s="5"/>
      <c r="B981" s="5"/>
      <c r="C981" s="6"/>
      <c r="D981" s="5"/>
      <c r="E981" s="5"/>
      <c r="F981" s="5"/>
      <c r="G981" s="5"/>
      <c r="H981" s="5"/>
      <c r="I981" s="5"/>
      <c r="J981" s="5"/>
      <c r="K981" s="5"/>
      <c r="L981" s="5"/>
      <c r="M981" s="5"/>
      <c r="N981" s="5"/>
    </row>
    <row r="982" ht="14.25" customHeight="1">
      <c r="A982" s="5"/>
      <c r="B982" s="5"/>
      <c r="C982" s="6"/>
      <c r="D982" s="5"/>
      <c r="E982" s="5"/>
      <c r="F982" s="5"/>
      <c r="G982" s="5"/>
      <c r="H982" s="5"/>
      <c r="I982" s="5"/>
      <c r="J982" s="5"/>
      <c r="K982" s="5"/>
      <c r="L982" s="5"/>
      <c r="M982" s="5"/>
      <c r="N982" s="5"/>
    </row>
    <row r="983" ht="14.25" customHeight="1">
      <c r="A983" s="5"/>
      <c r="B983" s="5"/>
      <c r="C983" s="6"/>
      <c r="D983" s="5"/>
      <c r="E983" s="5"/>
      <c r="F983" s="5"/>
      <c r="G983" s="5"/>
      <c r="H983" s="5"/>
      <c r="I983" s="5"/>
      <c r="J983" s="5"/>
      <c r="K983" s="5"/>
      <c r="L983" s="5"/>
      <c r="M983" s="5"/>
      <c r="N983" s="5"/>
    </row>
    <row r="984" ht="14.25" customHeight="1">
      <c r="A984" s="5"/>
      <c r="B984" s="5"/>
      <c r="C984" s="6"/>
      <c r="D984" s="5"/>
      <c r="E984" s="5"/>
      <c r="F984" s="5"/>
      <c r="G984" s="5"/>
      <c r="H984" s="5"/>
      <c r="I984" s="5"/>
      <c r="J984" s="5"/>
      <c r="K984" s="5"/>
      <c r="L984" s="5"/>
      <c r="M984" s="5"/>
      <c r="N984" s="5"/>
    </row>
    <row r="985" ht="14.25" customHeight="1">
      <c r="A985" s="5"/>
      <c r="B985" s="5"/>
      <c r="C985" s="6"/>
      <c r="D985" s="5"/>
      <c r="E985" s="5"/>
      <c r="F985" s="5"/>
      <c r="G985" s="5"/>
      <c r="H985" s="5"/>
      <c r="I985" s="5"/>
      <c r="J985" s="5"/>
      <c r="K985" s="5"/>
      <c r="L985" s="5"/>
      <c r="M985" s="5"/>
      <c r="N985" s="5"/>
    </row>
    <row r="986" ht="14.25" customHeight="1">
      <c r="A986" s="5"/>
      <c r="B986" s="5"/>
      <c r="C986" s="6"/>
      <c r="D986" s="5"/>
      <c r="E986" s="5"/>
      <c r="F986" s="5"/>
      <c r="G986" s="5"/>
      <c r="H986" s="5"/>
      <c r="I986" s="5"/>
      <c r="J986" s="5"/>
      <c r="K986" s="5"/>
      <c r="L986" s="5"/>
      <c r="M986" s="5"/>
      <c r="N986" s="5"/>
    </row>
    <row r="987" ht="14.25" customHeight="1">
      <c r="A987" s="5"/>
      <c r="B987" s="5"/>
      <c r="C987" s="6"/>
      <c r="D987" s="5"/>
      <c r="E987" s="5"/>
      <c r="F987" s="5"/>
      <c r="G987" s="5"/>
      <c r="H987" s="5"/>
      <c r="I987" s="5"/>
      <c r="J987" s="5"/>
      <c r="K987" s="5"/>
      <c r="L987" s="5"/>
      <c r="M987" s="5"/>
      <c r="N987" s="5"/>
    </row>
    <row r="988" ht="14.25" customHeight="1">
      <c r="A988" s="5"/>
      <c r="B988" s="5"/>
      <c r="C988" s="6"/>
      <c r="D988" s="5"/>
      <c r="E988" s="5"/>
      <c r="F988" s="5"/>
      <c r="G988" s="5"/>
      <c r="H988" s="5"/>
      <c r="I988" s="5"/>
      <c r="J988" s="5"/>
      <c r="K988" s="5"/>
      <c r="L988" s="5"/>
      <c r="M988" s="5"/>
      <c r="N988" s="5"/>
    </row>
    <row r="989" ht="14.25" customHeight="1">
      <c r="A989" s="5"/>
      <c r="B989" s="5"/>
      <c r="C989" s="6"/>
      <c r="D989" s="5"/>
      <c r="E989" s="5"/>
      <c r="F989" s="5"/>
      <c r="G989" s="5"/>
      <c r="H989" s="5"/>
      <c r="I989" s="5"/>
      <c r="J989" s="5"/>
      <c r="K989" s="5"/>
      <c r="L989" s="5"/>
      <c r="M989" s="5"/>
      <c r="N989" s="5"/>
    </row>
    <row r="990" ht="14.25" customHeight="1">
      <c r="A990" s="5"/>
      <c r="B990" s="5"/>
      <c r="C990" s="6"/>
      <c r="D990" s="5"/>
      <c r="E990" s="5"/>
      <c r="F990" s="5"/>
      <c r="G990" s="5"/>
      <c r="H990" s="5"/>
      <c r="I990" s="5"/>
      <c r="J990" s="5"/>
      <c r="K990" s="5"/>
      <c r="L990" s="5"/>
      <c r="M990" s="5"/>
      <c r="N990" s="5"/>
    </row>
    <row r="991" ht="14.25" customHeight="1">
      <c r="A991" s="5"/>
      <c r="B991" s="5"/>
      <c r="C991" s="6"/>
      <c r="D991" s="5"/>
      <c r="E991" s="5"/>
      <c r="F991" s="5"/>
      <c r="G991" s="5"/>
      <c r="H991" s="5"/>
      <c r="I991" s="5"/>
      <c r="J991" s="5"/>
      <c r="K991" s="5"/>
      <c r="L991" s="5"/>
      <c r="M991" s="5"/>
      <c r="N991" s="5"/>
    </row>
    <row r="992" ht="14.25" customHeight="1">
      <c r="A992" s="5"/>
      <c r="B992" s="5"/>
      <c r="C992" s="6"/>
      <c r="D992" s="5"/>
      <c r="E992" s="5"/>
      <c r="F992" s="5"/>
      <c r="G992" s="5"/>
      <c r="H992" s="5"/>
      <c r="I992" s="5"/>
      <c r="J992" s="5"/>
      <c r="K992" s="5"/>
      <c r="L992" s="5"/>
      <c r="M992" s="5"/>
      <c r="N992" s="5"/>
    </row>
    <row r="993" ht="14.25" customHeight="1">
      <c r="A993" s="5"/>
      <c r="B993" s="5"/>
      <c r="C993" s="6"/>
      <c r="D993" s="5"/>
      <c r="E993" s="5"/>
      <c r="F993" s="5"/>
      <c r="G993" s="5"/>
      <c r="H993" s="5"/>
      <c r="I993" s="5"/>
      <c r="J993" s="5"/>
      <c r="K993" s="5"/>
      <c r="L993" s="5"/>
      <c r="M993" s="5"/>
      <c r="N993" s="5"/>
    </row>
    <row r="994" ht="14.25" customHeight="1">
      <c r="A994" s="5"/>
      <c r="B994" s="5"/>
      <c r="C994" s="6"/>
      <c r="D994" s="5"/>
      <c r="E994" s="5"/>
      <c r="F994" s="5"/>
      <c r="G994" s="5"/>
      <c r="H994" s="5"/>
      <c r="I994" s="5"/>
      <c r="J994" s="5"/>
      <c r="K994" s="5"/>
      <c r="L994" s="5"/>
      <c r="M994" s="5"/>
      <c r="N994" s="5"/>
    </row>
    <row r="995" ht="14.25" customHeight="1">
      <c r="A995" s="5"/>
      <c r="B995" s="5"/>
      <c r="C995" s="6"/>
      <c r="D995" s="5"/>
      <c r="E995" s="5"/>
      <c r="F995" s="5"/>
      <c r="G995" s="5"/>
      <c r="H995" s="5"/>
      <c r="I995" s="5"/>
      <c r="J995" s="5"/>
      <c r="K995" s="5"/>
      <c r="L995" s="5"/>
      <c r="M995" s="5"/>
      <c r="N995" s="5"/>
    </row>
    <row r="996" ht="14.25" customHeight="1">
      <c r="A996" s="5"/>
      <c r="B996" s="5"/>
      <c r="C996" s="6"/>
      <c r="D996" s="5"/>
      <c r="E996" s="5"/>
      <c r="F996" s="5"/>
      <c r="G996" s="5"/>
      <c r="H996" s="5"/>
      <c r="I996" s="5"/>
      <c r="J996" s="5"/>
      <c r="K996" s="5"/>
      <c r="L996" s="5"/>
      <c r="M996" s="5"/>
      <c r="N996" s="5"/>
    </row>
    <row r="997" ht="14.25" customHeight="1">
      <c r="A997" s="5"/>
      <c r="B997" s="5"/>
      <c r="C997" s="6"/>
      <c r="D997" s="5"/>
      <c r="E997" s="5"/>
      <c r="F997" s="5"/>
      <c r="G997" s="5"/>
      <c r="H997" s="5"/>
      <c r="I997" s="5"/>
      <c r="J997" s="5"/>
      <c r="K997" s="5"/>
      <c r="L997" s="5"/>
      <c r="M997" s="5"/>
      <c r="N997" s="5"/>
    </row>
    <row r="998" ht="14.25" customHeight="1">
      <c r="A998" s="5"/>
      <c r="B998" s="5"/>
      <c r="C998" s="6"/>
      <c r="D998" s="5"/>
      <c r="E998" s="5"/>
      <c r="F998" s="5"/>
      <c r="G998" s="5"/>
      <c r="H998" s="5"/>
      <c r="I998" s="5"/>
      <c r="J998" s="5"/>
      <c r="K998" s="5"/>
      <c r="L998" s="5"/>
      <c r="M998" s="5"/>
      <c r="N998" s="5"/>
    </row>
    <row r="999" ht="14.25" customHeight="1">
      <c r="A999" s="5"/>
      <c r="B999" s="5"/>
      <c r="C999" s="6"/>
      <c r="D999" s="5"/>
      <c r="E999" s="5"/>
      <c r="F999" s="5"/>
      <c r="G999" s="5"/>
      <c r="H999" s="5"/>
      <c r="I999" s="5"/>
      <c r="J999" s="5"/>
      <c r="K999" s="5"/>
      <c r="L999" s="5"/>
      <c r="M999" s="5"/>
      <c r="N999" s="5"/>
    </row>
    <row r="1000" ht="14.25" customHeight="1">
      <c r="A1000" s="5"/>
      <c r="B1000" s="5"/>
      <c r="C1000" s="6"/>
      <c r="D1000" s="5"/>
      <c r="E1000" s="5"/>
      <c r="F1000" s="5"/>
      <c r="G1000" s="5"/>
      <c r="H1000" s="5"/>
      <c r="I1000" s="5"/>
      <c r="J1000" s="5"/>
      <c r="K1000" s="5"/>
      <c r="L1000" s="5"/>
      <c r="M1000" s="5"/>
      <c r="N1000" s="5"/>
    </row>
  </sheetData>
  <autoFilter ref="$A$1:$Z$100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352</v>
      </c>
      <c r="B1" s="11" t="s">
        <v>1</v>
      </c>
      <c r="C1" s="12" t="s">
        <v>353</v>
      </c>
      <c r="D1" s="11" t="s">
        <v>354</v>
      </c>
      <c r="E1" s="12" t="s">
        <v>355</v>
      </c>
      <c r="F1" s="12" t="s">
        <v>356</v>
      </c>
      <c r="G1" s="12" t="s">
        <v>357</v>
      </c>
    </row>
    <row r="2">
      <c r="A2" s="13">
        <v>45446.0</v>
      </c>
      <c r="B2" s="14" t="s">
        <v>27</v>
      </c>
      <c r="C2" s="15">
        <v>1135.0</v>
      </c>
      <c r="D2" s="15">
        <v>88.0</v>
      </c>
      <c r="E2" s="15">
        <v>344084.0</v>
      </c>
      <c r="F2" s="15">
        <v>8.06</v>
      </c>
      <c r="G2" s="15">
        <v>5904.0</v>
      </c>
    </row>
    <row r="3">
      <c r="A3" s="13">
        <v>45446.0</v>
      </c>
      <c r="B3" s="14" t="s">
        <v>33</v>
      </c>
      <c r="C3" s="15">
        <v>1312.0</v>
      </c>
      <c r="D3" s="15">
        <v>310.0</v>
      </c>
      <c r="E3" s="15">
        <v>42654.0</v>
      </c>
      <c r="F3" s="15">
        <v>4.98</v>
      </c>
      <c r="G3" s="15">
        <v>9566.0</v>
      </c>
    </row>
    <row r="4">
      <c r="A4" s="13">
        <v>45446.0</v>
      </c>
      <c r="B4" s="14" t="s">
        <v>13</v>
      </c>
      <c r="C4" s="15">
        <v>584.0</v>
      </c>
      <c r="D4" s="15">
        <v>169.0</v>
      </c>
      <c r="E4" s="15">
        <v>146834.0</v>
      </c>
      <c r="F4" s="15">
        <v>8.31</v>
      </c>
      <c r="G4" s="15">
        <v>26752.0</v>
      </c>
    </row>
    <row r="5">
      <c r="A5" s="13">
        <v>45446.0</v>
      </c>
      <c r="B5" s="14" t="s">
        <v>24</v>
      </c>
      <c r="C5" s="15">
        <v>1535.0</v>
      </c>
      <c r="D5" s="15">
        <v>445.0</v>
      </c>
      <c r="E5" s="15">
        <v>395536.0</v>
      </c>
      <c r="F5" s="15">
        <v>4.11</v>
      </c>
      <c r="G5" s="15">
        <v>30671.0</v>
      </c>
    </row>
    <row r="6">
      <c r="A6" s="13">
        <v>45453.0</v>
      </c>
      <c r="B6" s="14" t="s">
        <v>27</v>
      </c>
      <c r="C6" s="15">
        <v>656.0</v>
      </c>
      <c r="D6" s="15">
        <v>139.0</v>
      </c>
      <c r="E6" s="15">
        <v>49157.0</v>
      </c>
      <c r="F6" s="15">
        <v>9.05</v>
      </c>
      <c r="G6" s="15">
        <v>9920.0</v>
      </c>
    </row>
    <row r="7">
      <c r="A7" s="13">
        <v>45453.0</v>
      </c>
      <c r="B7" s="14" t="s">
        <v>33</v>
      </c>
      <c r="C7" s="15">
        <v>1697.0</v>
      </c>
      <c r="D7" s="15">
        <v>414.0</v>
      </c>
      <c r="E7" s="15">
        <v>316555.0</v>
      </c>
      <c r="F7" s="15">
        <v>2.37</v>
      </c>
      <c r="G7" s="15">
        <v>7924.0</v>
      </c>
    </row>
    <row r="8">
      <c r="A8" s="13">
        <v>45453.0</v>
      </c>
      <c r="B8" s="14" t="s">
        <v>13</v>
      </c>
      <c r="C8" s="15">
        <v>436.0</v>
      </c>
      <c r="D8" s="15">
        <v>250.0</v>
      </c>
      <c r="E8" s="15">
        <v>254347.0</v>
      </c>
      <c r="F8" s="15">
        <v>4.01</v>
      </c>
      <c r="G8" s="15">
        <v>8912.0</v>
      </c>
    </row>
    <row r="9">
      <c r="A9" s="13">
        <v>45453.0</v>
      </c>
      <c r="B9" s="14" t="s">
        <v>24</v>
      </c>
      <c r="C9" s="15">
        <v>1197.0</v>
      </c>
      <c r="D9" s="15">
        <v>203.0</v>
      </c>
      <c r="E9" s="15">
        <v>413878.0</v>
      </c>
      <c r="F9" s="15">
        <v>3.16</v>
      </c>
      <c r="G9" s="15">
        <v>21205.0</v>
      </c>
    </row>
    <row r="10">
      <c r="A10" s="13">
        <v>45460.0</v>
      </c>
      <c r="B10" s="14" t="s">
        <v>27</v>
      </c>
      <c r="C10" s="15">
        <v>1048.0</v>
      </c>
      <c r="D10" s="15">
        <v>155.0</v>
      </c>
      <c r="E10" s="15">
        <v>456946.0</v>
      </c>
      <c r="F10" s="15">
        <v>2.46</v>
      </c>
      <c r="G10" s="15">
        <v>11329.0</v>
      </c>
    </row>
    <row r="11">
      <c r="A11" s="13">
        <v>45460.0</v>
      </c>
      <c r="B11" s="14" t="s">
        <v>33</v>
      </c>
      <c r="C11" s="15">
        <v>1753.0</v>
      </c>
      <c r="D11" s="15">
        <v>371.0</v>
      </c>
      <c r="E11" s="15">
        <v>169496.0</v>
      </c>
      <c r="F11" s="15">
        <v>8.11</v>
      </c>
      <c r="G11" s="15">
        <v>46670.0</v>
      </c>
    </row>
    <row r="12">
      <c r="A12" s="13">
        <v>45460.0</v>
      </c>
      <c r="B12" s="14" t="s">
        <v>13</v>
      </c>
      <c r="C12" s="15">
        <v>1335.0</v>
      </c>
      <c r="D12" s="15">
        <v>40.0</v>
      </c>
      <c r="E12" s="15">
        <v>122732.0</v>
      </c>
      <c r="F12" s="15">
        <v>8.19</v>
      </c>
      <c r="G12" s="15">
        <v>22482.0</v>
      </c>
    </row>
    <row r="13">
      <c r="A13" s="13">
        <v>45460.0</v>
      </c>
      <c r="B13" s="14" t="s">
        <v>24</v>
      </c>
      <c r="C13" s="15">
        <v>403.0</v>
      </c>
      <c r="D13" s="15">
        <v>66.0</v>
      </c>
      <c r="E13" s="15">
        <v>382851.0</v>
      </c>
      <c r="F13" s="15">
        <v>3.49</v>
      </c>
      <c r="G13" s="15">
        <v>24313.0</v>
      </c>
    </row>
    <row r="14">
      <c r="A14" s="13">
        <v>45467.0</v>
      </c>
      <c r="B14" s="14" t="s">
        <v>27</v>
      </c>
      <c r="C14" s="15">
        <v>911.0</v>
      </c>
      <c r="D14" s="15">
        <v>282.0</v>
      </c>
      <c r="E14" s="15">
        <v>35664.0</v>
      </c>
      <c r="F14" s="15">
        <v>6.92</v>
      </c>
      <c r="G14" s="15">
        <v>18050.0</v>
      </c>
    </row>
    <row r="15">
      <c r="A15" s="13">
        <v>45467.0</v>
      </c>
      <c r="B15" s="14" t="s">
        <v>33</v>
      </c>
      <c r="C15" s="15">
        <v>1779.0</v>
      </c>
      <c r="D15" s="15">
        <v>109.0</v>
      </c>
      <c r="E15" s="15">
        <v>26295.0</v>
      </c>
      <c r="F15" s="15">
        <v>9.12</v>
      </c>
      <c r="G15" s="15">
        <v>30635.0</v>
      </c>
    </row>
    <row r="16">
      <c r="A16" s="13">
        <v>45467.0</v>
      </c>
      <c r="B16" s="14" t="s">
        <v>13</v>
      </c>
      <c r="C16" s="15">
        <v>1238.0</v>
      </c>
      <c r="D16" s="15">
        <v>403.0</v>
      </c>
      <c r="E16" s="15">
        <v>298421.0</v>
      </c>
      <c r="F16" s="15">
        <v>3.5</v>
      </c>
      <c r="G16" s="15">
        <v>31280.0</v>
      </c>
    </row>
    <row r="17">
      <c r="A17" s="13">
        <v>45467.0</v>
      </c>
      <c r="B17" s="14" t="s">
        <v>24</v>
      </c>
      <c r="C17" s="15">
        <v>308.0</v>
      </c>
      <c r="D17" s="15">
        <v>431.0</v>
      </c>
      <c r="E17" s="15">
        <v>426184.0</v>
      </c>
      <c r="F17" s="15">
        <v>2.62</v>
      </c>
      <c r="G17" s="15">
        <v>1783.0</v>
      </c>
    </row>
    <row r="18">
      <c r="A18" s="13">
        <v>45474.0</v>
      </c>
      <c r="B18" s="14" t="s">
        <v>27</v>
      </c>
      <c r="C18" s="15">
        <v>226.0</v>
      </c>
      <c r="D18" s="15">
        <v>445.0</v>
      </c>
      <c r="E18" s="15">
        <v>419447.0</v>
      </c>
      <c r="F18" s="15">
        <v>9.36</v>
      </c>
      <c r="G18" s="15">
        <v>9566.0</v>
      </c>
    </row>
    <row r="19">
      <c r="A19" s="13">
        <v>45474.0</v>
      </c>
      <c r="B19" s="14" t="s">
        <v>33</v>
      </c>
      <c r="C19" s="15">
        <v>505.0</v>
      </c>
      <c r="D19" s="15">
        <v>441.0</v>
      </c>
      <c r="E19" s="15">
        <v>220020.0</v>
      </c>
      <c r="F19" s="15">
        <v>4.48</v>
      </c>
      <c r="G19" s="15">
        <v>42307.0</v>
      </c>
    </row>
    <row r="20">
      <c r="A20" s="13">
        <v>45474.0</v>
      </c>
      <c r="B20" s="14" t="s">
        <v>13</v>
      </c>
      <c r="C20" s="15">
        <v>1420.0</v>
      </c>
      <c r="D20" s="15">
        <v>63.0</v>
      </c>
      <c r="E20" s="15">
        <v>315305.0</v>
      </c>
      <c r="F20" s="15">
        <v>6.19</v>
      </c>
      <c r="G20" s="15">
        <v>5914.0</v>
      </c>
    </row>
    <row r="21">
      <c r="A21" s="13">
        <v>45474.0</v>
      </c>
      <c r="B21" s="14" t="s">
        <v>24</v>
      </c>
      <c r="C21" s="15">
        <v>144.0</v>
      </c>
      <c r="D21" s="15">
        <v>53.0</v>
      </c>
      <c r="E21" s="15">
        <v>113678.0</v>
      </c>
      <c r="F21" s="15">
        <v>8.72</v>
      </c>
      <c r="G21" s="15">
        <v>30060.0</v>
      </c>
    </row>
    <row r="22">
      <c r="A22" s="13">
        <v>45481.0</v>
      </c>
      <c r="B22" s="14" t="s">
        <v>27</v>
      </c>
      <c r="C22" s="15">
        <v>1757.0</v>
      </c>
      <c r="D22" s="15">
        <v>85.0</v>
      </c>
      <c r="E22" s="15">
        <v>58223.0</v>
      </c>
      <c r="F22" s="15">
        <v>8.74</v>
      </c>
      <c r="G22" s="15">
        <v>22728.0</v>
      </c>
    </row>
    <row r="23">
      <c r="A23" s="13">
        <v>45481.0</v>
      </c>
      <c r="B23" s="14" t="s">
        <v>33</v>
      </c>
      <c r="C23" s="15">
        <v>350.0</v>
      </c>
      <c r="D23" s="15">
        <v>41.0</v>
      </c>
      <c r="E23" s="15">
        <v>251694.0</v>
      </c>
      <c r="F23" s="15">
        <v>1.91</v>
      </c>
      <c r="G23" s="15">
        <v>38610.0</v>
      </c>
    </row>
    <row r="24">
      <c r="A24" s="13">
        <v>45481.0</v>
      </c>
      <c r="B24" s="14" t="s">
        <v>13</v>
      </c>
      <c r="C24" s="15">
        <v>987.0</v>
      </c>
      <c r="D24" s="15">
        <v>440.0</v>
      </c>
      <c r="E24" s="15">
        <v>389810.0</v>
      </c>
      <c r="F24" s="15">
        <v>4.66</v>
      </c>
      <c r="G24" s="15">
        <v>2932.0</v>
      </c>
    </row>
    <row r="25">
      <c r="A25" s="13">
        <v>45481.0</v>
      </c>
      <c r="B25" s="14" t="s">
        <v>24</v>
      </c>
      <c r="C25" s="15">
        <v>883.0</v>
      </c>
      <c r="D25" s="15">
        <v>369.0</v>
      </c>
      <c r="E25" s="15">
        <v>233694.0</v>
      </c>
      <c r="F25" s="15">
        <v>2.88</v>
      </c>
      <c r="G25" s="15">
        <v>15071.0</v>
      </c>
    </row>
    <row r="26">
      <c r="A26" s="13">
        <v>45488.0</v>
      </c>
      <c r="B26" s="14" t="s">
        <v>27</v>
      </c>
      <c r="C26" s="15">
        <v>1960.0</v>
      </c>
      <c r="D26" s="15">
        <v>115.0</v>
      </c>
      <c r="E26" s="15">
        <v>154169.0</v>
      </c>
      <c r="F26" s="15">
        <v>3.74</v>
      </c>
      <c r="G26" s="15">
        <v>10740.0</v>
      </c>
    </row>
    <row r="27">
      <c r="A27" s="13">
        <v>45488.0</v>
      </c>
      <c r="B27" s="14" t="s">
        <v>33</v>
      </c>
      <c r="C27" s="15">
        <v>170.0</v>
      </c>
      <c r="D27" s="15">
        <v>334.0</v>
      </c>
      <c r="E27" s="15">
        <v>334626.0</v>
      </c>
      <c r="F27" s="15">
        <v>6.44</v>
      </c>
      <c r="G27" s="15">
        <v>43420.0</v>
      </c>
    </row>
    <row r="28">
      <c r="A28" s="13">
        <v>45488.0</v>
      </c>
      <c r="B28" s="14" t="s">
        <v>13</v>
      </c>
      <c r="C28" s="15">
        <v>704.0</v>
      </c>
      <c r="D28" s="15">
        <v>275.0</v>
      </c>
      <c r="E28" s="15">
        <v>226002.0</v>
      </c>
      <c r="F28" s="15">
        <v>8.56</v>
      </c>
      <c r="G28" s="15">
        <v>32393.0</v>
      </c>
    </row>
    <row r="29">
      <c r="A29" s="13">
        <v>45488.0</v>
      </c>
      <c r="B29" s="14" t="s">
        <v>24</v>
      </c>
      <c r="C29" s="15">
        <v>224.0</v>
      </c>
      <c r="D29" s="15">
        <v>64.0</v>
      </c>
      <c r="E29" s="15">
        <v>156683.0</v>
      </c>
      <c r="F29" s="15">
        <v>4.56</v>
      </c>
      <c r="G29" s="15">
        <v>28474.0</v>
      </c>
    </row>
    <row r="30">
      <c r="A30" s="13">
        <v>45495.0</v>
      </c>
      <c r="B30" s="14" t="s">
        <v>27</v>
      </c>
      <c r="C30" s="15">
        <v>508.0</v>
      </c>
      <c r="D30" s="15">
        <v>349.0</v>
      </c>
      <c r="E30" s="15">
        <v>473812.0</v>
      </c>
      <c r="F30" s="15">
        <v>7.88</v>
      </c>
      <c r="G30" s="15">
        <v>17328.0</v>
      </c>
    </row>
    <row r="31">
      <c r="A31" s="13">
        <v>45495.0</v>
      </c>
      <c r="B31" s="14" t="s">
        <v>33</v>
      </c>
      <c r="C31" s="15">
        <v>1391.0</v>
      </c>
      <c r="D31" s="15">
        <v>430.0</v>
      </c>
      <c r="E31" s="15">
        <v>295032.0</v>
      </c>
      <c r="F31" s="15">
        <v>7.86</v>
      </c>
      <c r="G31" s="15">
        <v>26067.0</v>
      </c>
    </row>
    <row r="32">
      <c r="A32" s="13">
        <v>45495.0</v>
      </c>
      <c r="B32" s="14" t="s">
        <v>13</v>
      </c>
      <c r="C32" s="15">
        <v>1701.0</v>
      </c>
      <c r="D32" s="15">
        <v>385.0</v>
      </c>
      <c r="E32" s="15">
        <v>198278.0</v>
      </c>
      <c r="F32" s="15">
        <v>5.34</v>
      </c>
      <c r="G32" s="15">
        <v>32763.0</v>
      </c>
    </row>
    <row r="33">
      <c r="A33" s="13">
        <v>45495.0</v>
      </c>
      <c r="B33" s="14" t="s">
        <v>24</v>
      </c>
      <c r="C33" s="15">
        <v>804.0</v>
      </c>
      <c r="D33" s="15">
        <v>487.0</v>
      </c>
      <c r="E33" s="15">
        <v>306564.0</v>
      </c>
      <c r="F33" s="15">
        <v>5.52</v>
      </c>
      <c r="G33" s="15">
        <v>26452.0</v>
      </c>
    </row>
    <row r="34">
      <c r="A34" s="13">
        <v>45502.0</v>
      </c>
      <c r="B34" s="14" t="s">
        <v>27</v>
      </c>
      <c r="C34" s="15">
        <v>653.0</v>
      </c>
      <c r="D34" s="15">
        <v>112.0</v>
      </c>
      <c r="E34" s="15">
        <v>23664.0</v>
      </c>
      <c r="F34" s="15">
        <v>4.05</v>
      </c>
      <c r="G34" s="15">
        <v>15353.0</v>
      </c>
    </row>
    <row r="35">
      <c r="A35" s="13">
        <v>45502.0</v>
      </c>
      <c r="B35" s="14" t="s">
        <v>33</v>
      </c>
      <c r="C35" s="15">
        <v>160.0</v>
      </c>
      <c r="D35" s="15">
        <v>478.0</v>
      </c>
      <c r="E35" s="15">
        <v>435034.0</v>
      </c>
      <c r="F35" s="15">
        <v>7.73</v>
      </c>
      <c r="G35" s="15">
        <v>4839.0</v>
      </c>
    </row>
    <row r="36">
      <c r="A36" s="13">
        <v>45502.0</v>
      </c>
      <c r="B36" s="14" t="s">
        <v>13</v>
      </c>
      <c r="C36" s="15">
        <v>1756.0</v>
      </c>
      <c r="D36" s="15">
        <v>261.0</v>
      </c>
      <c r="E36" s="15">
        <v>287574.0</v>
      </c>
      <c r="F36" s="15">
        <v>4.36</v>
      </c>
      <c r="G36" s="15">
        <v>39272.0</v>
      </c>
    </row>
    <row r="37">
      <c r="A37" s="13">
        <v>45502.0</v>
      </c>
      <c r="B37" s="14" t="s">
        <v>24</v>
      </c>
      <c r="C37" s="15">
        <v>576.0</v>
      </c>
      <c r="D37" s="15">
        <v>101.0</v>
      </c>
      <c r="E37" s="15">
        <v>62499.0</v>
      </c>
      <c r="F37" s="15">
        <v>3.48</v>
      </c>
      <c r="G37" s="15">
        <v>16804.0</v>
      </c>
    </row>
    <row r="38">
      <c r="A38" s="13">
        <v>45509.0</v>
      </c>
      <c r="B38" s="14" t="s">
        <v>27</v>
      </c>
      <c r="C38" s="15">
        <v>645.0</v>
      </c>
      <c r="D38" s="15">
        <v>293.0</v>
      </c>
      <c r="E38" s="15">
        <v>437968.0</v>
      </c>
      <c r="F38" s="15">
        <v>7.83</v>
      </c>
      <c r="G38" s="15">
        <v>49303.0</v>
      </c>
    </row>
    <row r="39">
      <c r="A39" s="13">
        <v>45509.0</v>
      </c>
      <c r="B39" s="14" t="s">
        <v>33</v>
      </c>
      <c r="C39" s="15">
        <v>214.0</v>
      </c>
      <c r="D39" s="15">
        <v>411.0</v>
      </c>
      <c r="E39" s="15">
        <v>125034.0</v>
      </c>
      <c r="F39" s="15">
        <v>6.11</v>
      </c>
      <c r="G39" s="15">
        <v>26455.0</v>
      </c>
    </row>
    <row r="40">
      <c r="A40" s="13">
        <v>45509.0</v>
      </c>
      <c r="B40" s="14" t="s">
        <v>13</v>
      </c>
      <c r="C40" s="15">
        <v>826.0</v>
      </c>
      <c r="D40" s="15">
        <v>498.0</v>
      </c>
      <c r="E40" s="15">
        <v>449994.0</v>
      </c>
      <c r="F40" s="15">
        <v>9.43</v>
      </c>
      <c r="G40" s="15">
        <v>12384.0</v>
      </c>
    </row>
    <row r="41">
      <c r="A41" s="13">
        <v>45509.0</v>
      </c>
      <c r="B41" s="14" t="s">
        <v>24</v>
      </c>
      <c r="C41" s="15">
        <v>460.0</v>
      </c>
      <c r="D41" s="15">
        <v>141.0</v>
      </c>
      <c r="E41" s="15">
        <v>320650.0</v>
      </c>
      <c r="F41" s="15">
        <v>4.04</v>
      </c>
      <c r="G41" s="15">
        <v>49372.0</v>
      </c>
    </row>
    <row r="42">
      <c r="A42" s="13">
        <v>45516.0</v>
      </c>
      <c r="B42" s="14" t="s">
        <v>27</v>
      </c>
      <c r="C42" s="15">
        <v>1528.0</v>
      </c>
      <c r="D42" s="15">
        <v>203.0</v>
      </c>
      <c r="E42" s="15">
        <v>489188.0</v>
      </c>
      <c r="F42" s="15">
        <v>6.23</v>
      </c>
      <c r="G42" s="15">
        <v>47101.0</v>
      </c>
    </row>
    <row r="43">
      <c r="A43" s="13">
        <v>45516.0</v>
      </c>
      <c r="B43" s="14" t="s">
        <v>33</v>
      </c>
      <c r="C43" s="15">
        <v>1534.0</v>
      </c>
      <c r="D43" s="15">
        <v>200.0</v>
      </c>
      <c r="E43" s="15">
        <v>307612.0</v>
      </c>
      <c r="F43" s="15">
        <v>6.01</v>
      </c>
      <c r="G43" s="15">
        <v>37903.0</v>
      </c>
    </row>
    <row r="44">
      <c r="A44" s="13">
        <v>45516.0</v>
      </c>
      <c r="B44" s="14" t="s">
        <v>13</v>
      </c>
      <c r="C44" s="15">
        <v>485.0</v>
      </c>
      <c r="D44" s="15">
        <v>448.0</v>
      </c>
      <c r="E44" s="15">
        <v>434883.0</v>
      </c>
      <c r="F44" s="15">
        <v>8.55</v>
      </c>
      <c r="G44" s="15">
        <v>33258.0</v>
      </c>
    </row>
    <row r="45">
      <c r="A45" s="13">
        <v>45516.0</v>
      </c>
      <c r="B45" s="14" t="s">
        <v>24</v>
      </c>
      <c r="C45" s="15">
        <v>1210.0</v>
      </c>
      <c r="D45" s="15">
        <v>178.0</v>
      </c>
      <c r="E45" s="15">
        <v>102042.0</v>
      </c>
      <c r="F45" s="15">
        <v>5.42</v>
      </c>
      <c r="G45" s="15">
        <v>6915.0</v>
      </c>
    </row>
    <row r="46">
      <c r="A46" s="13">
        <v>45523.0</v>
      </c>
      <c r="B46" s="14" t="s">
        <v>27</v>
      </c>
      <c r="C46" s="15">
        <v>215.0</v>
      </c>
      <c r="D46" s="15">
        <v>139.0</v>
      </c>
      <c r="E46" s="15">
        <v>325444.0</v>
      </c>
      <c r="F46" s="15">
        <v>3.25</v>
      </c>
      <c r="G46" s="15">
        <v>35501.0</v>
      </c>
    </row>
    <row r="47">
      <c r="A47" s="13">
        <v>45523.0</v>
      </c>
      <c r="B47" s="14" t="s">
        <v>33</v>
      </c>
      <c r="C47" s="15">
        <v>1078.0</v>
      </c>
      <c r="D47" s="15">
        <v>20.0</v>
      </c>
      <c r="E47" s="15">
        <v>183924.0</v>
      </c>
      <c r="F47" s="15">
        <v>8.84</v>
      </c>
      <c r="G47" s="15">
        <v>14203.0</v>
      </c>
    </row>
    <row r="48">
      <c r="A48" s="13">
        <v>45523.0</v>
      </c>
      <c r="B48" s="14" t="s">
        <v>13</v>
      </c>
      <c r="C48" s="15">
        <v>1751.0</v>
      </c>
      <c r="D48" s="15">
        <v>86.0</v>
      </c>
      <c r="E48" s="15">
        <v>188655.0</v>
      </c>
      <c r="F48" s="15">
        <v>7.24</v>
      </c>
      <c r="G48" s="15">
        <v>22206.0</v>
      </c>
    </row>
    <row r="49">
      <c r="A49" s="13">
        <v>45523.0</v>
      </c>
      <c r="B49" s="14" t="s">
        <v>24</v>
      </c>
      <c r="C49" s="15">
        <v>221.0</v>
      </c>
      <c r="D49" s="15">
        <v>31.0</v>
      </c>
      <c r="E49" s="15">
        <v>87443.0</v>
      </c>
      <c r="F49" s="15">
        <v>6.19</v>
      </c>
      <c r="G49" s="15">
        <v>10283.0</v>
      </c>
    </row>
    <row r="50">
      <c r="A50" s="13">
        <v>45530.0</v>
      </c>
      <c r="B50" s="14" t="s">
        <v>27</v>
      </c>
      <c r="C50" s="15">
        <v>1685.0</v>
      </c>
      <c r="D50" s="15">
        <v>76.0</v>
      </c>
      <c r="E50" s="15">
        <v>453799.0</v>
      </c>
      <c r="F50" s="15">
        <v>5.71</v>
      </c>
      <c r="G50" s="15">
        <v>24913.0</v>
      </c>
    </row>
    <row r="51">
      <c r="A51" s="13">
        <v>45530.0</v>
      </c>
      <c r="B51" s="14" t="s">
        <v>33</v>
      </c>
      <c r="C51" s="15">
        <v>248.0</v>
      </c>
      <c r="D51" s="15">
        <v>211.0</v>
      </c>
      <c r="E51" s="15">
        <v>379380.0</v>
      </c>
      <c r="F51" s="15">
        <v>9.04</v>
      </c>
      <c r="G51" s="15">
        <v>26925.0</v>
      </c>
    </row>
    <row r="52">
      <c r="A52" s="13">
        <v>45530.0</v>
      </c>
      <c r="B52" s="14" t="s">
        <v>13</v>
      </c>
      <c r="C52" s="15">
        <v>1300.0</v>
      </c>
      <c r="D52" s="15">
        <v>71.0</v>
      </c>
      <c r="E52" s="15">
        <v>186454.0</v>
      </c>
      <c r="F52" s="15">
        <v>3.91</v>
      </c>
      <c r="G52" s="15">
        <v>9942.0</v>
      </c>
    </row>
    <row r="53">
      <c r="A53" s="13">
        <v>45530.0</v>
      </c>
      <c r="B53" s="14" t="s">
        <v>24</v>
      </c>
      <c r="C53" s="15">
        <v>422.0</v>
      </c>
      <c r="D53" s="15">
        <v>394.0</v>
      </c>
      <c r="E53" s="15">
        <v>239044.0</v>
      </c>
      <c r="F53" s="15">
        <v>7.83</v>
      </c>
      <c r="G53" s="15">
        <v>32929.0</v>
      </c>
    </row>
    <row r="54">
      <c r="A54" s="13">
        <v>45537.0</v>
      </c>
      <c r="B54" s="14" t="s">
        <v>27</v>
      </c>
      <c r="C54" s="15">
        <v>1429.0</v>
      </c>
      <c r="D54" s="15">
        <v>182.0</v>
      </c>
      <c r="E54" s="15">
        <v>101332.0</v>
      </c>
      <c r="F54" s="15">
        <v>7.16</v>
      </c>
      <c r="G54" s="15">
        <v>37829.0</v>
      </c>
    </row>
    <row r="55">
      <c r="A55" s="13">
        <v>45537.0</v>
      </c>
      <c r="B55" s="14" t="s">
        <v>33</v>
      </c>
      <c r="C55" s="15">
        <v>1520.0</v>
      </c>
      <c r="D55" s="15">
        <v>475.0</v>
      </c>
      <c r="E55" s="15">
        <v>496982.0</v>
      </c>
      <c r="F55" s="15">
        <v>6.41</v>
      </c>
      <c r="G55" s="15">
        <v>24384.0</v>
      </c>
    </row>
    <row r="56">
      <c r="A56" s="13">
        <v>45537.0</v>
      </c>
      <c r="B56" s="14" t="s">
        <v>13</v>
      </c>
      <c r="C56" s="15">
        <v>557.0</v>
      </c>
      <c r="D56" s="15">
        <v>360.0</v>
      </c>
      <c r="E56" s="15">
        <v>318779.0</v>
      </c>
      <c r="F56" s="15">
        <v>8.02</v>
      </c>
      <c r="G56" s="15">
        <v>25797.0</v>
      </c>
    </row>
    <row r="57">
      <c r="A57" s="13">
        <v>45537.0</v>
      </c>
      <c r="B57" s="14" t="s">
        <v>24</v>
      </c>
      <c r="C57" s="15">
        <v>728.0</v>
      </c>
      <c r="D57" s="15">
        <v>395.0</v>
      </c>
      <c r="E57" s="15">
        <v>370971.0</v>
      </c>
      <c r="F57" s="15">
        <v>3.86</v>
      </c>
      <c r="G57" s="15">
        <v>12646.0</v>
      </c>
    </row>
    <row r="58">
      <c r="A58" s="13">
        <v>45544.0</v>
      </c>
      <c r="B58" s="14" t="s">
        <v>27</v>
      </c>
      <c r="C58" s="15">
        <v>1592.0</v>
      </c>
      <c r="D58" s="15">
        <v>20.0</v>
      </c>
      <c r="E58" s="15">
        <v>378054.0</v>
      </c>
      <c r="F58" s="15">
        <v>9.09</v>
      </c>
      <c r="G58" s="15">
        <v>26663.0</v>
      </c>
    </row>
    <row r="59">
      <c r="A59" s="13">
        <v>45544.0</v>
      </c>
      <c r="B59" s="14" t="s">
        <v>33</v>
      </c>
      <c r="C59" s="15">
        <v>1842.0</v>
      </c>
      <c r="D59" s="15">
        <v>414.0</v>
      </c>
      <c r="E59" s="15">
        <v>307524.0</v>
      </c>
      <c r="F59" s="15">
        <v>1.76</v>
      </c>
      <c r="G59" s="15">
        <v>40478.0</v>
      </c>
    </row>
    <row r="60">
      <c r="A60" s="13">
        <v>45544.0</v>
      </c>
      <c r="B60" s="14" t="s">
        <v>13</v>
      </c>
      <c r="C60" s="15">
        <v>751.0</v>
      </c>
      <c r="D60" s="15">
        <v>491.0</v>
      </c>
      <c r="E60" s="15">
        <v>434047.0</v>
      </c>
      <c r="F60" s="15">
        <v>9.24</v>
      </c>
      <c r="G60" s="15">
        <v>15476.0</v>
      </c>
    </row>
    <row r="61">
      <c r="A61" s="13">
        <v>45544.0</v>
      </c>
      <c r="B61" s="14" t="s">
        <v>24</v>
      </c>
      <c r="C61" s="15">
        <v>1409.0</v>
      </c>
      <c r="D61" s="15">
        <v>309.0</v>
      </c>
      <c r="E61" s="15">
        <v>64583.0</v>
      </c>
      <c r="F61" s="15">
        <v>8.99</v>
      </c>
      <c r="G61" s="15">
        <v>10217.0</v>
      </c>
    </row>
    <row r="62">
      <c r="A62" s="13">
        <v>45551.0</v>
      </c>
      <c r="B62" s="14" t="s">
        <v>27</v>
      </c>
      <c r="C62" s="15">
        <v>778.0</v>
      </c>
      <c r="D62" s="15">
        <v>401.0</v>
      </c>
      <c r="E62" s="15">
        <v>50793.0</v>
      </c>
      <c r="F62" s="15">
        <v>3.4</v>
      </c>
      <c r="G62" s="15">
        <v>21939.0</v>
      </c>
    </row>
    <row r="63">
      <c r="A63" s="13">
        <v>45551.0</v>
      </c>
      <c r="B63" s="14" t="s">
        <v>33</v>
      </c>
      <c r="C63" s="15">
        <v>443.0</v>
      </c>
      <c r="D63" s="15">
        <v>345.0</v>
      </c>
      <c r="E63" s="15">
        <v>474162.0</v>
      </c>
      <c r="F63" s="15">
        <v>9.2</v>
      </c>
      <c r="G63" s="15">
        <v>47462.0</v>
      </c>
    </row>
    <row r="64">
      <c r="A64" s="13">
        <v>45551.0</v>
      </c>
      <c r="B64" s="14" t="s">
        <v>13</v>
      </c>
      <c r="C64" s="15">
        <v>1472.0</v>
      </c>
      <c r="D64" s="15">
        <v>347.0</v>
      </c>
      <c r="E64" s="15">
        <v>392355.0</v>
      </c>
      <c r="F64" s="15">
        <v>8.59</v>
      </c>
      <c r="G64" s="15">
        <v>30270.0</v>
      </c>
    </row>
    <row r="65">
      <c r="A65" s="13">
        <v>45551.0</v>
      </c>
      <c r="B65" s="14" t="s">
        <v>24</v>
      </c>
      <c r="C65" s="15">
        <v>123.0</v>
      </c>
      <c r="D65" s="15">
        <v>155.0</v>
      </c>
      <c r="E65" s="15">
        <v>119934.0</v>
      </c>
      <c r="F65" s="15">
        <v>3.5</v>
      </c>
      <c r="G65" s="15">
        <v>5442.0</v>
      </c>
    </row>
    <row r="66">
      <c r="A66" s="13">
        <v>45558.0</v>
      </c>
      <c r="B66" s="14" t="s">
        <v>27</v>
      </c>
      <c r="C66" s="15">
        <v>817.0</v>
      </c>
      <c r="D66" s="15">
        <v>151.0</v>
      </c>
      <c r="E66" s="15">
        <v>422625.0</v>
      </c>
      <c r="F66" s="15">
        <v>2.36</v>
      </c>
      <c r="G66" s="15">
        <v>1083.0</v>
      </c>
    </row>
    <row r="67">
      <c r="A67" s="13">
        <v>45558.0</v>
      </c>
      <c r="B67" s="14" t="s">
        <v>33</v>
      </c>
      <c r="C67" s="15">
        <v>198.0</v>
      </c>
      <c r="D67" s="15">
        <v>217.0</v>
      </c>
      <c r="E67" s="15">
        <v>239753.0</v>
      </c>
      <c r="F67" s="15">
        <v>7.36</v>
      </c>
      <c r="G67" s="15">
        <v>11901.0</v>
      </c>
    </row>
    <row r="68">
      <c r="A68" s="13">
        <v>45558.0</v>
      </c>
      <c r="B68" s="14" t="s">
        <v>13</v>
      </c>
      <c r="C68" s="15">
        <v>1911.0</v>
      </c>
      <c r="D68" s="15">
        <v>231.0</v>
      </c>
      <c r="E68" s="15">
        <v>268516.0</v>
      </c>
      <c r="F68" s="15">
        <v>8.55</v>
      </c>
      <c r="G68" s="15">
        <v>24018.0</v>
      </c>
    </row>
    <row r="69">
      <c r="A69" s="13">
        <v>45558.0</v>
      </c>
      <c r="B69" s="14" t="s">
        <v>24</v>
      </c>
      <c r="C69" s="15">
        <v>1218.0</v>
      </c>
      <c r="D69" s="15">
        <v>212.0</v>
      </c>
      <c r="E69" s="15">
        <v>63177.0</v>
      </c>
      <c r="F69" s="15">
        <v>8.13</v>
      </c>
      <c r="G69" s="15">
        <v>38883.0</v>
      </c>
    </row>
    <row r="70">
      <c r="A70" s="13">
        <v>45565.0</v>
      </c>
      <c r="B70" s="14" t="s">
        <v>27</v>
      </c>
      <c r="C70" s="15">
        <v>1433.0</v>
      </c>
      <c r="D70" s="15">
        <v>408.0</v>
      </c>
      <c r="E70" s="15">
        <v>370269.0</v>
      </c>
      <c r="F70" s="15">
        <v>3.3</v>
      </c>
      <c r="G70" s="15">
        <v>30575.0</v>
      </c>
    </row>
    <row r="71">
      <c r="A71" s="13">
        <v>45565.0</v>
      </c>
      <c r="B71" s="14" t="s">
        <v>33</v>
      </c>
      <c r="C71" s="15">
        <v>250.0</v>
      </c>
      <c r="D71" s="15">
        <v>429.0</v>
      </c>
      <c r="E71" s="15">
        <v>453423.0</v>
      </c>
      <c r="F71" s="15">
        <v>1.77</v>
      </c>
      <c r="G71" s="15">
        <v>2315.0</v>
      </c>
    </row>
    <row r="72">
      <c r="A72" s="13">
        <v>45565.0</v>
      </c>
      <c r="B72" s="14" t="s">
        <v>13</v>
      </c>
      <c r="C72" s="15">
        <v>752.0</v>
      </c>
      <c r="D72" s="15">
        <v>153.0</v>
      </c>
      <c r="E72" s="15">
        <v>64906.0</v>
      </c>
      <c r="F72" s="15">
        <v>2.09</v>
      </c>
      <c r="G72" s="15">
        <v>12148.0</v>
      </c>
    </row>
    <row r="73">
      <c r="A73" s="13">
        <v>45565.0</v>
      </c>
      <c r="B73" s="14" t="s">
        <v>24</v>
      </c>
      <c r="C73" s="15">
        <v>1918.0</v>
      </c>
      <c r="D73" s="15">
        <v>212.0</v>
      </c>
      <c r="E73" s="15">
        <v>94360.0</v>
      </c>
      <c r="F73" s="15">
        <v>7.36</v>
      </c>
      <c r="G73" s="15">
        <v>36851.0</v>
      </c>
    </row>
    <row r="74">
      <c r="A74" s="13">
        <v>45572.0</v>
      </c>
      <c r="B74" s="14" t="s">
        <v>27</v>
      </c>
      <c r="C74" s="15">
        <v>1939.0</v>
      </c>
      <c r="D74" s="15">
        <v>67.0</v>
      </c>
      <c r="E74" s="15">
        <v>187183.0</v>
      </c>
      <c r="F74" s="15">
        <v>6.25</v>
      </c>
      <c r="G74" s="15">
        <v>41215.0</v>
      </c>
    </row>
    <row r="75">
      <c r="A75" s="13">
        <v>45572.0</v>
      </c>
      <c r="B75" s="14" t="s">
        <v>33</v>
      </c>
      <c r="C75" s="15">
        <v>1929.0</v>
      </c>
      <c r="D75" s="15">
        <v>267.0</v>
      </c>
      <c r="E75" s="15">
        <v>379363.0</v>
      </c>
      <c r="F75" s="15">
        <v>1.75</v>
      </c>
      <c r="G75" s="15">
        <v>43836.0</v>
      </c>
    </row>
    <row r="76">
      <c r="A76" s="13">
        <v>45572.0</v>
      </c>
      <c r="B76" s="14" t="s">
        <v>13</v>
      </c>
      <c r="C76" s="15">
        <v>437.0</v>
      </c>
      <c r="D76" s="15">
        <v>330.0</v>
      </c>
      <c r="E76" s="15">
        <v>476486.0</v>
      </c>
      <c r="F76" s="15">
        <v>4.97</v>
      </c>
      <c r="G76" s="15">
        <v>4509.0</v>
      </c>
    </row>
    <row r="77">
      <c r="A77" s="13">
        <v>45572.0</v>
      </c>
      <c r="B77" s="14" t="s">
        <v>24</v>
      </c>
      <c r="C77" s="15">
        <v>307.0</v>
      </c>
      <c r="D77" s="15">
        <v>189.0</v>
      </c>
      <c r="E77" s="15">
        <v>117767.0</v>
      </c>
      <c r="F77" s="15">
        <v>9.3</v>
      </c>
      <c r="G77" s="15">
        <v>27822.0</v>
      </c>
    </row>
    <row r="78">
      <c r="A78" s="13">
        <v>45579.0</v>
      </c>
      <c r="B78" s="14" t="s">
        <v>27</v>
      </c>
      <c r="C78" s="15">
        <v>1527.0</v>
      </c>
      <c r="D78" s="15">
        <v>303.0</v>
      </c>
      <c r="E78" s="15">
        <v>388555.0</v>
      </c>
      <c r="F78" s="15">
        <v>8.9</v>
      </c>
      <c r="G78" s="15">
        <v>36397.0</v>
      </c>
    </row>
    <row r="79">
      <c r="A79" s="13">
        <v>45579.0</v>
      </c>
      <c r="B79" s="14" t="s">
        <v>33</v>
      </c>
      <c r="C79" s="15">
        <v>643.0</v>
      </c>
      <c r="D79" s="15">
        <v>358.0</v>
      </c>
      <c r="E79" s="15">
        <v>157599.0</v>
      </c>
      <c r="F79" s="15">
        <v>3.88</v>
      </c>
      <c r="G79" s="15">
        <v>7285.0</v>
      </c>
    </row>
    <row r="80">
      <c r="A80" s="13">
        <v>45579.0</v>
      </c>
      <c r="B80" s="14" t="s">
        <v>13</v>
      </c>
      <c r="C80" s="15">
        <v>201.0</v>
      </c>
      <c r="D80" s="15">
        <v>221.0</v>
      </c>
      <c r="E80" s="15">
        <v>309772.0</v>
      </c>
      <c r="F80" s="15">
        <v>5.9</v>
      </c>
      <c r="G80" s="15">
        <v>33174.0</v>
      </c>
    </row>
    <row r="81">
      <c r="A81" s="13">
        <v>45579.0</v>
      </c>
      <c r="B81" s="14" t="s">
        <v>24</v>
      </c>
      <c r="C81" s="15">
        <v>414.0</v>
      </c>
      <c r="D81" s="15">
        <v>47.0</v>
      </c>
      <c r="E81" s="15">
        <v>199178.0</v>
      </c>
      <c r="F81" s="15">
        <v>1.53</v>
      </c>
      <c r="G81" s="15">
        <v>6742.0</v>
      </c>
    </row>
    <row r="82">
      <c r="A82" s="13">
        <v>45586.0</v>
      </c>
      <c r="B82" s="14" t="s">
        <v>27</v>
      </c>
      <c r="C82" s="15">
        <v>703.0</v>
      </c>
      <c r="D82" s="15">
        <v>441.0</v>
      </c>
      <c r="E82" s="15">
        <v>357089.0</v>
      </c>
      <c r="F82" s="15">
        <v>6.5</v>
      </c>
      <c r="G82" s="15">
        <v>32478.0</v>
      </c>
    </row>
    <row r="83">
      <c r="A83" s="13">
        <v>45586.0</v>
      </c>
      <c r="B83" s="14" t="s">
        <v>33</v>
      </c>
      <c r="C83" s="15">
        <v>508.0</v>
      </c>
      <c r="D83" s="15">
        <v>69.0</v>
      </c>
      <c r="E83" s="15">
        <v>23492.0</v>
      </c>
      <c r="F83" s="15">
        <v>3.16</v>
      </c>
      <c r="G83" s="15">
        <v>42824.0</v>
      </c>
    </row>
    <row r="84">
      <c r="A84" s="13">
        <v>45586.0</v>
      </c>
      <c r="B84" s="14" t="s">
        <v>13</v>
      </c>
      <c r="C84" s="15">
        <v>697.0</v>
      </c>
      <c r="D84" s="15">
        <v>61.0</v>
      </c>
      <c r="E84" s="15">
        <v>258287.0</v>
      </c>
      <c r="F84" s="15">
        <v>8.25</v>
      </c>
      <c r="G84" s="15">
        <v>21208.0</v>
      </c>
    </row>
    <row r="85">
      <c r="A85" s="13">
        <v>45586.0</v>
      </c>
      <c r="B85" s="14" t="s">
        <v>24</v>
      </c>
      <c r="C85" s="15">
        <v>1707.0</v>
      </c>
      <c r="D85" s="15">
        <v>223.0</v>
      </c>
      <c r="E85" s="15">
        <v>256910.0</v>
      </c>
      <c r="F85" s="15">
        <v>5.41</v>
      </c>
      <c r="G85" s="15">
        <v>44321.0</v>
      </c>
    </row>
    <row r="86">
      <c r="A86" s="13">
        <v>45593.0</v>
      </c>
      <c r="B86" s="14" t="s">
        <v>27</v>
      </c>
      <c r="C86" s="15">
        <v>642.0</v>
      </c>
      <c r="D86" s="15">
        <v>66.0</v>
      </c>
      <c r="E86" s="15">
        <v>346522.0</v>
      </c>
      <c r="F86" s="15">
        <v>5.85</v>
      </c>
      <c r="G86" s="15">
        <v>13116.0</v>
      </c>
    </row>
    <row r="87">
      <c r="A87" s="13">
        <v>45593.0</v>
      </c>
      <c r="B87" s="14" t="s">
        <v>33</v>
      </c>
      <c r="C87" s="15">
        <v>859.0</v>
      </c>
      <c r="D87" s="15">
        <v>473.0</v>
      </c>
      <c r="E87" s="15">
        <v>209987.0</v>
      </c>
      <c r="F87" s="15">
        <v>4.46</v>
      </c>
      <c r="G87" s="15">
        <v>30214.0</v>
      </c>
    </row>
    <row r="88">
      <c r="A88" s="13">
        <v>45593.0</v>
      </c>
      <c r="B88" s="14" t="s">
        <v>13</v>
      </c>
      <c r="C88" s="15">
        <v>191.0</v>
      </c>
      <c r="D88" s="15">
        <v>154.0</v>
      </c>
      <c r="E88" s="15">
        <v>240550.0</v>
      </c>
      <c r="F88" s="15">
        <v>5.22</v>
      </c>
      <c r="G88" s="15">
        <v>15827.0</v>
      </c>
    </row>
    <row r="89">
      <c r="A89" s="13">
        <v>45593.0</v>
      </c>
      <c r="B89" s="14" t="s">
        <v>24</v>
      </c>
      <c r="C89" s="15">
        <v>1814.0</v>
      </c>
      <c r="D89" s="15">
        <v>157.0</v>
      </c>
      <c r="E89" s="15">
        <v>305827.0</v>
      </c>
      <c r="F89" s="15">
        <v>1.99</v>
      </c>
      <c r="G89" s="15">
        <v>46643.0</v>
      </c>
    </row>
    <row r="90">
      <c r="A90" s="13">
        <v>45600.0</v>
      </c>
      <c r="B90" s="14" t="s">
        <v>27</v>
      </c>
      <c r="C90" s="15">
        <v>1466.0</v>
      </c>
      <c r="D90" s="15">
        <v>69.0</v>
      </c>
      <c r="E90" s="15">
        <v>54935.0</v>
      </c>
      <c r="F90" s="15">
        <v>6.85</v>
      </c>
      <c r="G90" s="15">
        <v>36484.0</v>
      </c>
    </row>
    <row r="91">
      <c r="A91" s="13">
        <v>45600.0</v>
      </c>
      <c r="B91" s="14" t="s">
        <v>33</v>
      </c>
      <c r="C91" s="15">
        <v>947.0</v>
      </c>
      <c r="D91" s="15">
        <v>407.0</v>
      </c>
      <c r="E91" s="15">
        <v>319186.0</v>
      </c>
      <c r="F91" s="15">
        <v>3.32</v>
      </c>
      <c r="G91" s="15">
        <v>4996.0</v>
      </c>
    </row>
    <row r="92">
      <c r="A92" s="13">
        <v>45600.0</v>
      </c>
      <c r="B92" s="14" t="s">
        <v>13</v>
      </c>
      <c r="C92" s="15">
        <v>1821.0</v>
      </c>
      <c r="D92" s="15">
        <v>218.0</v>
      </c>
      <c r="E92" s="15">
        <v>439080.0</v>
      </c>
      <c r="F92" s="15">
        <v>5.68</v>
      </c>
      <c r="G92" s="15">
        <v>36095.0</v>
      </c>
    </row>
    <row r="93">
      <c r="A93" s="13">
        <v>45600.0</v>
      </c>
      <c r="B93" s="14" t="s">
        <v>24</v>
      </c>
      <c r="C93" s="15">
        <v>1507.0</v>
      </c>
      <c r="D93" s="15">
        <v>463.0</v>
      </c>
      <c r="E93" s="15">
        <v>258944.0</v>
      </c>
      <c r="F93" s="15">
        <v>6.08</v>
      </c>
      <c r="G93" s="15">
        <v>16443.0</v>
      </c>
    </row>
    <row r="94">
      <c r="A94" s="13">
        <v>45607.0</v>
      </c>
      <c r="B94" s="14" t="s">
        <v>27</v>
      </c>
      <c r="C94" s="15">
        <v>1075.0</v>
      </c>
      <c r="D94" s="15">
        <v>173.0</v>
      </c>
      <c r="E94" s="15">
        <v>51395.0</v>
      </c>
      <c r="F94" s="15">
        <v>4.66</v>
      </c>
      <c r="G94" s="15">
        <v>47812.0</v>
      </c>
    </row>
    <row r="95">
      <c r="A95" s="13">
        <v>45607.0</v>
      </c>
      <c r="B95" s="14" t="s">
        <v>33</v>
      </c>
      <c r="C95" s="15">
        <v>171.0</v>
      </c>
      <c r="D95" s="15">
        <v>277.0</v>
      </c>
      <c r="E95" s="15">
        <v>309483.0</v>
      </c>
      <c r="F95" s="15">
        <v>8.7</v>
      </c>
      <c r="G95" s="15">
        <v>38452.0</v>
      </c>
    </row>
    <row r="96">
      <c r="A96" s="13">
        <v>45607.0</v>
      </c>
      <c r="B96" s="14" t="s">
        <v>13</v>
      </c>
      <c r="C96" s="15">
        <v>1487.0</v>
      </c>
      <c r="D96" s="15">
        <v>337.0</v>
      </c>
      <c r="E96" s="15">
        <v>87305.0</v>
      </c>
      <c r="F96" s="15">
        <v>2.46</v>
      </c>
      <c r="G96" s="15">
        <v>30428.0</v>
      </c>
    </row>
    <row r="97">
      <c r="A97" s="13">
        <v>45607.0</v>
      </c>
      <c r="B97" s="14" t="s">
        <v>24</v>
      </c>
      <c r="C97" s="15">
        <v>454.0</v>
      </c>
      <c r="D97" s="15">
        <v>105.0</v>
      </c>
      <c r="E97" s="15">
        <v>121091.0</v>
      </c>
      <c r="F97" s="15">
        <v>7.97</v>
      </c>
      <c r="G97" s="15">
        <v>9269.0</v>
      </c>
    </row>
    <row r="98">
      <c r="A98" s="13">
        <v>45614.0</v>
      </c>
      <c r="B98" s="14" t="s">
        <v>27</v>
      </c>
      <c r="C98" s="15">
        <v>187.0</v>
      </c>
      <c r="D98" s="15">
        <v>236.0</v>
      </c>
      <c r="E98" s="15">
        <v>51087.0</v>
      </c>
      <c r="F98" s="15">
        <v>9.41</v>
      </c>
      <c r="G98" s="15">
        <v>29533.0</v>
      </c>
    </row>
    <row r="99">
      <c r="A99" s="13">
        <v>45614.0</v>
      </c>
      <c r="B99" s="14" t="s">
        <v>33</v>
      </c>
      <c r="C99" s="15">
        <v>513.0</v>
      </c>
      <c r="D99" s="15">
        <v>441.0</v>
      </c>
      <c r="E99" s="15">
        <v>338847.0</v>
      </c>
      <c r="F99" s="15">
        <v>2.68</v>
      </c>
      <c r="G99" s="15">
        <v>39997.0</v>
      </c>
    </row>
    <row r="100">
      <c r="A100" s="13">
        <v>45614.0</v>
      </c>
      <c r="B100" s="14" t="s">
        <v>13</v>
      </c>
      <c r="C100" s="15">
        <v>628.0</v>
      </c>
      <c r="D100" s="15">
        <v>183.0</v>
      </c>
      <c r="E100" s="15">
        <v>487523.0</v>
      </c>
      <c r="F100" s="15">
        <v>7.32</v>
      </c>
      <c r="G100" s="15">
        <v>5391.0</v>
      </c>
    </row>
    <row r="101">
      <c r="A101" s="13">
        <v>45614.0</v>
      </c>
      <c r="B101" s="14" t="s">
        <v>24</v>
      </c>
      <c r="C101" s="15">
        <v>278.0</v>
      </c>
      <c r="D101" s="15">
        <v>218.0</v>
      </c>
      <c r="E101" s="15">
        <v>301695.0</v>
      </c>
      <c r="F101" s="15">
        <v>4.68</v>
      </c>
      <c r="G101" s="15">
        <v>22373.0</v>
      </c>
    </row>
    <row r="102">
      <c r="A102" s="13">
        <v>45621.0</v>
      </c>
      <c r="B102" s="14" t="s">
        <v>27</v>
      </c>
      <c r="C102" s="15">
        <v>1854.0</v>
      </c>
      <c r="D102" s="15">
        <v>161.0</v>
      </c>
      <c r="E102" s="15">
        <v>282466.0</v>
      </c>
      <c r="F102" s="15">
        <v>5.17</v>
      </c>
      <c r="G102" s="15">
        <v>1810.0</v>
      </c>
    </row>
    <row r="103">
      <c r="A103" s="13">
        <v>45621.0</v>
      </c>
      <c r="B103" s="14" t="s">
        <v>33</v>
      </c>
      <c r="C103" s="15">
        <v>1710.0</v>
      </c>
      <c r="D103" s="15">
        <v>378.0</v>
      </c>
      <c r="E103" s="15">
        <v>336661.0</v>
      </c>
      <c r="F103" s="15">
        <v>6.2</v>
      </c>
      <c r="G103" s="15">
        <v>28498.0</v>
      </c>
    </row>
    <row r="104">
      <c r="A104" s="13">
        <v>45621.0</v>
      </c>
      <c r="B104" s="14" t="s">
        <v>13</v>
      </c>
      <c r="C104" s="15">
        <v>330.0</v>
      </c>
      <c r="D104" s="15">
        <v>232.0</v>
      </c>
      <c r="E104" s="15">
        <v>88455.0</v>
      </c>
      <c r="F104" s="15">
        <v>2.69</v>
      </c>
      <c r="G104" s="15">
        <v>39530.0</v>
      </c>
    </row>
    <row r="105">
      <c r="A105" s="13">
        <v>45621.0</v>
      </c>
      <c r="B105" s="14" t="s">
        <v>24</v>
      </c>
      <c r="C105" s="15">
        <v>1293.0</v>
      </c>
      <c r="D105" s="15">
        <v>408.0</v>
      </c>
      <c r="E105" s="15">
        <v>62535.0</v>
      </c>
      <c r="F105" s="15">
        <v>8.9</v>
      </c>
      <c r="G105" s="15">
        <v>37876.0</v>
      </c>
    </row>
    <row r="106">
      <c r="A106" s="13">
        <v>45628.0</v>
      </c>
      <c r="B106" s="14" t="s">
        <v>27</v>
      </c>
      <c r="C106" s="15">
        <v>1696.0</v>
      </c>
      <c r="D106" s="15">
        <v>71.0</v>
      </c>
      <c r="E106" s="15">
        <v>421957.0</v>
      </c>
      <c r="F106" s="15">
        <v>3.79</v>
      </c>
      <c r="G106" s="15">
        <v>36103.0</v>
      </c>
    </row>
    <row r="107">
      <c r="A107" s="13">
        <v>45628.0</v>
      </c>
      <c r="B107" s="14" t="s">
        <v>33</v>
      </c>
      <c r="C107" s="15">
        <v>1902.0</v>
      </c>
      <c r="D107" s="15">
        <v>196.0</v>
      </c>
      <c r="E107" s="15">
        <v>470269.0</v>
      </c>
      <c r="F107" s="15">
        <v>4.79</v>
      </c>
      <c r="G107" s="15">
        <v>26103.0</v>
      </c>
    </row>
    <row r="108">
      <c r="A108" s="13">
        <v>45628.0</v>
      </c>
      <c r="B108" s="14" t="s">
        <v>13</v>
      </c>
      <c r="C108" s="15">
        <v>1441.0</v>
      </c>
      <c r="D108" s="15">
        <v>268.0</v>
      </c>
      <c r="E108" s="15">
        <v>309904.0</v>
      </c>
      <c r="F108" s="15">
        <v>6.37</v>
      </c>
      <c r="G108" s="15">
        <v>3455.0</v>
      </c>
    </row>
    <row r="109">
      <c r="A109" s="13">
        <v>45628.0</v>
      </c>
      <c r="B109" s="14" t="s">
        <v>24</v>
      </c>
      <c r="C109" s="15">
        <v>452.0</v>
      </c>
      <c r="D109" s="15">
        <v>161.0</v>
      </c>
      <c r="E109" s="15">
        <v>221274.0</v>
      </c>
      <c r="F109" s="15">
        <v>2.65</v>
      </c>
      <c r="G109" s="15">
        <v>40888.0</v>
      </c>
    </row>
    <row r="110">
      <c r="A110" s="13">
        <v>45635.0</v>
      </c>
      <c r="B110" s="14" t="s">
        <v>27</v>
      </c>
      <c r="C110" s="15">
        <v>1494.0</v>
      </c>
      <c r="D110" s="15">
        <v>375.0</v>
      </c>
      <c r="E110" s="15">
        <v>220616.0</v>
      </c>
      <c r="F110" s="15">
        <v>1.81</v>
      </c>
      <c r="G110" s="15">
        <v>22724.0</v>
      </c>
    </row>
    <row r="111">
      <c r="A111" s="13">
        <v>45635.0</v>
      </c>
      <c r="B111" s="14" t="s">
        <v>33</v>
      </c>
      <c r="C111" s="15">
        <v>1514.0</v>
      </c>
      <c r="D111" s="15">
        <v>141.0</v>
      </c>
      <c r="E111" s="15">
        <v>35842.0</v>
      </c>
      <c r="F111" s="15">
        <v>7.47</v>
      </c>
      <c r="G111" s="15">
        <v>18601.0</v>
      </c>
    </row>
    <row r="112">
      <c r="A112" s="13">
        <v>45635.0</v>
      </c>
      <c r="B112" s="14" t="s">
        <v>13</v>
      </c>
      <c r="C112" s="15">
        <v>1937.0</v>
      </c>
      <c r="D112" s="15">
        <v>210.0</v>
      </c>
      <c r="E112" s="15">
        <v>20607.0</v>
      </c>
      <c r="F112" s="15">
        <v>4.2</v>
      </c>
      <c r="G112" s="15">
        <v>20861.0</v>
      </c>
    </row>
    <row r="113">
      <c r="A113" s="13">
        <v>45635.0</v>
      </c>
      <c r="B113" s="14" t="s">
        <v>24</v>
      </c>
      <c r="C113" s="15">
        <v>736.0</v>
      </c>
      <c r="D113" s="15">
        <v>163.0</v>
      </c>
      <c r="E113" s="15">
        <v>451894.0</v>
      </c>
      <c r="F113" s="15">
        <v>5.43</v>
      </c>
      <c r="G113" s="15">
        <v>46625.0</v>
      </c>
    </row>
    <row r="114">
      <c r="A114" s="13">
        <v>45642.0</v>
      </c>
      <c r="B114" s="14" t="s">
        <v>27</v>
      </c>
      <c r="C114" s="15">
        <v>1502.0</v>
      </c>
      <c r="D114" s="15">
        <v>70.0</v>
      </c>
      <c r="E114" s="15">
        <v>465553.0</v>
      </c>
      <c r="F114" s="15">
        <v>3.32</v>
      </c>
      <c r="G114" s="15">
        <v>20692.0</v>
      </c>
    </row>
    <row r="115">
      <c r="A115" s="13">
        <v>45642.0</v>
      </c>
      <c r="B115" s="14" t="s">
        <v>33</v>
      </c>
      <c r="C115" s="15">
        <v>1623.0</v>
      </c>
      <c r="D115" s="15">
        <v>246.0</v>
      </c>
      <c r="E115" s="15">
        <v>415815.0</v>
      </c>
      <c r="F115" s="15">
        <v>8.11</v>
      </c>
      <c r="G115" s="15">
        <v>18656.0</v>
      </c>
    </row>
    <row r="116">
      <c r="A116" s="13">
        <v>45642.0</v>
      </c>
      <c r="B116" s="14" t="s">
        <v>13</v>
      </c>
      <c r="C116" s="15">
        <v>1592.0</v>
      </c>
      <c r="D116" s="15">
        <v>233.0</v>
      </c>
      <c r="E116" s="15">
        <v>327183.0</v>
      </c>
      <c r="F116" s="15">
        <v>6.66</v>
      </c>
      <c r="G116" s="15">
        <v>13316.0</v>
      </c>
    </row>
    <row r="117">
      <c r="A117" s="13">
        <v>45642.0</v>
      </c>
      <c r="B117" s="14" t="s">
        <v>24</v>
      </c>
      <c r="C117" s="15">
        <v>1004.0</v>
      </c>
      <c r="D117" s="15">
        <v>128.0</v>
      </c>
      <c r="E117" s="15">
        <v>488901.0</v>
      </c>
      <c r="F117" s="15">
        <v>8.09</v>
      </c>
      <c r="G117" s="15">
        <v>49558.0</v>
      </c>
    </row>
    <row r="118">
      <c r="A118" s="13">
        <v>45649.0</v>
      </c>
      <c r="B118" s="14" t="s">
        <v>27</v>
      </c>
      <c r="C118" s="15">
        <v>1092.0</v>
      </c>
      <c r="D118" s="15">
        <v>408.0</v>
      </c>
      <c r="E118" s="15">
        <v>280795.0</v>
      </c>
      <c r="F118" s="15">
        <v>8.44</v>
      </c>
      <c r="G118" s="15">
        <v>4683.0</v>
      </c>
    </row>
    <row r="119">
      <c r="A119" s="13">
        <v>45649.0</v>
      </c>
      <c r="B119" s="14" t="s">
        <v>33</v>
      </c>
      <c r="C119" s="15">
        <v>1155.0</v>
      </c>
      <c r="D119" s="15">
        <v>425.0</v>
      </c>
      <c r="E119" s="15">
        <v>93347.0</v>
      </c>
      <c r="F119" s="15">
        <v>2.02</v>
      </c>
      <c r="G119" s="15">
        <v>47502.0</v>
      </c>
    </row>
    <row r="120">
      <c r="A120" s="13">
        <v>45649.0</v>
      </c>
      <c r="B120" s="14" t="s">
        <v>13</v>
      </c>
      <c r="C120" s="15">
        <v>1137.0</v>
      </c>
      <c r="D120" s="15">
        <v>226.0</v>
      </c>
      <c r="E120" s="15">
        <v>81119.0</v>
      </c>
      <c r="F120" s="15">
        <v>7.74</v>
      </c>
      <c r="G120" s="15">
        <v>35359.0</v>
      </c>
    </row>
    <row r="121">
      <c r="A121" s="13">
        <v>45649.0</v>
      </c>
      <c r="B121" s="14" t="s">
        <v>24</v>
      </c>
      <c r="C121" s="15">
        <v>1900.0</v>
      </c>
      <c r="D121" s="15">
        <v>311.0</v>
      </c>
      <c r="E121" s="15">
        <v>25177.0</v>
      </c>
      <c r="F121" s="15">
        <v>2.89</v>
      </c>
      <c r="G121" s="15">
        <v>14154.0</v>
      </c>
    </row>
    <row r="122">
      <c r="A122" s="13">
        <v>45656.0</v>
      </c>
      <c r="B122" s="14" t="s">
        <v>27</v>
      </c>
      <c r="C122" s="15">
        <v>1814.0</v>
      </c>
      <c r="D122" s="15">
        <v>49.0</v>
      </c>
      <c r="E122" s="15">
        <v>140804.0</v>
      </c>
      <c r="F122" s="15">
        <v>1.76</v>
      </c>
      <c r="G122" s="15">
        <v>4313.0</v>
      </c>
    </row>
    <row r="123">
      <c r="A123" s="13">
        <v>45656.0</v>
      </c>
      <c r="B123" s="14" t="s">
        <v>33</v>
      </c>
      <c r="C123" s="15">
        <v>1980.0</v>
      </c>
      <c r="D123" s="15">
        <v>204.0</v>
      </c>
      <c r="E123" s="15">
        <v>379431.0</v>
      </c>
      <c r="F123" s="15">
        <v>3.09</v>
      </c>
      <c r="G123" s="15">
        <v>25140.0</v>
      </c>
    </row>
    <row r="124">
      <c r="A124" s="13">
        <v>45656.0</v>
      </c>
      <c r="B124" s="14" t="s">
        <v>13</v>
      </c>
      <c r="C124" s="15">
        <v>1786.0</v>
      </c>
      <c r="D124" s="15">
        <v>257.0</v>
      </c>
      <c r="E124" s="15">
        <v>274831.0</v>
      </c>
      <c r="F124" s="15">
        <v>4.68</v>
      </c>
      <c r="G124" s="15">
        <v>9118.0</v>
      </c>
    </row>
    <row r="125">
      <c r="A125" s="13">
        <v>45656.0</v>
      </c>
      <c r="B125" s="14" t="s">
        <v>24</v>
      </c>
      <c r="C125" s="15">
        <v>1495.0</v>
      </c>
      <c r="D125" s="15">
        <v>35.0</v>
      </c>
      <c r="E125" s="15">
        <v>136845.0</v>
      </c>
      <c r="F125" s="15">
        <v>4.48</v>
      </c>
      <c r="G125" s="15">
        <v>39931.0</v>
      </c>
    </row>
    <row r="126">
      <c r="A126" s="13">
        <v>45663.0</v>
      </c>
      <c r="B126" s="14" t="s">
        <v>27</v>
      </c>
      <c r="C126" s="15">
        <v>1013.0</v>
      </c>
      <c r="D126" s="15">
        <v>110.0</v>
      </c>
      <c r="E126" s="15">
        <v>466382.0</v>
      </c>
      <c r="F126" s="15">
        <v>5.3</v>
      </c>
      <c r="G126" s="15">
        <v>37132.0</v>
      </c>
    </row>
    <row r="127">
      <c r="A127" s="13">
        <v>45663.0</v>
      </c>
      <c r="B127" s="14" t="s">
        <v>33</v>
      </c>
      <c r="C127" s="15">
        <v>816.0</v>
      </c>
      <c r="D127" s="15">
        <v>196.0</v>
      </c>
      <c r="E127" s="15">
        <v>95728.0</v>
      </c>
      <c r="F127" s="15">
        <v>8.2</v>
      </c>
      <c r="G127" s="15">
        <v>17951.0</v>
      </c>
    </row>
    <row r="128">
      <c r="A128" s="13">
        <v>45663.0</v>
      </c>
      <c r="B128" s="14" t="s">
        <v>13</v>
      </c>
      <c r="C128" s="15">
        <v>1633.0</v>
      </c>
      <c r="D128" s="15">
        <v>445.0</v>
      </c>
      <c r="E128" s="15">
        <v>371156.0</v>
      </c>
      <c r="F128" s="15">
        <v>2.22</v>
      </c>
      <c r="G128" s="15">
        <v>2798.0</v>
      </c>
    </row>
    <row r="129">
      <c r="A129" s="13">
        <v>45663.0</v>
      </c>
      <c r="B129" s="14" t="s">
        <v>24</v>
      </c>
      <c r="C129" s="15">
        <v>891.0</v>
      </c>
      <c r="D129" s="15">
        <v>45.0</v>
      </c>
      <c r="E129" s="15">
        <v>95410.0</v>
      </c>
      <c r="F129" s="15">
        <v>8.33</v>
      </c>
      <c r="G129" s="15">
        <v>15045.0</v>
      </c>
    </row>
    <row r="130">
      <c r="A130" s="13">
        <v>45670.0</v>
      </c>
      <c r="B130" s="14" t="s">
        <v>27</v>
      </c>
      <c r="C130" s="15">
        <v>1855.0</v>
      </c>
      <c r="D130" s="15">
        <v>133.0</v>
      </c>
      <c r="E130" s="15">
        <v>349413.0</v>
      </c>
      <c r="F130" s="15">
        <v>3.3</v>
      </c>
      <c r="G130" s="15">
        <v>14548.0</v>
      </c>
    </row>
    <row r="131">
      <c r="A131" s="13">
        <v>45670.0</v>
      </c>
      <c r="B131" s="14" t="s">
        <v>33</v>
      </c>
      <c r="C131" s="15">
        <v>651.0</v>
      </c>
      <c r="D131" s="15">
        <v>353.0</v>
      </c>
      <c r="E131" s="15">
        <v>224699.0</v>
      </c>
      <c r="F131" s="15">
        <v>5.61</v>
      </c>
      <c r="G131" s="15">
        <v>45708.0</v>
      </c>
    </row>
    <row r="132">
      <c r="A132" s="13">
        <v>45670.0</v>
      </c>
      <c r="B132" s="14" t="s">
        <v>13</v>
      </c>
      <c r="C132" s="15">
        <v>118.0</v>
      </c>
      <c r="D132" s="15">
        <v>262.0</v>
      </c>
      <c r="E132" s="15">
        <v>487896.0</v>
      </c>
      <c r="F132" s="15">
        <v>2.56</v>
      </c>
      <c r="G132" s="15">
        <v>12350.0</v>
      </c>
    </row>
    <row r="133">
      <c r="A133" s="13">
        <v>45670.0</v>
      </c>
      <c r="B133" s="14" t="s">
        <v>24</v>
      </c>
      <c r="C133" s="15">
        <v>1331.0</v>
      </c>
      <c r="D133" s="15">
        <v>430.0</v>
      </c>
      <c r="E133" s="15">
        <v>14437.0</v>
      </c>
      <c r="F133" s="15">
        <v>3.29</v>
      </c>
      <c r="G133" s="15">
        <v>40868.0</v>
      </c>
    </row>
    <row r="134">
      <c r="A134" s="13">
        <v>45677.0</v>
      </c>
      <c r="B134" s="14" t="s">
        <v>27</v>
      </c>
      <c r="C134" s="15">
        <v>1748.0</v>
      </c>
      <c r="D134" s="15">
        <v>176.0</v>
      </c>
      <c r="E134" s="15">
        <v>383681.0</v>
      </c>
      <c r="F134" s="15">
        <v>9.24</v>
      </c>
      <c r="G134" s="15">
        <v>43122.0</v>
      </c>
    </row>
    <row r="135">
      <c r="A135" s="13">
        <v>45677.0</v>
      </c>
      <c r="B135" s="14" t="s">
        <v>33</v>
      </c>
      <c r="C135" s="15">
        <v>663.0</v>
      </c>
      <c r="D135" s="15">
        <v>236.0</v>
      </c>
      <c r="E135" s="15">
        <v>479490.0</v>
      </c>
      <c r="F135" s="15">
        <v>4.51</v>
      </c>
      <c r="G135" s="15">
        <v>23853.0</v>
      </c>
    </row>
    <row r="136">
      <c r="A136" s="13">
        <v>45677.0</v>
      </c>
      <c r="B136" s="14" t="s">
        <v>13</v>
      </c>
      <c r="C136" s="15">
        <v>1040.0</v>
      </c>
      <c r="D136" s="15">
        <v>149.0</v>
      </c>
      <c r="E136" s="15">
        <v>124404.0</v>
      </c>
      <c r="F136" s="15">
        <v>5.23</v>
      </c>
      <c r="G136" s="15">
        <v>45380.0</v>
      </c>
    </row>
    <row r="137">
      <c r="A137" s="13">
        <v>45677.0</v>
      </c>
      <c r="B137" s="14" t="s">
        <v>24</v>
      </c>
      <c r="C137" s="15">
        <v>1166.0</v>
      </c>
      <c r="D137" s="15">
        <v>442.0</v>
      </c>
      <c r="E137" s="15">
        <v>336949.0</v>
      </c>
      <c r="F137" s="15">
        <v>4.68</v>
      </c>
      <c r="G137" s="15">
        <v>7705.0</v>
      </c>
    </row>
    <row r="138">
      <c r="A138" s="13">
        <v>45684.0</v>
      </c>
      <c r="B138" s="14" t="s">
        <v>27</v>
      </c>
      <c r="C138" s="15">
        <v>115.0</v>
      </c>
      <c r="D138" s="15">
        <v>281.0</v>
      </c>
      <c r="E138" s="15">
        <v>357265.0</v>
      </c>
      <c r="F138" s="15">
        <v>9.23</v>
      </c>
      <c r="G138" s="15">
        <v>25525.0</v>
      </c>
    </row>
    <row r="139">
      <c r="A139" s="13">
        <v>45684.0</v>
      </c>
      <c r="B139" s="14" t="s">
        <v>33</v>
      </c>
      <c r="C139" s="15">
        <v>1249.0</v>
      </c>
      <c r="D139" s="15">
        <v>351.0</v>
      </c>
      <c r="E139" s="15">
        <v>321307.0</v>
      </c>
      <c r="F139" s="15">
        <v>6.37</v>
      </c>
      <c r="G139" s="15">
        <v>20560.0</v>
      </c>
    </row>
    <row r="140">
      <c r="A140" s="13">
        <v>45684.0</v>
      </c>
      <c r="B140" s="14" t="s">
        <v>13</v>
      </c>
      <c r="C140" s="15">
        <v>1501.0</v>
      </c>
      <c r="D140" s="15">
        <v>75.0</v>
      </c>
      <c r="E140" s="15">
        <v>262569.0</v>
      </c>
      <c r="F140" s="15">
        <v>2.01</v>
      </c>
      <c r="G140" s="15">
        <v>19119.0</v>
      </c>
    </row>
    <row r="141">
      <c r="A141" s="13">
        <v>45684.0</v>
      </c>
      <c r="B141" s="14" t="s">
        <v>24</v>
      </c>
      <c r="C141" s="15">
        <v>1411.0</v>
      </c>
      <c r="D141" s="15">
        <v>186.0</v>
      </c>
      <c r="E141" s="15">
        <v>461669.0</v>
      </c>
      <c r="F141" s="15">
        <v>3.72</v>
      </c>
      <c r="G141" s="15">
        <v>43999.0</v>
      </c>
    </row>
    <row r="142">
      <c r="A142" s="13">
        <v>45691.0</v>
      </c>
      <c r="B142" s="14" t="s">
        <v>27</v>
      </c>
      <c r="C142" s="15">
        <v>1556.0</v>
      </c>
      <c r="D142" s="15">
        <v>476.0</v>
      </c>
      <c r="E142" s="15">
        <v>351556.0</v>
      </c>
      <c r="F142" s="15">
        <v>3.89</v>
      </c>
      <c r="G142" s="15">
        <v>10825.0</v>
      </c>
    </row>
    <row r="143">
      <c r="A143" s="13">
        <v>45691.0</v>
      </c>
      <c r="B143" s="14" t="s">
        <v>33</v>
      </c>
      <c r="C143" s="15">
        <v>1159.0</v>
      </c>
      <c r="D143" s="15">
        <v>411.0</v>
      </c>
      <c r="E143" s="15">
        <v>135987.0</v>
      </c>
      <c r="F143" s="15">
        <v>8.7</v>
      </c>
      <c r="G143" s="15">
        <v>40323.0</v>
      </c>
    </row>
    <row r="144">
      <c r="A144" s="13">
        <v>45691.0</v>
      </c>
      <c r="B144" s="14" t="s">
        <v>13</v>
      </c>
      <c r="C144" s="15">
        <v>927.0</v>
      </c>
      <c r="D144" s="15">
        <v>358.0</v>
      </c>
      <c r="E144" s="15">
        <v>177554.0</v>
      </c>
      <c r="F144" s="15">
        <v>6.95</v>
      </c>
      <c r="G144" s="15">
        <v>48270.0</v>
      </c>
    </row>
    <row r="145">
      <c r="A145" s="13">
        <v>45691.0</v>
      </c>
      <c r="B145" s="14" t="s">
        <v>24</v>
      </c>
      <c r="C145" s="15">
        <v>152.0</v>
      </c>
      <c r="D145" s="15">
        <v>355.0</v>
      </c>
      <c r="E145" s="15">
        <v>270766.0</v>
      </c>
      <c r="F145" s="15">
        <v>9.48</v>
      </c>
      <c r="G145" s="15">
        <v>18001.0</v>
      </c>
    </row>
    <row r="146">
      <c r="A146" s="13">
        <v>45698.0</v>
      </c>
      <c r="B146" s="14" t="s">
        <v>27</v>
      </c>
      <c r="C146" s="15">
        <v>1957.0</v>
      </c>
      <c r="D146" s="15">
        <v>234.0</v>
      </c>
      <c r="E146" s="15">
        <v>222126.0</v>
      </c>
      <c r="F146" s="15">
        <v>4.61</v>
      </c>
      <c r="G146" s="15">
        <v>3314.0</v>
      </c>
    </row>
    <row r="147">
      <c r="A147" s="13">
        <v>45698.0</v>
      </c>
      <c r="B147" s="14" t="s">
        <v>33</v>
      </c>
      <c r="C147" s="15">
        <v>1294.0</v>
      </c>
      <c r="D147" s="15">
        <v>382.0</v>
      </c>
      <c r="E147" s="15">
        <v>309914.0</v>
      </c>
      <c r="F147" s="15">
        <v>8.03</v>
      </c>
      <c r="G147" s="15">
        <v>23489.0</v>
      </c>
    </row>
    <row r="148">
      <c r="A148" s="13">
        <v>45698.0</v>
      </c>
      <c r="B148" s="14" t="s">
        <v>13</v>
      </c>
      <c r="C148" s="15">
        <v>1587.0</v>
      </c>
      <c r="D148" s="15">
        <v>385.0</v>
      </c>
      <c r="E148" s="15">
        <v>126582.0</v>
      </c>
      <c r="F148" s="15">
        <v>6.99</v>
      </c>
      <c r="G148" s="15">
        <v>42832.0</v>
      </c>
    </row>
    <row r="149">
      <c r="A149" s="13">
        <v>45698.0</v>
      </c>
      <c r="B149" s="14" t="s">
        <v>24</v>
      </c>
      <c r="C149" s="15">
        <v>1707.0</v>
      </c>
      <c r="D149" s="15">
        <v>263.0</v>
      </c>
      <c r="E149" s="15">
        <v>485280.0</v>
      </c>
      <c r="F149" s="15">
        <v>9.03</v>
      </c>
      <c r="G149" s="15">
        <v>24494.0</v>
      </c>
    </row>
    <row r="150">
      <c r="A150" s="13">
        <v>45705.0</v>
      </c>
      <c r="B150" s="14" t="s">
        <v>27</v>
      </c>
      <c r="C150" s="15">
        <v>1138.0</v>
      </c>
      <c r="D150" s="15">
        <v>173.0</v>
      </c>
      <c r="E150" s="15">
        <v>453243.0</v>
      </c>
      <c r="F150" s="15">
        <v>2.86</v>
      </c>
      <c r="G150" s="15">
        <v>44097.0</v>
      </c>
    </row>
    <row r="151">
      <c r="A151" s="13">
        <v>45705.0</v>
      </c>
      <c r="B151" s="14" t="s">
        <v>33</v>
      </c>
      <c r="C151" s="15">
        <v>1895.0</v>
      </c>
      <c r="D151" s="15">
        <v>305.0</v>
      </c>
      <c r="E151" s="15">
        <v>104967.0</v>
      </c>
      <c r="F151" s="15">
        <v>3.85</v>
      </c>
      <c r="G151" s="15">
        <v>31853.0</v>
      </c>
    </row>
    <row r="152">
      <c r="A152" s="13">
        <v>45705.0</v>
      </c>
      <c r="B152" s="14" t="s">
        <v>13</v>
      </c>
      <c r="C152" s="15">
        <v>362.0</v>
      </c>
      <c r="D152" s="15">
        <v>399.0</v>
      </c>
      <c r="E152" s="15">
        <v>145608.0</v>
      </c>
      <c r="F152" s="15">
        <v>7.3</v>
      </c>
      <c r="G152" s="15">
        <v>37636.0</v>
      </c>
    </row>
    <row r="153">
      <c r="A153" s="13">
        <v>45705.0</v>
      </c>
      <c r="B153" s="14" t="s">
        <v>24</v>
      </c>
      <c r="C153" s="15">
        <v>1662.0</v>
      </c>
      <c r="D153" s="15">
        <v>487.0</v>
      </c>
      <c r="E153" s="15">
        <v>105980.0</v>
      </c>
      <c r="F153" s="15">
        <v>9.08</v>
      </c>
      <c r="G153" s="15">
        <v>22996.0</v>
      </c>
    </row>
    <row r="154">
      <c r="A154" s="13">
        <v>45712.0</v>
      </c>
      <c r="B154" s="14" t="s">
        <v>27</v>
      </c>
      <c r="C154" s="15">
        <v>1440.0</v>
      </c>
      <c r="D154" s="15">
        <v>65.0</v>
      </c>
      <c r="E154" s="15">
        <v>126524.0</v>
      </c>
      <c r="F154" s="15">
        <v>4.34</v>
      </c>
      <c r="G154" s="15">
        <v>49772.0</v>
      </c>
    </row>
    <row r="155">
      <c r="A155" s="13">
        <v>45712.0</v>
      </c>
      <c r="B155" s="14" t="s">
        <v>33</v>
      </c>
      <c r="C155" s="15">
        <v>1884.0</v>
      </c>
      <c r="D155" s="15">
        <v>177.0</v>
      </c>
      <c r="E155" s="15">
        <v>230448.0</v>
      </c>
      <c r="F155" s="15">
        <v>7.8</v>
      </c>
      <c r="G155" s="15">
        <v>22713.0</v>
      </c>
    </row>
    <row r="156">
      <c r="A156" s="13">
        <v>45712.0</v>
      </c>
      <c r="B156" s="14" t="s">
        <v>13</v>
      </c>
      <c r="C156" s="15">
        <v>861.0</v>
      </c>
      <c r="D156" s="15">
        <v>153.0</v>
      </c>
      <c r="E156" s="15">
        <v>317007.0</v>
      </c>
      <c r="F156" s="15">
        <v>3.85</v>
      </c>
      <c r="G156" s="15">
        <v>8718.0</v>
      </c>
    </row>
    <row r="157">
      <c r="A157" s="13">
        <v>45712.0</v>
      </c>
      <c r="B157" s="14" t="s">
        <v>24</v>
      </c>
      <c r="C157" s="15">
        <v>1063.0</v>
      </c>
      <c r="D157" s="15">
        <v>47.0</v>
      </c>
      <c r="E157" s="15">
        <v>464239.0</v>
      </c>
      <c r="F157" s="15">
        <v>6.58</v>
      </c>
      <c r="G157" s="15">
        <v>39031.0</v>
      </c>
    </row>
    <row r="158">
      <c r="A158" s="13">
        <v>45719.0</v>
      </c>
      <c r="B158" s="14" t="s">
        <v>27</v>
      </c>
      <c r="C158" s="15">
        <v>1371.0</v>
      </c>
      <c r="D158" s="15">
        <v>56.0</v>
      </c>
      <c r="E158" s="15">
        <v>257579.0</v>
      </c>
      <c r="F158" s="15">
        <v>8.62</v>
      </c>
      <c r="G158" s="15">
        <v>33799.0</v>
      </c>
    </row>
    <row r="159">
      <c r="A159" s="13">
        <v>45719.0</v>
      </c>
      <c r="B159" s="14" t="s">
        <v>33</v>
      </c>
      <c r="C159" s="15">
        <v>345.0</v>
      </c>
      <c r="D159" s="15">
        <v>464.0</v>
      </c>
      <c r="E159" s="15">
        <v>366881.0</v>
      </c>
      <c r="F159" s="15">
        <v>4.55</v>
      </c>
      <c r="G159" s="15">
        <v>20553.0</v>
      </c>
    </row>
    <row r="160">
      <c r="A160" s="13">
        <v>45719.0</v>
      </c>
      <c r="B160" s="14" t="s">
        <v>13</v>
      </c>
      <c r="C160" s="15">
        <v>946.0</v>
      </c>
      <c r="D160" s="15">
        <v>47.0</v>
      </c>
      <c r="E160" s="15">
        <v>466575.0</v>
      </c>
      <c r="F160" s="15">
        <v>8.33</v>
      </c>
      <c r="G160" s="15">
        <v>10002.0</v>
      </c>
    </row>
    <row r="161">
      <c r="A161" s="13">
        <v>45719.0</v>
      </c>
      <c r="B161" s="14" t="s">
        <v>24</v>
      </c>
      <c r="C161" s="15">
        <v>510.0</v>
      </c>
      <c r="D161" s="15">
        <v>195.0</v>
      </c>
      <c r="E161" s="15">
        <v>224534.0</v>
      </c>
      <c r="F161" s="15">
        <v>9.4</v>
      </c>
      <c r="G161" s="15">
        <v>30987.0</v>
      </c>
    </row>
    <row r="162">
      <c r="A162" s="13">
        <v>45726.0</v>
      </c>
      <c r="B162" s="14" t="s">
        <v>27</v>
      </c>
      <c r="C162" s="15">
        <v>393.0</v>
      </c>
      <c r="D162" s="15">
        <v>181.0</v>
      </c>
      <c r="E162" s="15">
        <v>462142.0</v>
      </c>
      <c r="F162" s="15">
        <v>7.23</v>
      </c>
      <c r="G162" s="15">
        <v>6296.0</v>
      </c>
    </row>
    <row r="163">
      <c r="A163" s="13">
        <v>45726.0</v>
      </c>
      <c r="B163" s="14" t="s">
        <v>33</v>
      </c>
      <c r="C163" s="15">
        <v>1098.0</v>
      </c>
      <c r="D163" s="15">
        <v>190.0</v>
      </c>
      <c r="E163" s="15">
        <v>340842.0</v>
      </c>
      <c r="F163" s="15">
        <v>9.39</v>
      </c>
      <c r="G163" s="15">
        <v>21539.0</v>
      </c>
    </row>
    <row r="164">
      <c r="A164" s="13">
        <v>45726.0</v>
      </c>
      <c r="B164" s="14" t="s">
        <v>13</v>
      </c>
      <c r="C164" s="15">
        <v>1399.0</v>
      </c>
      <c r="D164" s="15">
        <v>49.0</v>
      </c>
      <c r="E164" s="15">
        <v>12471.0</v>
      </c>
      <c r="F164" s="15">
        <v>5.12</v>
      </c>
      <c r="G164" s="15">
        <v>14722.0</v>
      </c>
    </row>
    <row r="165">
      <c r="A165" s="13">
        <v>45726.0</v>
      </c>
      <c r="B165" s="14" t="s">
        <v>24</v>
      </c>
      <c r="C165" s="15">
        <v>1658.0</v>
      </c>
      <c r="D165" s="15">
        <v>416.0</v>
      </c>
      <c r="E165" s="15">
        <v>98397.0</v>
      </c>
      <c r="F165" s="15">
        <v>6.11</v>
      </c>
      <c r="G165" s="15">
        <v>11383.0</v>
      </c>
    </row>
    <row r="166">
      <c r="A166" s="13">
        <v>45733.0</v>
      </c>
      <c r="B166" s="14" t="s">
        <v>27</v>
      </c>
      <c r="C166" s="15">
        <v>1102.0</v>
      </c>
      <c r="D166" s="15">
        <v>422.0</v>
      </c>
      <c r="E166" s="15">
        <v>410330.0</v>
      </c>
      <c r="F166" s="15">
        <v>7.74</v>
      </c>
      <c r="G166" s="15">
        <v>9480.0</v>
      </c>
    </row>
    <row r="167">
      <c r="A167" s="13">
        <v>45733.0</v>
      </c>
      <c r="B167" s="14" t="s">
        <v>33</v>
      </c>
      <c r="C167" s="15">
        <v>1358.0</v>
      </c>
      <c r="D167" s="15">
        <v>242.0</v>
      </c>
      <c r="E167" s="15">
        <v>342129.0</v>
      </c>
      <c r="F167" s="15">
        <v>4.94</v>
      </c>
      <c r="G167" s="15">
        <v>29116.0</v>
      </c>
    </row>
    <row r="168">
      <c r="A168" s="13">
        <v>45733.0</v>
      </c>
      <c r="B168" s="14" t="s">
        <v>13</v>
      </c>
      <c r="C168" s="15">
        <v>1077.0</v>
      </c>
      <c r="D168" s="15">
        <v>216.0</v>
      </c>
      <c r="E168" s="15">
        <v>12447.0</v>
      </c>
      <c r="F168" s="15">
        <v>1.8</v>
      </c>
      <c r="G168" s="15">
        <v>14068.0</v>
      </c>
    </row>
    <row r="169">
      <c r="A169" s="13">
        <v>45733.0</v>
      </c>
      <c r="B169" s="14" t="s">
        <v>24</v>
      </c>
      <c r="C169" s="15">
        <v>1596.0</v>
      </c>
      <c r="D169" s="15">
        <v>211.0</v>
      </c>
      <c r="E169" s="15">
        <v>17380.0</v>
      </c>
      <c r="F169" s="15">
        <v>8.64</v>
      </c>
      <c r="G169" s="15">
        <v>35801.0</v>
      </c>
    </row>
    <row r="170">
      <c r="A170" s="13">
        <v>45740.0</v>
      </c>
      <c r="B170" s="14" t="s">
        <v>27</v>
      </c>
      <c r="C170" s="15">
        <v>490.0</v>
      </c>
      <c r="D170" s="15">
        <v>29.0</v>
      </c>
      <c r="E170" s="15">
        <v>364810.0</v>
      </c>
      <c r="F170" s="15">
        <v>1.53</v>
      </c>
      <c r="G170" s="15">
        <v>49077.0</v>
      </c>
    </row>
    <row r="171">
      <c r="A171" s="13">
        <v>45740.0</v>
      </c>
      <c r="B171" s="14" t="s">
        <v>33</v>
      </c>
      <c r="C171" s="15">
        <v>609.0</v>
      </c>
      <c r="D171" s="15">
        <v>135.0</v>
      </c>
      <c r="E171" s="15">
        <v>373606.0</v>
      </c>
      <c r="F171" s="15">
        <v>8.52</v>
      </c>
      <c r="G171" s="15">
        <v>21453.0</v>
      </c>
    </row>
    <row r="172">
      <c r="A172" s="13">
        <v>45740.0</v>
      </c>
      <c r="B172" s="14" t="s">
        <v>13</v>
      </c>
      <c r="C172" s="15">
        <v>364.0</v>
      </c>
      <c r="D172" s="15">
        <v>72.0</v>
      </c>
      <c r="E172" s="15">
        <v>211090.0</v>
      </c>
      <c r="F172" s="15">
        <v>5.53</v>
      </c>
      <c r="G172" s="15">
        <v>21061.0</v>
      </c>
    </row>
    <row r="173">
      <c r="A173" s="13">
        <v>45740.0</v>
      </c>
      <c r="B173" s="14" t="s">
        <v>24</v>
      </c>
      <c r="C173" s="15">
        <v>442.0</v>
      </c>
      <c r="D173" s="15">
        <v>53.0</v>
      </c>
      <c r="E173" s="15">
        <v>441931.0</v>
      </c>
      <c r="F173" s="15">
        <v>1.87</v>
      </c>
      <c r="G173" s="15">
        <v>20059.0</v>
      </c>
    </row>
    <row r="174">
      <c r="A174" s="13">
        <v>45747.0</v>
      </c>
      <c r="B174" s="14" t="s">
        <v>27</v>
      </c>
      <c r="C174" s="15">
        <v>1033.0</v>
      </c>
      <c r="D174" s="15">
        <v>392.0</v>
      </c>
      <c r="E174" s="15">
        <v>282780.0</v>
      </c>
      <c r="F174" s="15">
        <v>6.27</v>
      </c>
      <c r="G174" s="15">
        <v>23140.0</v>
      </c>
    </row>
    <row r="175">
      <c r="A175" s="13">
        <v>45747.0</v>
      </c>
      <c r="B175" s="14" t="s">
        <v>33</v>
      </c>
      <c r="C175" s="15">
        <v>988.0</v>
      </c>
      <c r="D175" s="15">
        <v>474.0</v>
      </c>
      <c r="E175" s="15">
        <v>370070.0</v>
      </c>
      <c r="F175" s="15">
        <v>9.46</v>
      </c>
      <c r="G175" s="15">
        <v>23461.0</v>
      </c>
    </row>
    <row r="176">
      <c r="A176" s="13">
        <v>45747.0</v>
      </c>
      <c r="B176" s="14" t="s">
        <v>13</v>
      </c>
      <c r="C176" s="15">
        <v>1946.0</v>
      </c>
      <c r="D176" s="15">
        <v>270.0</v>
      </c>
      <c r="E176" s="15">
        <v>198350.0</v>
      </c>
      <c r="F176" s="15">
        <v>7.5</v>
      </c>
      <c r="G176" s="15">
        <v>11805.0</v>
      </c>
    </row>
    <row r="177">
      <c r="A177" s="13">
        <v>45747.0</v>
      </c>
      <c r="B177" s="14" t="s">
        <v>24</v>
      </c>
      <c r="C177" s="15">
        <v>1957.0</v>
      </c>
      <c r="D177" s="15">
        <v>490.0</v>
      </c>
      <c r="E177" s="15">
        <v>435726.0</v>
      </c>
      <c r="F177" s="15">
        <v>4.73</v>
      </c>
      <c r="G177" s="15">
        <v>15969.0</v>
      </c>
    </row>
    <row r="178">
      <c r="A178" s="13">
        <v>45754.0</v>
      </c>
      <c r="B178" s="14" t="s">
        <v>27</v>
      </c>
      <c r="C178" s="15">
        <v>559.0</v>
      </c>
      <c r="D178" s="15">
        <v>392.0</v>
      </c>
      <c r="E178" s="15">
        <v>78789.0</v>
      </c>
      <c r="F178" s="15">
        <v>3.19</v>
      </c>
      <c r="G178" s="15">
        <v>2436.0</v>
      </c>
    </row>
    <row r="179">
      <c r="A179" s="13">
        <v>45754.0</v>
      </c>
      <c r="B179" s="14" t="s">
        <v>33</v>
      </c>
      <c r="C179" s="15">
        <v>1307.0</v>
      </c>
      <c r="D179" s="15">
        <v>278.0</v>
      </c>
      <c r="E179" s="15">
        <v>98596.0</v>
      </c>
      <c r="F179" s="15">
        <v>2.49</v>
      </c>
      <c r="G179" s="15">
        <v>47603.0</v>
      </c>
    </row>
    <row r="180">
      <c r="A180" s="13">
        <v>45754.0</v>
      </c>
      <c r="B180" s="14" t="s">
        <v>13</v>
      </c>
      <c r="C180" s="15">
        <v>1432.0</v>
      </c>
      <c r="D180" s="15">
        <v>425.0</v>
      </c>
      <c r="E180" s="15">
        <v>29589.0</v>
      </c>
      <c r="F180" s="15">
        <v>4.5</v>
      </c>
      <c r="G180" s="15">
        <v>42964.0</v>
      </c>
    </row>
    <row r="181">
      <c r="A181" s="13">
        <v>45754.0</v>
      </c>
      <c r="B181" s="14" t="s">
        <v>24</v>
      </c>
      <c r="C181" s="15">
        <v>623.0</v>
      </c>
      <c r="D181" s="15">
        <v>414.0</v>
      </c>
      <c r="E181" s="15">
        <v>290354.0</v>
      </c>
      <c r="F181" s="15">
        <v>6.49</v>
      </c>
      <c r="G181" s="15">
        <v>39923.0</v>
      </c>
    </row>
    <row r="182">
      <c r="A182" s="13">
        <v>45761.0</v>
      </c>
      <c r="B182" s="14" t="s">
        <v>27</v>
      </c>
      <c r="C182" s="15">
        <v>198.0</v>
      </c>
      <c r="D182" s="15">
        <v>358.0</v>
      </c>
      <c r="E182" s="15">
        <v>66682.0</v>
      </c>
      <c r="F182" s="15">
        <v>6.73</v>
      </c>
      <c r="G182" s="15">
        <v>2293.0</v>
      </c>
    </row>
    <row r="183">
      <c r="A183" s="13">
        <v>45761.0</v>
      </c>
      <c r="B183" s="14" t="s">
        <v>33</v>
      </c>
      <c r="C183" s="15">
        <v>198.0</v>
      </c>
      <c r="D183" s="15">
        <v>373.0</v>
      </c>
      <c r="E183" s="15">
        <v>70707.0</v>
      </c>
      <c r="F183" s="15">
        <v>4.83</v>
      </c>
      <c r="G183" s="15">
        <v>25920.0</v>
      </c>
    </row>
    <row r="184">
      <c r="A184" s="13">
        <v>45761.0</v>
      </c>
      <c r="B184" s="14" t="s">
        <v>13</v>
      </c>
      <c r="C184" s="15">
        <v>353.0</v>
      </c>
      <c r="D184" s="15">
        <v>300.0</v>
      </c>
      <c r="E184" s="15">
        <v>142507.0</v>
      </c>
      <c r="F184" s="15">
        <v>5.3</v>
      </c>
      <c r="G184" s="15">
        <v>11035.0</v>
      </c>
    </row>
    <row r="185">
      <c r="A185" s="13">
        <v>45761.0</v>
      </c>
      <c r="B185" s="14" t="s">
        <v>24</v>
      </c>
      <c r="C185" s="15">
        <v>520.0</v>
      </c>
      <c r="D185" s="15">
        <v>375.0</v>
      </c>
      <c r="E185" s="15">
        <v>369525.0</v>
      </c>
      <c r="F185" s="15">
        <v>6.54</v>
      </c>
      <c r="G185" s="15">
        <v>20733.0</v>
      </c>
    </row>
    <row r="186">
      <c r="A186" s="13">
        <v>45768.0</v>
      </c>
      <c r="B186" s="14" t="s">
        <v>27</v>
      </c>
      <c r="C186" s="15">
        <v>961.0</v>
      </c>
      <c r="D186" s="15">
        <v>358.0</v>
      </c>
      <c r="E186" s="15">
        <v>62942.0</v>
      </c>
      <c r="F186" s="15">
        <v>6.8</v>
      </c>
      <c r="G186" s="15">
        <v>18693.0</v>
      </c>
    </row>
    <row r="187">
      <c r="A187" s="13">
        <v>45768.0</v>
      </c>
      <c r="B187" s="14" t="s">
        <v>33</v>
      </c>
      <c r="C187" s="15">
        <v>1375.0</v>
      </c>
      <c r="D187" s="15">
        <v>330.0</v>
      </c>
      <c r="E187" s="15">
        <v>377382.0</v>
      </c>
      <c r="F187" s="15">
        <v>2.6</v>
      </c>
      <c r="G187" s="15">
        <v>7875.0</v>
      </c>
    </row>
    <row r="188">
      <c r="A188" s="13">
        <v>45768.0</v>
      </c>
      <c r="B188" s="14" t="s">
        <v>13</v>
      </c>
      <c r="C188" s="15">
        <v>1147.0</v>
      </c>
      <c r="D188" s="15">
        <v>388.0</v>
      </c>
      <c r="E188" s="15">
        <v>333851.0</v>
      </c>
      <c r="F188" s="15">
        <v>2.44</v>
      </c>
      <c r="G188" s="15">
        <v>8471.0</v>
      </c>
    </row>
    <row r="189">
      <c r="A189" s="13">
        <v>45768.0</v>
      </c>
      <c r="B189" s="14" t="s">
        <v>24</v>
      </c>
      <c r="C189" s="15">
        <v>1707.0</v>
      </c>
      <c r="D189" s="15">
        <v>74.0</v>
      </c>
      <c r="E189" s="15">
        <v>270958.0</v>
      </c>
      <c r="F189" s="15">
        <v>3.09</v>
      </c>
      <c r="G189" s="15">
        <v>14090.0</v>
      </c>
    </row>
    <row r="190">
      <c r="A190" s="13">
        <v>45775.0</v>
      </c>
      <c r="B190" s="14" t="s">
        <v>27</v>
      </c>
      <c r="C190" s="15">
        <v>1693.0</v>
      </c>
      <c r="D190" s="15">
        <v>154.0</v>
      </c>
      <c r="E190" s="15">
        <v>445944.0</v>
      </c>
      <c r="F190" s="15">
        <v>5.69</v>
      </c>
      <c r="G190" s="15">
        <v>14216.0</v>
      </c>
    </row>
    <row r="191">
      <c r="A191" s="13">
        <v>45775.0</v>
      </c>
      <c r="B191" s="14" t="s">
        <v>33</v>
      </c>
      <c r="C191" s="15">
        <v>833.0</v>
      </c>
      <c r="D191" s="15">
        <v>380.0</v>
      </c>
      <c r="E191" s="15">
        <v>224830.0</v>
      </c>
      <c r="F191" s="15">
        <v>3.86</v>
      </c>
      <c r="G191" s="15">
        <v>3582.0</v>
      </c>
    </row>
    <row r="192">
      <c r="A192" s="13">
        <v>45775.0</v>
      </c>
      <c r="B192" s="14" t="s">
        <v>13</v>
      </c>
      <c r="C192" s="15">
        <v>1222.0</v>
      </c>
      <c r="D192" s="15">
        <v>274.0</v>
      </c>
      <c r="E192" s="15">
        <v>487289.0</v>
      </c>
      <c r="F192" s="15">
        <v>3.16</v>
      </c>
      <c r="G192" s="15">
        <v>32500.0</v>
      </c>
    </row>
    <row r="193">
      <c r="A193" s="13">
        <v>45775.0</v>
      </c>
      <c r="B193" s="14" t="s">
        <v>24</v>
      </c>
      <c r="C193" s="15">
        <v>777.0</v>
      </c>
      <c r="D193" s="15">
        <v>140.0</v>
      </c>
      <c r="E193" s="15">
        <v>11435.0</v>
      </c>
      <c r="F193" s="15">
        <v>1.6</v>
      </c>
      <c r="G193" s="15">
        <v>6832.0</v>
      </c>
    </row>
    <row r="194">
      <c r="A194" s="13">
        <v>45782.0</v>
      </c>
      <c r="B194" s="14" t="s">
        <v>27</v>
      </c>
      <c r="C194" s="15">
        <v>1957.0</v>
      </c>
      <c r="D194" s="15">
        <v>76.0</v>
      </c>
      <c r="E194" s="15">
        <v>447902.0</v>
      </c>
      <c r="F194" s="15">
        <v>6.09</v>
      </c>
      <c r="G194" s="15">
        <v>33381.0</v>
      </c>
    </row>
    <row r="195">
      <c r="A195" s="13">
        <v>45782.0</v>
      </c>
      <c r="B195" s="14" t="s">
        <v>33</v>
      </c>
      <c r="C195" s="15">
        <v>405.0</v>
      </c>
      <c r="D195" s="15">
        <v>66.0</v>
      </c>
      <c r="E195" s="15">
        <v>418696.0</v>
      </c>
      <c r="F195" s="15">
        <v>5.59</v>
      </c>
      <c r="G195" s="15">
        <v>48419.0</v>
      </c>
    </row>
    <row r="196">
      <c r="A196" s="13">
        <v>45782.0</v>
      </c>
      <c r="B196" s="14" t="s">
        <v>13</v>
      </c>
      <c r="C196" s="15">
        <v>1581.0</v>
      </c>
      <c r="D196" s="15">
        <v>71.0</v>
      </c>
      <c r="E196" s="15">
        <v>484364.0</v>
      </c>
      <c r="F196" s="15">
        <v>3.55</v>
      </c>
      <c r="G196" s="15">
        <v>16149.0</v>
      </c>
    </row>
    <row r="197">
      <c r="A197" s="13">
        <v>45782.0</v>
      </c>
      <c r="B197" s="14" t="s">
        <v>24</v>
      </c>
      <c r="C197" s="15">
        <v>1035.0</v>
      </c>
      <c r="D197" s="15">
        <v>171.0</v>
      </c>
      <c r="E197" s="15">
        <v>148477.0</v>
      </c>
      <c r="F197" s="15">
        <v>5.21</v>
      </c>
      <c r="G197" s="15">
        <v>7541.0</v>
      </c>
    </row>
    <row r="198">
      <c r="A198" s="13">
        <v>45789.0</v>
      </c>
      <c r="B198" s="14" t="s">
        <v>27</v>
      </c>
      <c r="C198" s="15">
        <v>1765.0</v>
      </c>
      <c r="D198" s="15">
        <v>109.0</v>
      </c>
      <c r="E198" s="15">
        <v>468301.0</v>
      </c>
      <c r="F198" s="15">
        <v>1.82</v>
      </c>
      <c r="G198" s="15">
        <v>20042.0</v>
      </c>
    </row>
    <row r="199">
      <c r="A199" s="13">
        <v>45789.0</v>
      </c>
      <c r="B199" s="14" t="s">
        <v>33</v>
      </c>
      <c r="C199" s="15">
        <v>837.0</v>
      </c>
      <c r="D199" s="15">
        <v>430.0</v>
      </c>
      <c r="E199" s="15">
        <v>364820.0</v>
      </c>
      <c r="F199" s="15">
        <v>4.0</v>
      </c>
      <c r="G199" s="15">
        <v>49400.0</v>
      </c>
    </row>
    <row r="200">
      <c r="A200" s="13">
        <v>45789.0</v>
      </c>
      <c r="B200" s="14" t="s">
        <v>13</v>
      </c>
      <c r="C200" s="15">
        <v>337.0</v>
      </c>
      <c r="D200" s="15">
        <v>68.0</v>
      </c>
      <c r="E200" s="15">
        <v>456298.0</v>
      </c>
      <c r="F200" s="15">
        <v>7.57</v>
      </c>
      <c r="G200" s="15">
        <v>4007.0</v>
      </c>
    </row>
    <row r="201">
      <c r="A201" s="13">
        <v>45789.0</v>
      </c>
      <c r="B201" s="14" t="s">
        <v>24</v>
      </c>
      <c r="C201" s="15">
        <v>119.0</v>
      </c>
      <c r="D201" s="15">
        <v>456.0</v>
      </c>
      <c r="E201" s="15">
        <v>82558.0</v>
      </c>
      <c r="F201" s="15">
        <v>6.81</v>
      </c>
      <c r="G201" s="15">
        <v>12174.0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0"/>
    <col customWidth="1" min="8" max="8" width="20.38"/>
  </cols>
  <sheetData>
    <row r="1">
      <c r="A1" s="1" t="s">
        <v>358</v>
      </c>
      <c r="B1" s="16" t="s">
        <v>359</v>
      </c>
      <c r="C1" s="3" t="s">
        <v>360</v>
      </c>
      <c r="D1" s="1" t="s">
        <v>361</v>
      </c>
      <c r="E1" s="2" t="s">
        <v>362</v>
      </c>
      <c r="F1" s="1" t="s">
        <v>363</v>
      </c>
      <c r="G1" s="12" t="s">
        <v>364</v>
      </c>
      <c r="H1" s="17"/>
    </row>
    <row r="2">
      <c r="A2" s="18" t="s">
        <v>365</v>
      </c>
      <c r="B2" s="19">
        <v>45458.0</v>
      </c>
      <c r="C2" s="20">
        <v>45488.0</v>
      </c>
      <c r="D2" s="18" t="s">
        <v>366</v>
      </c>
      <c r="E2" s="21">
        <v>150000.0</v>
      </c>
      <c r="F2" s="18" t="s">
        <v>367</v>
      </c>
      <c r="G2" s="22" t="s">
        <v>30</v>
      </c>
      <c r="H2" s="22" t="s">
        <v>21</v>
      </c>
    </row>
    <row r="3">
      <c r="A3" s="18" t="s">
        <v>368</v>
      </c>
      <c r="B3" s="19">
        <v>45566.0</v>
      </c>
      <c r="C3" s="20">
        <v>45596.0</v>
      </c>
      <c r="D3" s="18" t="s">
        <v>369</v>
      </c>
      <c r="E3" s="21">
        <v>200000.0</v>
      </c>
      <c r="F3" s="18" t="s">
        <v>370</v>
      </c>
      <c r="G3" s="22" t="s">
        <v>17</v>
      </c>
      <c r="H3" s="23" t="s">
        <v>371</v>
      </c>
    </row>
    <row r="4">
      <c r="A4" s="18" t="s">
        <v>372</v>
      </c>
      <c r="B4" s="19">
        <v>45651.0</v>
      </c>
      <c r="C4" s="20">
        <v>45667.0</v>
      </c>
      <c r="D4" s="18" t="s">
        <v>373</v>
      </c>
      <c r="E4" s="21">
        <v>250000.0</v>
      </c>
      <c r="F4" s="18" t="s">
        <v>374</v>
      </c>
      <c r="G4" s="22" t="s">
        <v>191</v>
      </c>
      <c r="H4" s="23"/>
    </row>
    <row r="5">
      <c r="A5" s="18" t="s">
        <v>375</v>
      </c>
      <c r="B5" s="19">
        <v>45717.0</v>
      </c>
      <c r="C5" s="20">
        <v>45747.0</v>
      </c>
      <c r="D5" s="18" t="s">
        <v>376</v>
      </c>
      <c r="E5" s="21">
        <v>180000.0</v>
      </c>
      <c r="F5" s="18" t="s">
        <v>377</v>
      </c>
      <c r="G5" s="22" t="s">
        <v>22</v>
      </c>
      <c r="H5" s="22" t="s">
        <v>16</v>
      </c>
    </row>
    <row r="21">
      <c r="I21" s="24" t="s">
        <v>378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2" t="s">
        <v>3</v>
      </c>
      <c r="E1" s="2" t="s">
        <v>4</v>
      </c>
      <c r="F1" s="1" t="s">
        <v>5</v>
      </c>
      <c r="G1" s="1" t="s">
        <v>6</v>
      </c>
      <c r="H1" s="2" t="s">
        <v>7</v>
      </c>
      <c r="I1" s="2" t="s">
        <v>8</v>
      </c>
      <c r="J1" s="1" t="s">
        <v>9</v>
      </c>
      <c r="K1" s="1" t="s">
        <v>10</v>
      </c>
      <c r="L1" s="11" t="s">
        <v>11</v>
      </c>
      <c r="M1" s="17"/>
      <c r="N1" s="17"/>
      <c r="O1" s="25" t="s">
        <v>379</v>
      </c>
    </row>
    <row r="2">
      <c r="A2" s="10" t="s">
        <v>271</v>
      </c>
      <c r="B2" s="10" t="s">
        <v>27</v>
      </c>
      <c r="C2" s="26">
        <v>45445.0</v>
      </c>
      <c r="D2" s="10" t="s">
        <v>28</v>
      </c>
      <c r="E2" s="10" t="s">
        <v>29</v>
      </c>
      <c r="F2" s="27">
        <v>84.0</v>
      </c>
      <c r="G2" s="27">
        <v>897.0</v>
      </c>
      <c r="H2" s="27">
        <v>85.0</v>
      </c>
      <c r="I2" s="27">
        <v>588.0</v>
      </c>
      <c r="J2" s="27">
        <v>8.0</v>
      </c>
      <c r="K2" s="27">
        <v>12.0</v>
      </c>
      <c r="L2" s="28" t="s">
        <v>30</v>
      </c>
      <c r="M2" s="10"/>
      <c r="N2" s="10"/>
      <c r="O2" s="29">
        <f t="shared" ref="O2:O10" si="1"> (F2 + G2 + H2) / I2</f>
        <v>1.81292517</v>
      </c>
    </row>
    <row r="3">
      <c r="A3" s="10" t="s">
        <v>106</v>
      </c>
      <c r="B3" s="10" t="s">
        <v>27</v>
      </c>
      <c r="C3" s="26">
        <v>45762.0</v>
      </c>
      <c r="D3" s="10" t="s">
        <v>14</v>
      </c>
      <c r="E3" s="10" t="s">
        <v>58</v>
      </c>
      <c r="F3" s="27">
        <v>103.0</v>
      </c>
      <c r="G3" s="27">
        <v>770.0</v>
      </c>
      <c r="H3" s="27">
        <v>19.0</v>
      </c>
      <c r="I3" s="27">
        <v>1030.0</v>
      </c>
      <c r="J3" s="27">
        <v>410.0</v>
      </c>
      <c r="K3" s="27">
        <v>262.0</v>
      </c>
      <c r="L3" s="28" t="s">
        <v>21</v>
      </c>
      <c r="M3" s="10"/>
      <c r="N3" s="10"/>
      <c r="O3" s="29">
        <f t="shared" si="1"/>
        <v>0.8660194175</v>
      </c>
    </row>
    <row r="4">
      <c r="A4" s="10" t="s">
        <v>283</v>
      </c>
      <c r="B4" s="10" t="s">
        <v>13</v>
      </c>
      <c r="C4" s="26">
        <v>45776.0</v>
      </c>
      <c r="D4" s="10" t="s">
        <v>28</v>
      </c>
      <c r="E4" s="10" t="s">
        <v>95</v>
      </c>
      <c r="F4" s="27">
        <v>249.0</v>
      </c>
      <c r="G4" s="27">
        <v>592.0</v>
      </c>
      <c r="H4" s="27">
        <v>230.0</v>
      </c>
      <c r="I4" s="27">
        <v>1494.0</v>
      </c>
      <c r="J4" s="27">
        <v>1044.0</v>
      </c>
      <c r="K4" s="27">
        <v>201.0</v>
      </c>
      <c r="L4" s="28" t="s">
        <v>30</v>
      </c>
      <c r="M4" s="10"/>
      <c r="N4" s="10"/>
      <c r="O4" s="29">
        <f t="shared" si="1"/>
        <v>0.7168674699</v>
      </c>
    </row>
    <row r="5">
      <c r="A5" s="10" t="s">
        <v>229</v>
      </c>
      <c r="B5" s="10" t="s">
        <v>27</v>
      </c>
      <c r="C5" s="26">
        <v>45603.0</v>
      </c>
      <c r="D5" s="10" t="s">
        <v>53</v>
      </c>
      <c r="E5" s="10" t="s">
        <v>60</v>
      </c>
      <c r="F5" s="27">
        <v>129.0</v>
      </c>
      <c r="G5" s="27">
        <v>643.0</v>
      </c>
      <c r="H5" s="27">
        <v>136.0</v>
      </c>
      <c r="I5" s="27">
        <v>1290.0</v>
      </c>
      <c r="J5" s="27">
        <v>839.0</v>
      </c>
      <c r="K5" s="27">
        <v>238.0</v>
      </c>
      <c r="L5" s="28" t="s">
        <v>21</v>
      </c>
      <c r="M5" s="10"/>
      <c r="N5" s="10"/>
      <c r="O5" s="29">
        <f t="shared" si="1"/>
        <v>0.703875969</v>
      </c>
    </row>
    <row r="6">
      <c r="A6" s="10" t="s">
        <v>226</v>
      </c>
      <c r="B6" s="10" t="s">
        <v>27</v>
      </c>
      <c r="C6" s="26">
        <v>45674.0</v>
      </c>
      <c r="D6" s="10" t="s">
        <v>14</v>
      </c>
      <c r="E6" s="10" t="s">
        <v>58</v>
      </c>
      <c r="F6" s="27">
        <v>142.0</v>
      </c>
      <c r="G6" s="27">
        <v>784.0</v>
      </c>
      <c r="H6" s="27">
        <v>183.0</v>
      </c>
      <c r="I6" s="27">
        <v>1704.0</v>
      </c>
      <c r="J6" s="27">
        <v>995.0</v>
      </c>
      <c r="K6" s="27">
        <v>154.0</v>
      </c>
      <c r="L6" s="28" t="s">
        <v>16</v>
      </c>
      <c r="M6" s="10"/>
      <c r="N6" s="10"/>
      <c r="O6" s="29">
        <f t="shared" si="1"/>
        <v>0.6508215962</v>
      </c>
    </row>
    <row r="7">
      <c r="A7" s="10" t="s">
        <v>110</v>
      </c>
      <c r="B7" s="10" t="s">
        <v>13</v>
      </c>
      <c r="C7" s="26">
        <v>45618.0</v>
      </c>
      <c r="D7" s="10" t="s">
        <v>34</v>
      </c>
      <c r="E7" s="10" t="s">
        <v>37</v>
      </c>
      <c r="F7" s="27">
        <v>53.0</v>
      </c>
      <c r="G7" s="27">
        <v>81.0</v>
      </c>
      <c r="H7" s="27">
        <v>379.0</v>
      </c>
      <c r="I7" s="27">
        <v>954.0</v>
      </c>
      <c r="J7" s="27">
        <v>7.0</v>
      </c>
      <c r="K7" s="27">
        <v>148.0</v>
      </c>
      <c r="L7" s="28" t="s">
        <v>21</v>
      </c>
      <c r="M7" s="10"/>
      <c r="N7" s="10"/>
      <c r="O7" s="29">
        <f t="shared" si="1"/>
        <v>0.5377358491</v>
      </c>
    </row>
    <row r="8">
      <c r="A8" s="10" t="s">
        <v>315</v>
      </c>
      <c r="B8" s="10" t="s">
        <v>13</v>
      </c>
      <c r="C8" s="26">
        <v>45687.0</v>
      </c>
      <c r="D8" s="10" t="s">
        <v>39</v>
      </c>
      <c r="E8" s="10" t="s">
        <v>85</v>
      </c>
      <c r="F8" s="27">
        <v>59.0</v>
      </c>
      <c r="G8" s="27">
        <v>163.0</v>
      </c>
      <c r="H8" s="27">
        <v>93.0</v>
      </c>
      <c r="I8" s="27">
        <v>590.0</v>
      </c>
      <c r="J8" s="27">
        <v>475.0</v>
      </c>
      <c r="K8" s="27">
        <v>293.0</v>
      </c>
      <c r="L8" s="28" t="s">
        <v>21</v>
      </c>
      <c r="M8" s="10"/>
      <c r="N8" s="10"/>
      <c r="O8" s="29">
        <f t="shared" si="1"/>
        <v>0.5338983051</v>
      </c>
    </row>
    <row r="9">
      <c r="A9" s="10" t="s">
        <v>194</v>
      </c>
      <c r="B9" s="10" t="s">
        <v>24</v>
      </c>
      <c r="C9" s="26">
        <v>45567.0</v>
      </c>
      <c r="D9" s="10" t="s">
        <v>34</v>
      </c>
      <c r="E9" s="10" t="s">
        <v>49</v>
      </c>
      <c r="F9" s="27">
        <v>80.0</v>
      </c>
      <c r="G9" s="27">
        <v>362.0</v>
      </c>
      <c r="H9" s="27">
        <v>80.0</v>
      </c>
      <c r="I9" s="27">
        <v>1040.0</v>
      </c>
      <c r="J9" s="27">
        <v>349.0</v>
      </c>
      <c r="K9" s="27">
        <v>117.0</v>
      </c>
      <c r="L9" s="28" t="s">
        <v>21</v>
      </c>
      <c r="M9" s="10"/>
      <c r="N9" s="10"/>
      <c r="O9" s="29">
        <f t="shared" si="1"/>
        <v>0.5019230769</v>
      </c>
    </row>
    <row r="10">
      <c r="A10" s="10" t="s">
        <v>261</v>
      </c>
      <c r="B10" s="10" t="s">
        <v>24</v>
      </c>
      <c r="C10" s="26">
        <v>45707.0</v>
      </c>
      <c r="D10" s="10" t="s">
        <v>39</v>
      </c>
      <c r="E10" s="10" t="s">
        <v>40</v>
      </c>
      <c r="F10" s="27">
        <v>257.0</v>
      </c>
      <c r="G10" s="27">
        <v>966.0</v>
      </c>
      <c r="H10" s="27">
        <v>398.0</v>
      </c>
      <c r="I10" s="27">
        <v>3341.0</v>
      </c>
      <c r="J10" s="27">
        <v>2753.0</v>
      </c>
      <c r="K10" s="27">
        <v>287.0</v>
      </c>
      <c r="L10" s="28" t="s">
        <v>16</v>
      </c>
      <c r="M10" s="10"/>
      <c r="N10" s="10"/>
      <c r="O10" s="29">
        <f t="shared" si="1"/>
        <v>0.4851840766</v>
      </c>
    </row>
    <row r="11">
      <c r="A11" s="10" t="s">
        <v>118</v>
      </c>
      <c r="B11" s="10" t="s">
        <v>33</v>
      </c>
      <c r="C11" s="26">
        <v>45749.0</v>
      </c>
      <c r="D11" s="10" t="s">
        <v>53</v>
      </c>
      <c r="E11" s="10" t="s">
        <v>54</v>
      </c>
      <c r="F11" s="27">
        <v>199.0</v>
      </c>
      <c r="G11" s="27">
        <v>772.0</v>
      </c>
      <c r="H11" s="27">
        <v>400.0</v>
      </c>
      <c r="I11" s="27">
        <v>3582.0</v>
      </c>
      <c r="J11" s="27">
        <v>2988.0</v>
      </c>
      <c r="K11" s="27">
        <v>43.0</v>
      </c>
      <c r="L11" s="28" t="s">
        <v>21</v>
      </c>
      <c r="M11" s="10"/>
      <c r="N11" s="10"/>
      <c r="O11" s="10"/>
    </row>
    <row r="12">
      <c r="A12" s="10" t="s">
        <v>265</v>
      </c>
      <c r="B12" s="10" t="s">
        <v>27</v>
      </c>
      <c r="C12" s="26">
        <v>45649.0</v>
      </c>
      <c r="D12" s="10" t="s">
        <v>39</v>
      </c>
      <c r="E12" s="10" t="s">
        <v>131</v>
      </c>
      <c r="F12" s="27">
        <v>521.0</v>
      </c>
      <c r="G12" s="27">
        <v>746.0</v>
      </c>
      <c r="H12" s="27">
        <v>315.0</v>
      </c>
      <c r="I12" s="27">
        <v>4168.0</v>
      </c>
      <c r="J12" s="27">
        <v>3399.0</v>
      </c>
      <c r="K12" s="27">
        <v>282.0</v>
      </c>
      <c r="L12" s="28" t="s">
        <v>16</v>
      </c>
      <c r="M12" s="10"/>
      <c r="N12" s="10"/>
      <c r="O12" s="29">
        <f t="shared" ref="O12:O301" si="2"> (F12 + G12 + H12) / I12</f>
        <v>0.3795585413</v>
      </c>
    </row>
    <row r="13">
      <c r="A13" s="10" t="s">
        <v>101</v>
      </c>
      <c r="B13" s="10" t="s">
        <v>24</v>
      </c>
      <c r="C13" s="26">
        <v>45712.0</v>
      </c>
      <c r="D13" s="10" t="s">
        <v>34</v>
      </c>
      <c r="E13" s="10" t="s">
        <v>49</v>
      </c>
      <c r="F13" s="27">
        <v>804.0</v>
      </c>
      <c r="G13" s="27">
        <v>639.0</v>
      </c>
      <c r="H13" s="27">
        <v>43.0</v>
      </c>
      <c r="I13" s="27">
        <v>4020.0</v>
      </c>
      <c r="J13" s="27">
        <v>3144.0</v>
      </c>
      <c r="K13" s="27">
        <v>11.0</v>
      </c>
      <c r="L13" s="28" t="s">
        <v>30</v>
      </c>
      <c r="M13" s="28" t="s">
        <v>22</v>
      </c>
      <c r="N13" s="10"/>
      <c r="O13" s="29">
        <f t="shared" si="2"/>
        <v>0.3696517413</v>
      </c>
    </row>
    <row r="14">
      <c r="A14" s="10" t="s">
        <v>152</v>
      </c>
      <c r="B14" s="10" t="s">
        <v>13</v>
      </c>
      <c r="C14" s="26">
        <v>45553.0</v>
      </c>
      <c r="D14" s="10" t="s">
        <v>14</v>
      </c>
      <c r="E14" s="10" t="s">
        <v>15</v>
      </c>
      <c r="F14" s="27">
        <v>1000.0</v>
      </c>
      <c r="G14" s="27">
        <v>978.0</v>
      </c>
      <c r="H14" s="27">
        <v>162.0</v>
      </c>
      <c r="I14" s="27">
        <v>6000.0</v>
      </c>
      <c r="J14" s="27">
        <v>5221.0</v>
      </c>
      <c r="K14" s="27">
        <v>223.0</v>
      </c>
      <c r="L14" s="28" t="s">
        <v>30</v>
      </c>
      <c r="M14" s="10"/>
      <c r="N14" s="10"/>
      <c r="O14" s="29">
        <f t="shared" si="2"/>
        <v>0.3566666667</v>
      </c>
    </row>
    <row r="15">
      <c r="A15" s="10" t="s">
        <v>174</v>
      </c>
      <c r="B15" s="10" t="s">
        <v>24</v>
      </c>
      <c r="C15" s="26">
        <v>45753.0</v>
      </c>
      <c r="D15" s="10" t="s">
        <v>34</v>
      </c>
      <c r="E15" s="10" t="s">
        <v>49</v>
      </c>
      <c r="F15" s="27">
        <v>736.0</v>
      </c>
      <c r="G15" s="27">
        <v>771.0</v>
      </c>
      <c r="H15" s="27">
        <v>225.0</v>
      </c>
      <c r="I15" s="27">
        <v>5152.0</v>
      </c>
      <c r="J15" s="27">
        <v>4706.0</v>
      </c>
      <c r="K15" s="27">
        <v>19.0</v>
      </c>
      <c r="L15" s="28" t="s">
        <v>30</v>
      </c>
      <c r="M15" s="10"/>
      <c r="N15" s="10"/>
      <c r="O15" s="29">
        <f t="shared" si="2"/>
        <v>0.3361801242</v>
      </c>
    </row>
    <row r="16">
      <c r="A16" s="10" t="s">
        <v>171</v>
      </c>
      <c r="B16" s="10" t="s">
        <v>27</v>
      </c>
      <c r="C16" s="26">
        <v>45502.0</v>
      </c>
      <c r="D16" s="10" t="s">
        <v>28</v>
      </c>
      <c r="E16" s="10" t="s">
        <v>29</v>
      </c>
      <c r="F16" s="27">
        <v>498.0</v>
      </c>
      <c r="G16" s="27">
        <v>701.0</v>
      </c>
      <c r="H16" s="27">
        <v>412.0</v>
      </c>
      <c r="I16" s="27">
        <v>4980.0</v>
      </c>
      <c r="J16" s="27">
        <v>4185.0</v>
      </c>
      <c r="K16" s="27">
        <v>185.0</v>
      </c>
      <c r="L16" s="28" t="s">
        <v>16</v>
      </c>
      <c r="M16" s="10"/>
      <c r="N16" s="10"/>
      <c r="O16" s="29">
        <f t="shared" si="2"/>
        <v>0.3234939759</v>
      </c>
    </row>
    <row r="17">
      <c r="A17" s="10" t="s">
        <v>275</v>
      </c>
      <c r="B17" s="10" t="s">
        <v>33</v>
      </c>
      <c r="C17" s="26">
        <v>45790.0</v>
      </c>
      <c r="D17" s="10" t="s">
        <v>39</v>
      </c>
      <c r="E17" s="10" t="s">
        <v>44</v>
      </c>
      <c r="F17" s="27">
        <v>602.0</v>
      </c>
      <c r="G17" s="27">
        <v>594.0</v>
      </c>
      <c r="H17" s="27">
        <v>156.0</v>
      </c>
      <c r="I17" s="27">
        <v>4214.0</v>
      </c>
      <c r="J17" s="27">
        <v>3363.0</v>
      </c>
      <c r="K17" s="27">
        <v>164.0</v>
      </c>
      <c r="L17" s="28" t="s">
        <v>21</v>
      </c>
      <c r="M17" s="10"/>
      <c r="N17" s="10"/>
      <c r="O17" s="29">
        <f t="shared" si="2"/>
        <v>0.3208353109</v>
      </c>
    </row>
    <row r="18">
      <c r="A18" s="10" t="s">
        <v>205</v>
      </c>
      <c r="B18" s="10" t="s">
        <v>27</v>
      </c>
      <c r="C18" s="26">
        <v>45574.0</v>
      </c>
      <c r="D18" s="10" t="s">
        <v>34</v>
      </c>
      <c r="E18" s="10" t="s">
        <v>62</v>
      </c>
      <c r="F18" s="27">
        <v>985.0</v>
      </c>
      <c r="G18" s="27">
        <v>932.0</v>
      </c>
      <c r="H18" s="27">
        <v>287.0</v>
      </c>
      <c r="I18" s="27">
        <v>6895.0</v>
      </c>
      <c r="J18" s="27">
        <v>6757.0</v>
      </c>
      <c r="K18" s="27">
        <v>64.0</v>
      </c>
      <c r="L18" s="28" t="s">
        <v>16</v>
      </c>
      <c r="M18" s="10"/>
      <c r="N18" s="10"/>
      <c r="O18" s="29">
        <f t="shared" si="2"/>
        <v>0.3196519217</v>
      </c>
    </row>
    <row r="19">
      <c r="A19" s="10" t="s">
        <v>169</v>
      </c>
      <c r="B19" s="10" t="s">
        <v>27</v>
      </c>
      <c r="C19" s="26">
        <v>45695.0</v>
      </c>
      <c r="D19" s="10" t="s">
        <v>14</v>
      </c>
      <c r="E19" s="10" t="s">
        <v>58</v>
      </c>
      <c r="F19" s="27">
        <v>1970.0</v>
      </c>
      <c r="G19" s="27">
        <v>675.0</v>
      </c>
      <c r="H19" s="27">
        <v>478.0</v>
      </c>
      <c r="I19" s="27">
        <v>9850.0</v>
      </c>
      <c r="J19" s="27">
        <v>8924.0</v>
      </c>
      <c r="K19" s="27">
        <v>117.0</v>
      </c>
      <c r="L19" s="28" t="s">
        <v>16</v>
      </c>
      <c r="M19" s="10"/>
      <c r="N19" s="10"/>
      <c r="O19" s="29">
        <f t="shared" si="2"/>
        <v>0.3170558376</v>
      </c>
    </row>
    <row r="20">
      <c r="A20" s="10" t="s">
        <v>338</v>
      </c>
      <c r="B20" s="10" t="s">
        <v>27</v>
      </c>
      <c r="C20" s="26">
        <v>45519.0</v>
      </c>
      <c r="D20" s="10" t="s">
        <v>14</v>
      </c>
      <c r="E20" s="10" t="s">
        <v>58</v>
      </c>
      <c r="F20" s="27">
        <v>1164.0</v>
      </c>
      <c r="G20" s="27">
        <v>616.0</v>
      </c>
      <c r="H20" s="27">
        <v>324.0</v>
      </c>
      <c r="I20" s="27">
        <v>6984.0</v>
      </c>
      <c r="J20" s="27">
        <v>6636.0</v>
      </c>
      <c r="K20" s="27">
        <v>82.0</v>
      </c>
      <c r="L20" s="28" t="s">
        <v>30</v>
      </c>
      <c r="M20" s="10"/>
      <c r="N20" s="10"/>
      <c r="O20" s="29">
        <f t="shared" si="2"/>
        <v>0.3012600229</v>
      </c>
    </row>
    <row r="21">
      <c r="A21" s="10" t="s">
        <v>255</v>
      </c>
      <c r="B21" s="10" t="s">
        <v>27</v>
      </c>
      <c r="C21" s="26">
        <v>45658.0</v>
      </c>
      <c r="D21" s="10" t="s">
        <v>34</v>
      </c>
      <c r="E21" s="10" t="s">
        <v>62</v>
      </c>
      <c r="F21" s="27">
        <v>2234.0</v>
      </c>
      <c r="G21" s="27">
        <v>653.0</v>
      </c>
      <c r="H21" s="27">
        <v>432.0</v>
      </c>
      <c r="I21" s="27">
        <v>11170.0</v>
      </c>
      <c r="J21" s="27">
        <v>10569.0</v>
      </c>
      <c r="K21" s="27">
        <v>198.0</v>
      </c>
      <c r="L21" s="28" t="s">
        <v>16</v>
      </c>
      <c r="M21" s="10"/>
      <c r="N21" s="10"/>
      <c r="O21" s="29">
        <f t="shared" si="2"/>
        <v>0.2971351835</v>
      </c>
    </row>
    <row r="22">
      <c r="A22" s="10" t="s">
        <v>114</v>
      </c>
      <c r="B22" s="10" t="s">
        <v>13</v>
      </c>
      <c r="C22" s="26">
        <v>45499.0</v>
      </c>
      <c r="D22" s="10" t="s">
        <v>34</v>
      </c>
      <c r="E22" s="10" t="s">
        <v>37</v>
      </c>
      <c r="F22" s="27">
        <v>432.0</v>
      </c>
      <c r="G22" s="27">
        <v>171.0</v>
      </c>
      <c r="H22" s="27">
        <v>280.0</v>
      </c>
      <c r="I22" s="27">
        <v>3024.0</v>
      </c>
      <c r="J22" s="27">
        <v>2285.0</v>
      </c>
      <c r="K22" s="27">
        <v>184.0</v>
      </c>
      <c r="L22" s="28" t="s">
        <v>30</v>
      </c>
      <c r="M22" s="10"/>
      <c r="N22" s="10"/>
      <c r="O22" s="29">
        <f t="shared" si="2"/>
        <v>0.2919973545</v>
      </c>
    </row>
    <row r="23">
      <c r="A23" s="10" t="s">
        <v>234</v>
      </c>
      <c r="B23" s="10" t="s">
        <v>27</v>
      </c>
      <c r="C23" s="26">
        <v>45643.0</v>
      </c>
      <c r="D23" s="10" t="s">
        <v>28</v>
      </c>
      <c r="E23" s="10" t="s">
        <v>29</v>
      </c>
      <c r="F23" s="27">
        <v>360.0</v>
      </c>
      <c r="G23" s="27">
        <v>590.0</v>
      </c>
      <c r="H23" s="27">
        <v>393.0</v>
      </c>
      <c r="I23" s="27">
        <v>4680.0</v>
      </c>
      <c r="J23" s="27">
        <v>4322.0</v>
      </c>
      <c r="K23" s="27">
        <v>208.0</v>
      </c>
      <c r="L23" s="28" t="s">
        <v>16</v>
      </c>
      <c r="M23" s="10"/>
      <c r="N23" s="10"/>
      <c r="O23" s="29">
        <f t="shared" si="2"/>
        <v>0.286965812</v>
      </c>
    </row>
    <row r="24">
      <c r="A24" s="10" t="s">
        <v>74</v>
      </c>
      <c r="B24" s="10" t="s">
        <v>27</v>
      </c>
      <c r="C24" s="26">
        <v>45642.0</v>
      </c>
      <c r="D24" s="10" t="s">
        <v>19</v>
      </c>
      <c r="E24" s="10" t="s">
        <v>75</v>
      </c>
      <c r="F24" s="27">
        <v>438.0</v>
      </c>
      <c r="G24" s="27">
        <v>153.0</v>
      </c>
      <c r="H24" s="27">
        <v>275.0</v>
      </c>
      <c r="I24" s="27">
        <v>3066.0</v>
      </c>
      <c r="J24" s="27">
        <v>2701.0</v>
      </c>
      <c r="K24" s="27">
        <v>282.0</v>
      </c>
      <c r="L24" s="28" t="s">
        <v>21</v>
      </c>
      <c r="M24" s="10"/>
      <c r="N24" s="10"/>
      <c r="O24" s="29">
        <f t="shared" si="2"/>
        <v>0.2824527071</v>
      </c>
    </row>
    <row r="25">
      <c r="A25" s="10" t="s">
        <v>143</v>
      </c>
      <c r="B25" s="10" t="s">
        <v>27</v>
      </c>
      <c r="C25" s="26">
        <v>45637.0</v>
      </c>
      <c r="D25" s="10" t="s">
        <v>53</v>
      </c>
      <c r="E25" s="10" t="s">
        <v>60</v>
      </c>
      <c r="F25" s="27">
        <v>1431.0</v>
      </c>
      <c r="G25" s="27">
        <v>951.0</v>
      </c>
      <c r="H25" s="27">
        <v>26.0</v>
      </c>
      <c r="I25" s="27">
        <v>8586.0</v>
      </c>
      <c r="J25" s="27">
        <v>8396.0</v>
      </c>
      <c r="K25" s="27">
        <v>150.0</v>
      </c>
      <c r="L25" s="28" t="s">
        <v>30</v>
      </c>
      <c r="M25" s="10"/>
      <c r="N25" s="10"/>
      <c r="O25" s="29">
        <f t="shared" si="2"/>
        <v>0.2804565572</v>
      </c>
    </row>
    <row r="26">
      <c r="A26" s="10" t="s">
        <v>314</v>
      </c>
      <c r="B26" s="10" t="s">
        <v>27</v>
      </c>
      <c r="C26" s="26">
        <v>45524.0</v>
      </c>
      <c r="D26" s="10" t="s">
        <v>14</v>
      </c>
      <c r="E26" s="10" t="s">
        <v>58</v>
      </c>
      <c r="F26" s="27">
        <v>2603.0</v>
      </c>
      <c r="G26" s="27">
        <v>690.0</v>
      </c>
      <c r="H26" s="27">
        <v>205.0</v>
      </c>
      <c r="I26" s="27">
        <v>13015.0</v>
      </c>
      <c r="J26" s="27">
        <v>12130.0</v>
      </c>
      <c r="K26" s="27">
        <v>20.0</v>
      </c>
      <c r="L26" s="28" t="s">
        <v>16</v>
      </c>
      <c r="M26" s="10"/>
      <c r="N26" s="10"/>
      <c r="O26" s="29">
        <f t="shared" si="2"/>
        <v>0.2687668075</v>
      </c>
    </row>
    <row r="27">
      <c r="A27" s="10" t="s">
        <v>299</v>
      </c>
      <c r="B27" s="10" t="s">
        <v>33</v>
      </c>
      <c r="C27" s="26">
        <v>45690.0</v>
      </c>
      <c r="D27" s="10" t="s">
        <v>28</v>
      </c>
      <c r="E27" s="10" t="s">
        <v>51</v>
      </c>
      <c r="F27" s="27">
        <v>886.0</v>
      </c>
      <c r="G27" s="27">
        <v>126.0</v>
      </c>
      <c r="H27" s="27">
        <v>153.0</v>
      </c>
      <c r="I27" s="27">
        <v>4430.0</v>
      </c>
      <c r="J27" s="27">
        <v>4037.0</v>
      </c>
      <c r="K27" s="27">
        <v>212.0</v>
      </c>
      <c r="L27" s="28" t="s">
        <v>30</v>
      </c>
      <c r="M27" s="10"/>
      <c r="N27" s="10"/>
      <c r="O27" s="29">
        <f t="shared" si="2"/>
        <v>0.262979684</v>
      </c>
    </row>
    <row r="28">
      <c r="A28" s="10" t="s">
        <v>295</v>
      </c>
      <c r="B28" s="10" t="s">
        <v>24</v>
      </c>
      <c r="C28" s="26">
        <v>45590.0</v>
      </c>
      <c r="D28" s="10" t="s">
        <v>53</v>
      </c>
      <c r="E28" s="10" t="s">
        <v>133</v>
      </c>
      <c r="F28" s="27">
        <v>4661.0</v>
      </c>
      <c r="G28" s="27">
        <v>935.0</v>
      </c>
      <c r="H28" s="27">
        <v>433.0</v>
      </c>
      <c r="I28" s="27">
        <v>23305.0</v>
      </c>
      <c r="J28" s="27">
        <v>22583.0</v>
      </c>
      <c r="K28" s="27">
        <v>63.0</v>
      </c>
      <c r="L28" s="28" t="s">
        <v>16</v>
      </c>
      <c r="M28" s="10"/>
      <c r="N28" s="10"/>
      <c r="O28" s="29">
        <f t="shared" si="2"/>
        <v>0.2586998498</v>
      </c>
    </row>
    <row r="29">
      <c r="A29" s="10" t="s">
        <v>310</v>
      </c>
      <c r="B29" s="10" t="s">
        <v>33</v>
      </c>
      <c r="C29" s="26">
        <v>45698.0</v>
      </c>
      <c r="D29" s="10" t="s">
        <v>19</v>
      </c>
      <c r="E29" s="10" t="s">
        <v>42</v>
      </c>
      <c r="F29" s="27">
        <v>562.0</v>
      </c>
      <c r="G29" s="27">
        <v>158.0</v>
      </c>
      <c r="H29" s="27">
        <v>149.0</v>
      </c>
      <c r="I29" s="27">
        <v>3372.0</v>
      </c>
      <c r="J29" s="27">
        <v>2940.0</v>
      </c>
      <c r="K29" s="27">
        <v>93.0</v>
      </c>
      <c r="L29" s="28" t="s">
        <v>21</v>
      </c>
      <c r="M29" s="10"/>
      <c r="N29" s="10"/>
      <c r="O29" s="29">
        <f t="shared" si="2"/>
        <v>0.2577105575</v>
      </c>
    </row>
    <row r="30">
      <c r="A30" s="10" t="s">
        <v>270</v>
      </c>
      <c r="B30" s="10" t="s">
        <v>13</v>
      </c>
      <c r="C30" s="26">
        <v>45685.0</v>
      </c>
      <c r="D30" s="10" t="s">
        <v>14</v>
      </c>
      <c r="E30" s="10" t="s">
        <v>15</v>
      </c>
      <c r="F30" s="27">
        <v>1188.0</v>
      </c>
      <c r="G30" s="27">
        <v>470.0</v>
      </c>
      <c r="H30" s="27">
        <v>174.0</v>
      </c>
      <c r="I30" s="27">
        <v>7128.0</v>
      </c>
      <c r="J30" s="27">
        <v>6145.0</v>
      </c>
      <c r="K30" s="27">
        <v>270.0</v>
      </c>
      <c r="L30" s="28" t="s">
        <v>21</v>
      </c>
      <c r="M30" s="10"/>
      <c r="N30" s="10"/>
      <c r="O30" s="29">
        <f t="shared" si="2"/>
        <v>0.2570145903</v>
      </c>
    </row>
    <row r="31">
      <c r="A31" s="10" t="s">
        <v>277</v>
      </c>
      <c r="B31" s="10" t="s">
        <v>27</v>
      </c>
      <c r="C31" s="26">
        <v>45511.0</v>
      </c>
      <c r="D31" s="10" t="s">
        <v>34</v>
      </c>
      <c r="E31" s="10" t="s">
        <v>62</v>
      </c>
      <c r="F31" s="27">
        <v>1741.0</v>
      </c>
      <c r="G31" s="27">
        <v>164.0</v>
      </c>
      <c r="H31" s="27">
        <v>318.0</v>
      </c>
      <c r="I31" s="27">
        <v>8705.0</v>
      </c>
      <c r="J31" s="27">
        <v>8272.0</v>
      </c>
      <c r="K31" s="27">
        <v>121.0</v>
      </c>
      <c r="L31" s="28" t="s">
        <v>21</v>
      </c>
      <c r="M31" s="10"/>
      <c r="N31" s="10"/>
      <c r="O31" s="29">
        <f t="shared" si="2"/>
        <v>0.2553704767</v>
      </c>
    </row>
    <row r="32">
      <c r="A32" s="10" t="s">
        <v>316</v>
      </c>
      <c r="B32" s="10" t="s">
        <v>13</v>
      </c>
      <c r="C32" s="26">
        <v>45708.0</v>
      </c>
      <c r="D32" s="10" t="s">
        <v>34</v>
      </c>
      <c r="E32" s="10" t="s">
        <v>37</v>
      </c>
      <c r="F32" s="27">
        <v>1877.0</v>
      </c>
      <c r="G32" s="27">
        <v>745.0</v>
      </c>
      <c r="H32" s="27">
        <v>225.0</v>
      </c>
      <c r="I32" s="27">
        <v>11262.0</v>
      </c>
      <c r="J32" s="27">
        <v>10967.0</v>
      </c>
      <c r="K32" s="27">
        <v>41.0</v>
      </c>
      <c r="L32" s="28" t="s">
        <v>30</v>
      </c>
      <c r="M32" s="10"/>
      <c r="N32" s="10"/>
      <c r="O32" s="29">
        <f t="shared" si="2"/>
        <v>0.2527970165</v>
      </c>
    </row>
    <row r="33">
      <c r="A33" s="10" t="s">
        <v>290</v>
      </c>
      <c r="B33" s="10" t="s">
        <v>24</v>
      </c>
      <c r="C33" s="26">
        <v>45712.0</v>
      </c>
      <c r="D33" s="10" t="s">
        <v>19</v>
      </c>
      <c r="E33" s="10" t="s">
        <v>70</v>
      </c>
      <c r="F33" s="27">
        <v>4188.0</v>
      </c>
      <c r="G33" s="27">
        <v>942.0</v>
      </c>
      <c r="H33" s="27">
        <v>118.0</v>
      </c>
      <c r="I33" s="27">
        <v>20940.0</v>
      </c>
      <c r="J33" s="27">
        <v>20471.0</v>
      </c>
      <c r="K33" s="27">
        <v>102.0</v>
      </c>
      <c r="L33" s="28" t="s">
        <v>16</v>
      </c>
      <c r="M33" s="10"/>
      <c r="N33" s="10"/>
      <c r="O33" s="29">
        <f t="shared" si="2"/>
        <v>0.2506208214</v>
      </c>
    </row>
    <row r="34">
      <c r="A34" s="10" t="s">
        <v>328</v>
      </c>
      <c r="B34" s="10" t="s">
        <v>33</v>
      </c>
      <c r="C34" s="26">
        <v>45753.0</v>
      </c>
      <c r="D34" s="10" t="s">
        <v>39</v>
      </c>
      <c r="E34" s="10" t="s">
        <v>44</v>
      </c>
      <c r="F34" s="27">
        <v>4236.0</v>
      </c>
      <c r="G34" s="27">
        <v>711.0</v>
      </c>
      <c r="H34" s="27">
        <v>298.0</v>
      </c>
      <c r="I34" s="27">
        <v>21180.0</v>
      </c>
      <c r="J34" s="27">
        <v>20516.0</v>
      </c>
      <c r="K34" s="27">
        <v>238.0</v>
      </c>
      <c r="L34" s="28" t="s">
        <v>16</v>
      </c>
      <c r="M34" s="10"/>
      <c r="N34" s="10"/>
      <c r="O34" s="29">
        <f t="shared" si="2"/>
        <v>0.2476392823</v>
      </c>
    </row>
    <row r="35">
      <c r="A35" s="10" t="s">
        <v>348</v>
      </c>
      <c r="B35" s="10" t="s">
        <v>13</v>
      </c>
      <c r="C35" s="26">
        <v>45650.0</v>
      </c>
      <c r="D35" s="10" t="s">
        <v>19</v>
      </c>
      <c r="E35" s="10" t="s">
        <v>20</v>
      </c>
      <c r="F35" s="27">
        <v>2166.0</v>
      </c>
      <c r="G35" s="27">
        <v>354.0</v>
      </c>
      <c r="H35" s="27">
        <v>117.0</v>
      </c>
      <c r="I35" s="27">
        <v>10830.0</v>
      </c>
      <c r="J35" s="27">
        <v>10245.0</v>
      </c>
      <c r="K35" s="27">
        <v>24.0</v>
      </c>
      <c r="L35" s="28" t="s">
        <v>30</v>
      </c>
      <c r="M35" s="10"/>
      <c r="N35" s="10"/>
      <c r="O35" s="29">
        <f t="shared" si="2"/>
        <v>0.2434903047</v>
      </c>
    </row>
    <row r="36">
      <c r="A36" s="10" t="s">
        <v>232</v>
      </c>
      <c r="B36" s="10" t="s">
        <v>24</v>
      </c>
      <c r="C36" s="26">
        <v>45737.0</v>
      </c>
      <c r="D36" s="10" t="s">
        <v>39</v>
      </c>
      <c r="E36" s="10" t="s">
        <v>40</v>
      </c>
      <c r="F36" s="27">
        <v>606.0</v>
      </c>
      <c r="G36" s="27">
        <v>789.0</v>
      </c>
      <c r="H36" s="27">
        <v>470.0</v>
      </c>
      <c r="I36" s="27">
        <v>7878.0</v>
      </c>
      <c r="J36" s="27">
        <v>7389.0</v>
      </c>
      <c r="K36" s="27">
        <v>239.0</v>
      </c>
      <c r="L36" s="28" t="s">
        <v>30</v>
      </c>
      <c r="M36" s="10"/>
      <c r="N36" s="10"/>
      <c r="O36" s="29">
        <f t="shared" si="2"/>
        <v>0.236735212</v>
      </c>
    </row>
    <row r="37">
      <c r="A37" s="10" t="s">
        <v>297</v>
      </c>
      <c r="B37" s="10" t="s">
        <v>33</v>
      </c>
      <c r="C37" s="26">
        <v>45576.0</v>
      </c>
      <c r="D37" s="10" t="s">
        <v>39</v>
      </c>
      <c r="E37" s="10" t="s">
        <v>44</v>
      </c>
      <c r="F37" s="27">
        <v>400.0</v>
      </c>
      <c r="G37" s="27">
        <v>680.0</v>
      </c>
      <c r="H37" s="27">
        <v>434.0</v>
      </c>
      <c r="I37" s="27">
        <v>6400.0</v>
      </c>
      <c r="J37" s="27">
        <v>5472.0</v>
      </c>
      <c r="K37" s="27">
        <v>160.0</v>
      </c>
      <c r="L37" s="28" t="s">
        <v>16</v>
      </c>
      <c r="M37" s="10"/>
      <c r="N37" s="10"/>
      <c r="O37" s="29">
        <f t="shared" si="2"/>
        <v>0.2365625</v>
      </c>
    </row>
    <row r="38">
      <c r="A38" s="10" t="s">
        <v>173</v>
      </c>
      <c r="B38" s="10" t="s">
        <v>27</v>
      </c>
      <c r="C38" s="26">
        <v>45457.0</v>
      </c>
      <c r="D38" s="10" t="s">
        <v>28</v>
      </c>
      <c r="E38" s="10" t="s">
        <v>29</v>
      </c>
      <c r="F38" s="27">
        <v>4363.0</v>
      </c>
      <c r="G38" s="27">
        <v>649.0</v>
      </c>
      <c r="H38" s="27">
        <v>140.0</v>
      </c>
      <c r="I38" s="27">
        <v>21815.0</v>
      </c>
      <c r="J38" s="27">
        <v>21481.0</v>
      </c>
      <c r="K38" s="27">
        <v>157.0</v>
      </c>
      <c r="L38" s="28" t="s">
        <v>30</v>
      </c>
      <c r="M38" s="10"/>
      <c r="N38" s="10"/>
      <c r="O38" s="29">
        <f t="shared" si="2"/>
        <v>0.2361677745</v>
      </c>
    </row>
    <row r="39">
      <c r="A39" s="10" t="s">
        <v>170</v>
      </c>
      <c r="B39" s="10" t="s">
        <v>33</v>
      </c>
      <c r="C39" s="26">
        <v>45586.0</v>
      </c>
      <c r="D39" s="10" t="s">
        <v>28</v>
      </c>
      <c r="E39" s="10" t="s">
        <v>51</v>
      </c>
      <c r="F39" s="27">
        <v>780.0</v>
      </c>
      <c r="G39" s="27">
        <v>928.0</v>
      </c>
      <c r="H39" s="27">
        <v>301.0</v>
      </c>
      <c r="I39" s="27">
        <v>8580.0</v>
      </c>
      <c r="J39" s="27">
        <v>8081.0</v>
      </c>
      <c r="K39" s="27">
        <v>91.0</v>
      </c>
      <c r="L39" s="28" t="s">
        <v>30</v>
      </c>
      <c r="M39" s="10"/>
      <c r="N39" s="10"/>
      <c r="O39" s="29">
        <f t="shared" si="2"/>
        <v>0.2341491841</v>
      </c>
    </row>
    <row r="40">
      <c r="A40" s="10" t="s">
        <v>192</v>
      </c>
      <c r="B40" s="10" t="s">
        <v>13</v>
      </c>
      <c r="C40" s="26">
        <v>45535.0</v>
      </c>
      <c r="D40" s="10" t="s">
        <v>39</v>
      </c>
      <c r="E40" s="10" t="s">
        <v>85</v>
      </c>
      <c r="F40" s="27">
        <v>3170.0</v>
      </c>
      <c r="G40" s="27">
        <v>857.0</v>
      </c>
      <c r="H40" s="27">
        <v>379.0</v>
      </c>
      <c r="I40" s="27">
        <v>19020.0</v>
      </c>
      <c r="J40" s="27">
        <v>18559.0</v>
      </c>
      <c r="K40" s="27">
        <v>240.0</v>
      </c>
      <c r="L40" s="28" t="s">
        <v>16</v>
      </c>
      <c r="M40" s="10"/>
      <c r="N40" s="10"/>
      <c r="O40" s="29">
        <f t="shared" si="2"/>
        <v>0.2316508938</v>
      </c>
    </row>
    <row r="41">
      <c r="A41" s="10" t="s">
        <v>214</v>
      </c>
      <c r="B41" s="10" t="s">
        <v>27</v>
      </c>
      <c r="C41" s="26">
        <v>45755.0</v>
      </c>
      <c r="D41" s="10" t="s">
        <v>39</v>
      </c>
      <c r="E41" s="10" t="s">
        <v>131</v>
      </c>
      <c r="F41" s="27">
        <v>4501.0</v>
      </c>
      <c r="G41" s="27">
        <v>375.0</v>
      </c>
      <c r="H41" s="27">
        <v>323.0</v>
      </c>
      <c r="I41" s="27">
        <v>22505.0</v>
      </c>
      <c r="J41" s="27">
        <v>21836.0</v>
      </c>
      <c r="K41" s="27">
        <v>132.0</v>
      </c>
      <c r="L41" s="28" t="s">
        <v>21</v>
      </c>
      <c r="M41" s="10"/>
      <c r="N41" s="10"/>
      <c r="O41" s="29">
        <f t="shared" si="2"/>
        <v>0.2310153299</v>
      </c>
    </row>
    <row r="42">
      <c r="A42" s="10" t="s">
        <v>320</v>
      </c>
      <c r="B42" s="10" t="s">
        <v>27</v>
      </c>
      <c r="C42" s="26">
        <v>45601.0</v>
      </c>
      <c r="D42" s="10" t="s">
        <v>53</v>
      </c>
      <c r="E42" s="10" t="s">
        <v>60</v>
      </c>
      <c r="F42" s="27">
        <v>4561.0</v>
      </c>
      <c r="G42" s="27">
        <v>51.0</v>
      </c>
      <c r="H42" s="27">
        <v>441.0</v>
      </c>
      <c r="I42" s="27">
        <v>22805.0</v>
      </c>
      <c r="J42" s="27">
        <v>21890.0</v>
      </c>
      <c r="K42" s="27">
        <v>45.0</v>
      </c>
      <c r="L42" s="28" t="s">
        <v>21</v>
      </c>
      <c r="M42" s="10"/>
      <c r="N42" s="10"/>
      <c r="O42" s="29">
        <f t="shared" si="2"/>
        <v>0.2215742162</v>
      </c>
    </row>
    <row r="43">
      <c r="A43" s="10" t="s">
        <v>87</v>
      </c>
      <c r="B43" s="10" t="s">
        <v>24</v>
      </c>
      <c r="C43" s="26">
        <v>45721.0</v>
      </c>
      <c r="D43" s="10" t="s">
        <v>14</v>
      </c>
      <c r="E43" s="10" t="s">
        <v>25</v>
      </c>
      <c r="F43" s="27">
        <v>1543.0</v>
      </c>
      <c r="G43" s="27">
        <v>820.0</v>
      </c>
      <c r="H43" s="27">
        <v>333.0</v>
      </c>
      <c r="I43" s="27">
        <v>12344.0</v>
      </c>
      <c r="J43" s="27">
        <v>11496.0</v>
      </c>
      <c r="K43" s="27">
        <v>241.0</v>
      </c>
      <c r="L43" s="28" t="s">
        <v>30</v>
      </c>
      <c r="M43" s="10"/>
      <c r="N43" s="10"/>
      <c r="O43" s="29">
        <f t="shared" si="2"/>
        <v>0.2184057032</v>
      </c>
    </row>
    <row r="44">
      <c r="A44" s="10" t="s">
        <v>88</v>
      </c>
      <c r="B44" s="10" t="s">
        <v>27</v>
      </c>
      <c r="C44" s="26">
        <v>45640.0</v>
      </c>
      <c r="D44" s="10" t="s">
        <v>34</v>
      </c>
      <c r="E44" s="10" t="s">
        <v>62</v>
      </c>
      <c r="F44" s="27">
        <v>2174.0</v>
      </c>
      <c r="G44" s="27">
        <v>658.0</v>
      </c>
      <c r="H44" s="27">
        <v>15.0</v>
      </c>
      <c r="I44" s="27">
        <v>13044.0</v>
      </c>
      <c r="J44" s="27">
        <v>12206.0</v>
      </c>
      <c r="K44" s="27">
        <v>137.0</v>
      </c>
      <c r="L44" s="28" t="s">
        <v>21</v>
      </c>
      <c r="M44" s="10"/>
      <c r="N44" s="10"/>
      <c r="O44" s="29">
        <f t="shared" si="2"/>
        <v>0.2182612695</v>
      </c>
    </row>
    <row r="45">
      <c r="A45" s="10" t="s">
        <v>210</v>
      </c>
      <c r="B45" s="10" t="s">
        <v>33</v>
      </c>
      <c r="C45" s="26">
        <v>45621.0</v>
      </c>
      <c r="D45" s="10" t="s">
        <v>28</v>
      </c>
      <c r="E45" s="10" t="s">
        <v>51</v>
      </c>
      <c r="F45" s="27">
        <v>2120.0</v>
      </c>
      <c r="G45" s="27">
        <v>158.0</v>
      </c>
      <c r="H45" s="27">
        <v>488.0</v>
      </c>
      <c r="I45" s="27">
        <v>12720.0</v>
      </c>
      <c r="J45" s="27">
        <v>12085.0</v>
      </c>
      <c r="K45" s="27">
        <v>17.0</v>
      </c>
      <c r="L45" s="28" t="s">
        <v>16</v>
      </c>
      <c r="M45" s="10"/>
      <c r="N45" s="10"/>
      <c r="O45" s="29">
        <f t="shared" si="2"/>
        <v>0.2174528302</v>
      </c>
    </row>
    <row r="46">
      <c r="A46" s="10" t="s">
        <v>197</v>
      </c>
      <c r="B46" s="10" t="s">
        <v>24</v>
      </c>
      <c r="C46" s="26">
        <v>45448.0</v>
      </c>
      <c r="D46" s="10" t="s">
        <v>14</v>
      </c>
      <c r="E46" s="10" t="s">
        <v>25</v>
      </c>
      <c r="F46" s="27">
        <v>3065.0</v>
      </c>
      <c r="G46" s="27">
        <v>772.0</v>
      </c>
      <c r="H46" s="27">
        <v>142.0</v>
      </c>
      <c r="I46" s="27">
        <v>18390.0</v>
      </c>
      <c r="J46" s="27">
        <v>17875.0</v>
      </c>
      <c r="K46" s="27">
        <v>200.0</v>
      </c>
      <c r="L46" s="28" t="s">
        <v>30</v>
      </c>
      <c r="M46" s="28" t="s">
        <v>17</v>
      </c>
      <c r="N46" s="10"/>
      <c r="O46" s="29">
        <f t="shared" si="2"/>
        <v>0.2163675911</v>
      </c>
    </row>
    <row r="47">
      <c r="A47" s="10" t="s">
        <v>72</v>
      </c>
      <c r="B47" s="10" t="s">
        <v>27</v>
      </c>
      <c r="C47" s="26">
        <v>45688.0</v>
      </c>
      <c r="D47" s="10" t="s">
        <v>34</v>
      </c>
      <c r="E47" s="10" t="s">
        <v>62</v>
      </c>
      <c r="F47" s="27">
        <v>2566.0</v>
      </c>
      <c r="G47" s="27">
        <v>118.0</v>
      </c>
      <c r="H47" s="27">
        <v>37.0</v>
      </c>
      <c r="I47" s="27">
        <v>12830.0</v>
      </c>
      <c r="J47" s="27">
        <v>12264.0</v>
      </c>
      <c r="K47" s="27">
        <v>221.0</v>
      </c>
      <c r="L47" s="28" t="s">
        <v>16</v>
      </c>
      <c r="M47" s="10"/>
      <c r="N47" s="10"/>
      <c r="O47" s="29">
        <f t="shared" si="2"/>
        <v>0.21208106</v>
      </c>
    </row>
    <row r="48">
      <c r="A48" s="10" t="s">
        <v>187</v>
      </c>
      <c r="B48" s="10" t="s">
        <v>33</v>
      </c>
      <c r="C48" s="26">
        <v>45504.0</v>
      </c>
      <c r="D48" s="10" t="s">
        <v>53</v>
      </c>
      <c r="E48" s="10" t="s">
        <v>54</v>
      </c>
      <c r="F48" s="27">
        <v>3008.0</v>
      </c>
      <c r="G48" s="27">
        <v>94.0</v>
      </c>
      <c r="H48" s="27">
        <v>37.0</v>
      </c>
      <c r="I48" s="27">
        <v>15040.0</v>
      </c>
      <c r="J48" s="27">
        <v>14639.0</v>
      </c>
      <c r="K48" s="27">
        <v>277.0</v>
      </c>
      <c r="L48" s="28" t="s">
        <v>16</v>
      </c>
      <c r="M48" s="10"/>
      <c r="N48" s="10"/>
      <c r="O48" s="29">
        <f t="shared" si="2"/>
        <v>0.2087101064</v>
      </c>
    </row>
    <row r="49">
      <c r="A49" s="10" t="s">
        <v>137</v>
      </c>
      <c r="B49" s="10" t="s">
        <v>13</v>
      </c>
      <c r="C49" s="26">
        <v>45449.0</v>
      </c>
      <c r="D49" s="10" t="s">
        <v>53</v>
      </c>
      <c r="E49" s="10" t="s">
        <v>92</v>
      </c>
      <c r="F49" s="27">
        <v>1436.0</v>
      </c>
      <c r="G49" s="27">
        <v>765.0</v>
      </c>
      <c r="H49" s="27">
        <v>496.0</v>
      </c>
      <c r="I49" s="27">
        <v>12924.0</v>
      </c>
      <c r="J49" s="27">
        <v>12701.0</v>
      </c>
      <c r="K49" s="27">
        <v>197.0</v>
      </c>
      <c r="L49" s="28" t="s">
        <v>16</v>
      </c>
      <c r="M49" s="10"/>
      <c r="N49" s="10"/>
      <c r="O49" s="29">
        <f t="shared" si="2"/>
        <v>0.2086815227</v>
      </c>
    </row>
    <row r="50">
      <c r="A50" s="10" t="s">
        <v>322</v>
      </c>
      <c r="B50" s="10" t="s">
        <v>27</v>
      </c>
      <c r="C50" s="26">
        <v>45582.0</v>
      </c>
      <c r="D50" s="10" t="s">
        <v>53</v>
      </c>
      <c r="E50" s="10" t="s">
        <v>60</v>
      </c>
      <c r="F50" s="27">
        <v>3575.0</v>
      </c>
      <c r="G50" s="27">
        <v>749.0</v>
      </c>
      <c r="H50" s="27">
        <v>111.0</v>
      </c>
      <c r="I50" s="27">
        <v>21450.0</v>
      </c>
      <c r="J50" s="27">
        <v>20785.0</v>
      </c>
      <c r="K50" s="27">
        <v>195.0</v>
      </c>
      <c r="L50" s="28" t="s">
        <v>30</v>
      </c>
      <c r="M50" s="10"/>
      <c r="N50" s="10"/>
      <c r="O50" s="29">
        <f t="shared" si="2"/>
        <v>0.2067599068</v>
      </c>
    </row>
    <row r="51">
      <c r="A51" s="10" t="s">
        <v>125</v>
      </c>
      <c r="B51" s="10" t="s">
        <v>33</v>
      </c>
      <c r="C51" s="26">
        <v>45720.0</v>
      </c>
      <c r="D51" s="10" t="s">
        <v>28</v>
      </c>
      <c r="E51" s="10" t="s">
        <v>51</v>
      </c>
      <c r="F51" s="27">
        <v>1249.0</v>
      </c>
      <c r="G51" s="27">
        <v>116.0</v>
      </c>
      <c r="H51" s="27">
        <v>420.0</v>
      </c>
      <c r="I51" s="27">
        <v>8743.0</v>
      </c>
      <c r="J51" s="27">
        <v>8538.0</v>
      </c>
      <c r="K51" s="27">
        <v>63.0</v>
      </c>
      <c r="L51" s="28" t="s">
        <v>21</v>
      </c>
      <c r="M51" s="10"/>
      <c r="N51" s="10"/>
      <c r="O51" s="29">
        <f t="shared" si="2"/>
        <v>0.2041633307</v>
      </c>
    </row>
    <row r="52">
      <c r="A52" s="10" t="s">
        <v>186</v>
      </c>
      <c r="B52" s="10" t="s">
        <v>27</v>
      </c>
      <c r="C52" s="26">
        <v>45484.0</v>
      </c>
      <c r="D52" s="10" t="s">
        <v>19</v>
      </c>
      <c r="E52" s="10" t="s">
        <v>75</v>
      </c>
      <c r="F52" s="27">
        <v>3134.0</v>
      </c>
      <c r="G52" s="27">
        <v>888.0</v>
      </c>
      <c r="H52" s="27">
        <v>444.0</v>
      </c>
      <c r="I52" s="27">
        <v>21938.0</v>
      </c>
      <c r="J52" s="27">
        <v>21337.0</v>
      </c>
      <c r="K52" s="27">
        <v>130.0</v>
      </c>
      <c r="L52" s="28" t="s">
        <v>30</v>
      </c>
      <c r="M52" s="10"/>
      <c r="N52" s="10"/>
      <c r="O52" s="29">
        <f t="shared" si="2"/>
        <v>0.2035737077</v>
      </c>
    </row>
    <row r="53">
      <c r="A53" s="10" t="s">
        <v>309</v>
      </c>
      <c r="B53" s="10" t="s">
        <v>27</v>
      </c>
      <c r="C53" s="26">
        <v>45509.0</v>
      </c>
      <c r="D53" s="10" t="s">
        <v>28</v>
      </c>
      <c r="E53" s="10" t="s">
        <v>29</v>
      </c>
      <c r="F53" s="27">
        <v>3601.0</v>
      </c>
      <c r="G53" s="27">
        <v>695.0</v>
      </c>
      <c r="H53" s="27">
        <v>75.0</v>
      </c>
      <c r="I53" s="27">
        <v>21606.0</v>
      </c>
      <c r="J53" s="27">
        <v>21454.0</v>
      </c>
      <c r="K53" s="27">
        <v>172.0</v>
      </c>
      <c r="L53" s="28" t="s">
        <v>30</v>
      </c>
      <c r="M53" s="10"/>
      <c r="N53" s="10"/>
      <c r="O53" s="29">
        <f t="shared" si="2"/>
        <v>0.2023049153</v>
      </c>
    </row>
    <row r="54">
      <c r="A54" s="10" t="s">
        <v>327</v>
      </c>
      <c r="B54" s="10" t="s">
        <v>13</v>
      </c>
      <c r="C54" s="26">
        <v>45450.0</v>
      </c>
      <c r="D54" s="10" t="s">
        <v>34</v>
      </c>
      <c r="E54" s="10" t="s">
        <v>37</v>
      </c>
      <c r="F54" s="27">
        <v>1556.0</v>
      </c>
      <c r="G54" s="27">
        <v>195.0</v>
      </c>
      <c r="H54" s="27">
        <v>131.0</v>
      </c>
      <c r="I54" s="27">
        <v>9336.0</v>
      </c>
      <c r="J54" s="27">
        <v>8875.0</v>
      </c>
      <c r="K54" s="27">
        <v>137.0</v>
      </c>
      <c r="L54" s="28" t="s">
        <v>21</v>
      </c>
      <c r="M54" s="10"/>
      <c r="N54" s="10"/>
      <c r="O54" s="29">
        <f t="shared" si="2"/>
        <v>0.2015852614</v>
      </c>
    </row>
    <row r="55">
      <c r="A55" s="10" t="s">
        <v>199</v>
      </c>
      <c r="B55" s="10" t="s">
        <v>27</v>
      </c>
      <c r="C55" s="26">
        <v>45762.0</v>
      </c>
      <c r="D55" s="10" t="s">
        <v>53</v>
      </c>
      <c r="E55" s="10" t="s">
        <v>60</v>
      </c>
      <c r="F55" s="27">
        <v>4133.0</v>
      </c>
      <c r="G55" s="27">
        <v>466.0</v>
      </c>
      <c r="H55" s="27">
        <v>327.0</v>
      </c>
      <c r="I55" s="27">
        <v>24798.0</v>
      </c>
      <c r="J55" s="27">
        <v>24620.0</v>
      </c>
      <c r="K55" s="27">
        <v>176.0</v>
      </c>
      <c r="L55" s="28" t="s">
        <v>30</v>
      </c>
      <c r="M55" s="10"/>
      <c r="N55" s="10"/>
      <c r="O55" s="29">
        <f t="shared" si="2"/>
        <v>0.198645052</v>
      </c>
    </row>
    <row r="56">
      <c r="A56" s="10" t="s">
        <v>249</v>
      </c>
      <c r="B56" s="10" t="s">
        <v>13</v>
      </c>
      <c r="C56" s="26">
        <v>45549.0</v>
      </c>
      <c r="D56" s="10" t="s">
        <v>39</v>
      </c>
      <c r="E56" s="10" t="s">
        <v>85</v>
      </c>
      <c r="F56" s="27">
        <v>1048.0</v>
      </c>
      <c r="G56" s="27">
        <v>374.0</v>
      </c>
      <c r="H56" s="27">
        <v>450.0</v>
      </c>
      <c r="I56" s="27">
        <v>9432.0</v>
      </c>
      <c r="J56" s="27">
        <v>8882.0</v>
      </c>
      <c r="K56" s="27">
        <v>158.0</v>
      </c>
      <c r="L56" s="28" t="s">
        <v>21</v>
      </c>
      <c r="M56" s="10"/>
      <c r="N56" s="10"/>
      <c r="O56" s="29">
        <f t="shared" si="2"/>
        <v>0.1984732824</v>
      </c>
    </row>
    <row r="57">
      <c r="A57" s="10" t="s">
        <v>203</v>
      </c>
      <c r="B57" s="10" t="s">
        <v>33</v>
      </c>
      <c r="C57" s="26">
        <v>45769.0</v>
      </c>
      <c r="D57" s="10" t="s">
        <v>39</v>
      </c>
      <c r="E57" s="10" t="s">
        <v>44</v>
      </c>
      <c r="F57" s="27">
        <v>4804.0</v>
      </c>
      <c r="G57" s="27">
        <v>550.0</v>
      </c>
      <c r="H57" s="27">
        <v>270.0</v>
      </c>
      <c r="I57" s="27">
        <v>28824.0</v>
      </c>
      <c r="J57" s="27">
        <v>28370.0</v>
      </c>
      <c r="K57" s="27">
        <v>47.0</v>
      </c>
      <c r="L57" s="28" t="s">
        <v>30</v>
      </c>
      <c r="M57" s="10"/>
      <c r="N57" s="10"/>
      <c r="O57" s="29">
        <f t="shared" si="2"/>
        <v>0.1951151818</v>
      </c>
    </row>
    <row r="58">
      <c r="A58" s="10" t="s">
        <v>337</v>
      </c>
      <c r="B58" s="10" t="s">
        <v>24</v>
      </c>
      <c r="C58" s="26">
        <v>45560.0</v>
      </c>
      <c r="D58" s="10" t="s">
        <v>53</v>
      </c>
      <c r="E58" s="10" t="s">
        <v>133</v>
      </c>
      <c r="F58" s="27">
        <v>3389.0</v>
      </c>
      <c r="G58" s="27">
        <v>344.0</v>
      </c>
      <c r="H58" s="27">
        <v>229.0</v>
      </c>
      <c r="I58" s="27">
        <v>20334.0</v>
      </c>
      <c r="J58" s="27">
        <v>19443.0</v>
      </c>
      <c r="K58" s="27">
        <v>228.0</v>
      </c>
      <c r="L58" s="28" t="s">
        <v>16</v>
      </c>
      <c r="M58" s="10"/>
      <c r="N58" s="10"/>
      <c r="O58" s="29">
        <f t="shared" si="2"/>
        <v>0.1948460706</v>
      </c>
    </row>
    <row r="59">
      <c r="A59" s="10" t="s">
        <v>116</v>
      </c>
      <c r="B59" s="10" t="s">
        <v>27</v>
      </c>
      <c r="C59" s="26">
        <v>45634.0</v>
      </c>
      <c r="D59" s="10" t="s">
        <v>28</v>
      </c>
      <c r="E59" s="10" t="s">
        <v>29</v>
      </c>
      <c r="F59" s="27">
        <v>2610.0</v>
      </c>
      <c r="G59" s="27">
        <v>126.0</v>
      </c>
      <c r="H59" s="27">
        <v>288.0</v>
      </c>
      <c r="I59" s="27">
        <v>15660.0</v>
      </c>
      <c r="J59" s="27">
        <v>15145.0</v>
      </c>
      <c r="K59" s="27">
        <v>73.0</v>
      </c>
      <c r="L59" s="28" t="s">
        <v>30</v>
      </c>
      <c r="M59" s="10"/>
      <c r="N59" s="10"/>
      <c r="O59" s="29">
        <f t="shared" si="2"/>
        <v>0.1931034483</v>
      </c>
    </row>
    <row r="60">
      <c r="A60" s="10" t="s">
        <v>135</v>
      </c>
      <c r="B60" s="10" t="s">
        <v>27</v>
      </c>
      <c r="C60" s="26">
        <v>45766.0</v>
      </c>
      <c r="D60" s="10" t="s">
        <v>39</v>
      </c>
      <c r="E60" s="10" t="s">
        <v>131</v>
      </c>
      <c r="F60" s="27">
        <v>4177.0</v>
      </c>
      <c r="G60" s="27">
        <v>569.0</v>
      </c>
      <c r="H60" s="27">
        <v>55.0</v>
      </c>
      <c r="I60" s="27">
        <v>25062.0</v>
      </c>
      <c r="J60" s="27">
        <v>24847.0</v>
      </c>
      <c r="K60" s="27">
        <v>230.0</v>
      </c>
      <c r="L60" s="28" t="s">
        <v>16</v>
      </c>
      <c r="M60" s="10"/>
      <c r="N60" s="10"/>
      <c r="O60" s="29">
        <f t="shared" si="2"/>
        <v>0.191564919</v>
      </c>
    </row>
    <row r="61">
      <c r="A61" s="10" t="s">
        <v>76</v>
      </c>
      <c r="B61" s="10" t="s">
        <v>13</v>
      </c>
      <c r="C61" s="26">
        <v>45504.0</v>
      </c>
      <c r="D61" s="10" t="s">
        <v>34</v>
      </c>
      <c r="E61" s="10" t="s">
        <v>37</v>
      </c>
      <c r="F61" s="27">
        <v>2278.0</v>
      </c>
      <c r="G61" s="27">
        <v>10.0</v>
      </c>
      <c r="H61" s="27">
        <v>321.0</v>
      </c>
      <c r="I61" s="27">
        <v>13668.0</v>
      </c>
      <c r="J61" s="27">
        <v>12676.0</v>
      </c>
      <c r="K61" s="27">
        <v>275.0</v>
      </c>
      <c r="L61" s="28" t="s">
        <v>30</v>
      </c>
      <c r="M61" s="10"/>
      <c r="N61" s="10"/>
      <c r="O61" s="29">
        <f t="shared" si="2"/>
        <v>0.1908838162</v>
      </c>
    </row>
    <row r="62">
      <c r="A62" s="10" t="s">
        <v>269</v>
      </c>
      <c r="B62" s="10" t="s">
        <v>33</v>
      </c>
      <c r="C62" s="26">
        <v>45454.0</v>
      </c>
      <c r="D62" s="10" t="s">
        <v>34</v>
      </c>
      <c r="E62" s="10" t="s">
        <v>35</v>
      </c>
      <c r="F62" s="27">
        <v>1869.0</v>
      </c>
      <c r="G62" s="27">
        <v>453.0</v>
      </c>
      <c r="H62" s="27">
        <v>490.0</v>
      </c>
      <c r="I62" s="27">
        <v>14952.0</v>
      </c>
      <c r="J62" s="27">
        <v>14309.0</v>
      </c>
      <c r="K62" s="27">
        <v>275.0</v>
      </c>
      <c r="L62" s="28" t="s">
        <v>21</v>
      </c>
      <c r="M62" s="10"/>
      <c r="N62" s="10"/>
      <c r="O62" s="29">
        <f t="shared" si="2"/>
        <v>0.1880684858</v>
      </c>
    </row>
    <row r="63">
      <c r="A63" s="10" t="s">
        <v>262</v>
      </c>
      <c r="B63" s="10" t="s">
        <v>13</v>
      </c>
      <c r="C63" s="26">
        <v>45491.0</v>
      </c>
      <c r="D63" s="10" t="s">
        <v>34</v>
      </c>
      <c r="E63" s="10" t="s">
        <v>37</v>
      </c>
      <c r="F63" s="27">
        <v>2120.0</v>
      </c>
      <c r="G63" s="27">
        <v>38.0</v>
      </c>
      <c r="H63" s="27">
        <v>212.0</v>
      </c>
      <c r="I63" s="27">
        <v>12720.0</v>
      </c>
      <c r="J63" s="27">
        <v>12564.0</v>
      </c>
      <c r="K63" s="27">
        <v>21.0</v>
      </c>
      <c r="L63" s="28" t="s">
        <v>16</v>
      </c>
      <c r="M63" s="10"/>
      <c r="N63" s="10"/>
      <c r="O63" s="29">
        <f t="shared" si="2"/>
        <v>0.1863207547</v>
      </c>
    </row>
    <row r="64">
      <c r="A64" s="10" t="s">
        <v>293</v>
      </c>
      <c r="B64" s="10" t="s">
        <v>33</v>
      </c>
      <c r="C64" s="26">
        <v>45480.0</v>
      </c>
      <c r="D64" s="10" t="s">
        <v>14</v>
      </c>
      <c r="E64" s="10" t="s">
        <v>47</v>
      </c>
      <c r="F64" s="27">
        <v>4767.0</v>
      </c>
      <c r="G64" s="27">
        <v>190.0</v>
      </c>
      <c r="H64" s="27">
        <v>340.0</v>
      </c>
      <c r="I64" s="27">
        <v>28602.0</v>
      </c>
      <c r="J64" s="27">
        <v>28044.0</v>
      </c>
      <c r="K64" s="27">
        <v>210.0</v>
      </c>
      <c r="L64" s="28" t="s">
        <v>30</v>
      </c>
      <c r="M64" s="10"/>
      <c r="N64" s="10"/>
      <c r="O64" s="29">
        <f t="shared" si="2"/>
        <v>0.1851968394</v>
      </c>
    </row>
    <row r="65">
      <c r="A65" s="10" t="s">
        <v>86</v>
      </c>
      <c r="B65" s="10" t="s">
        <v>27</v>
      </c>
      <c r="C65" s="26">
        <v>45724.0</v>
      </c>
      <c r="D65" s="10" t="s">
        <v>14</v>
      </c>
      <c r="E65" s="10" t="s">
        <v>58</v>
      </c>
      <c r="F65" s="27">
        <v>456.0</v>
      </c>
      <c r="G65" s="27">
        <v>629.0</v>
      </c>
      <c r="H65" s="27">
        <v>428.0</v>
      </c>
      <c r="I65" s="27">
        <v>8208.0</v>
      </c>
      <c r="J65" s="27">
        <v>7377.0</v>
      </c>
      <c r="K65" s="27">
        <v>205.0</v>
      </c>
      <c r="L65" s="28" t="s">
        <v>16</v>
      </c>
      <c r="M65" s="10"/>
      <c r="N65" s="10"/>
      <c r="O65" s="29">
        <f t="shared" si="2"/>
        <v>0.1843323587</v>
      </c>
    </row>
    <row r="66">
      <c r="A66" s="10" t="s">
        <v>345</v>
      </c>
      <c r="B66" s="10" t="s">
        <v>33</v>
      </c>
      <c r="C66" s="26">
        <v>45462.0</v>
      </c>
      <c r="D66" s="10" t="s">
        <v>34</v>
      </c>
      <c r="E66" s="10" t="s">
        <v>35</v>
      </c>
      <c r="F66" s="27">
        <v>4731.0</v>
      </c>
      <c r="G66" s="27">
        <v>173.0</v>
      </c>
      <c r="H66" s="27">
        <v>276.0</v>
      </c>
      <c r="I66" s="27">
        <v>28386.0</v>
      </c>
      <c r="J66" s="27">
        <v>28185.0</v>
      </c>
      <c r="K66" s="27">
        <v>89.0</v>
      </c>
      <c r="L66" s="28" t="s">
        <v>30</v>
      </c>
      <c r="M66" s="10"/>
      <c r="N66" s="10"/>
      <c r="O66" s="29">
        <f t="shared" si="2"/>
        <v>0.1824843233</v>
      </c>
    </row>
    <row r="67">
      <c r="A67" s="10" t="s">
        <v>32</v>
      </c>
      <c r="B67" s="10" t="s">
        <v>33</v>
      </c>
      <c r="C67" s="26">
        <v>45596.0</v>
      </c>
      <c r="D67" s="10" t="s">
        <v>34</v>
      </c>
      <c r="E67" s="10" t="s">
        <v>35</v>
      </c>
      <c r="F67" s="27">
        <v>2945.0</v>
      </c>
      <c r="G67" s="27">
        <v>930.0</v>
      </c>
      <c r="H67" s="27">
        <v>355.0</v>
      </c>
      <c r="I67" s="27">
        <v>23560.0</v>
      </c>
      <c r="J67" s="27">
        <v>23275.0</v>
      </c>
      <c r="K67" s="27">
        <v>256.0</v>
      </c>
      <c r="L67" s="28" t="s">
        <v>21</v>
      </c>
      <c r="M67" s="10"/>
      <c r="N67" s="10"/>
      <c r="O67" s="29">
        <f t="shared" si="2"/>
        <v>0.1795415959</v>
      </c>
    </row>
    <row r="68">
      <c r="A68" s="10" t="s">
        <v>204</v>
      </c>
      <c r="B68" s="10" t="s">
        <v>13</v>
      </c>
      <c r="C68" s="26">
        <v>45658.0</v>
      </c>
      <c r="D68" s="10" t="s">
        <v>53</v>
      </c>
      <c r="E68" s="10" t="s">
        <v>92</v>
      </c>
      <c r="F68" s="27">
        <v>754.0</v>
      </c>
      <c r="G68" s="27">
        <v>197.0</v>
      </c>
      <c r="H68" s="27">
        <v>257.0</v>
      </c>
      <c r="I68" s="27">
        <v>6786.0</v>
      </c>
      <c r="J68" s="27">
        <v>6221.0</v>
      </c>
      <c r="K68" s="27">
        <v>212.0</v>
      </c>
      <c r="L68" s="28" t="s">
        <v>21</v>
      </c>
      <c r="M68" s="10"/>
      <c r="N68" s="10"/>
      <c r="O68" s="29">
        <f t="shared" si="2"/>
        <v>0.1780135573</v>
      </c>
    </row>
    <row r="69">
      <c r="A69" s="10" t="s">
        <v>81</v>
      </c>
      <c r="B69" s="10" t="s">
        <v>33</v>
      </c>
      <c r="C69" s="26">
        <v>45663.0</v>
      </c>
      <c r="D69" s="10" t="s">
        <v>34</v>
      </c>
      <c r="E69" s="10" t="s">
        <v>35</v>
      </c>
      <c r="F69" s="27">
        <v>3024.0</v>
      </c>
      <c r="G69" s="27">
        <v>925.0</v>
      </c>
      <c r="H69" s="27">
        <v>350.0</v>
      </c>
      <c r="I69" s="27">
        <v>24192.0</v>
      </c>
      <c r="J69" s="27">
        <v>23518.0</v>
      </c>
      <c r="K69" s="27">
        <v>36.0</v>
      </c>
      <c r="L69" s="28" t="s">
        <v>30</v>
      </c>
      <c r="M69" s="10"/>
      <c r="N69" s="10"/>
      <c r="O69" s="29">
        <f t="shared" si="2"/>
        <v>0.177703373</v>
      </c>
    </row>
    <row r="70">
      <c r="A70" s="10" t="s">
        <v>292</v>
      </c>
      <c r="B70" s="10" t="s">
        <v>33</v>
      </c>
      <c r="C70" s="26">
        <v>45675.0</v>
      </c>
      <c r="D70" s="10" t="s">
        <v>28</v>
      </c>
      <c r="E70" s="10" t="s">
        <v>51</v>
      </c>
      <c r="F70" s="27">
        <v>4321.0</v>
      </c>
      <c r="G70" s="27">
        <v>874.0</v>
      </c>
      <c r="H70" s="27">
        <v>172.0</v>
      </c>
      <c r="I70" s="27">
        <v>30247.0</v>
      </c>
      <c r="J70" s="27">
        <v>29254.0</v>
      </c>
      <c r="K70" s="27">
        <v>122.0</v>
      </c>
      <c r="L70" s="28" t="s">
        <v>21</v>
      </c>
      <c r="M70" s="10"/>
      <c r="N70" s="10"/>
      <c r="O70" s="29">
        <f t="shared" si="2"/>
        <v>0.1774390849</v>
      </c>
    </row>
    <row r="71">
      <c r="A71" s="10" t="s">
        <v>162</v>
      </c>
      <c r="B71" s="10" t="s">
        <v>13</v>
      </c>
      <c r="C71" s="26">
        <v>45570.0</v>
      </c>
      <c r="D71" s="10" t="s">
        <v>28</v>
      </c>
      <c r="E71" s="10" t="s">
        <v>95</v>
      </c>
      <c r="F71" s="27">
        <v>1957.0</v>
      </c>
      <c r="G71" s="27">
        <v>877.0</v>
      </c>
      <c r="H71" s="27">
        <v>238.0</v>
      </c>
      <c r="I71" s="27">
        <v>17613.0</v>
      </c>
      <c r="J71" s="27">
        <v>16865.0</v>
      </c>
      <c r="K71" s="27">
        <v>297.0</v>
      </c>
      <c r="L71" s="28" t="s">
        <v>16</v>
      </c>
      <c r="M71" s="10"/>
      <c r="N71" s="10"/>
      <c r="O71" s="29">
        <f t="shared" si="2"/>
        <v>0.1744166241</v>
      </c>
    </row>
    <row r="72">
      <c r="A72" s="10" t="s">
        <v>179</v>
      </c>
      <c r="B72" s="10" t="s">
        <v>13</v>
      </c>
      <c r="C72" s="26">
        <v>45494.0</v>
      </c>
      <c r="D72" s="10" t="s">
        <v>19</v>
      </c>
      <c r="E72" s="10" t="s">
        <v>20</v>
      </c>
      <c r="F72" s="27">
        <v>2147.0</v>
      </c>
      <c r="G72" s="27">
        <v>430.0</v>
      </c>
      <c r="H72" s="27">
        <v>393.0</v>
      </c>
      <c r="I72" s="27">
        <v>17176.0</v>
      </c>
      <c r="J72" s="27">
        <v>16483.0</v>
      </c>
      <c r="K72" s="27">
        <v>170.0</v>
      </c>
      <c r="L72" s="28" t="s">
        <v>21</v>
      </c>
      <c r="M72" s="10"/>
      <c r="N72" s="10"/>
      <c r="O72" s="29">
        <f t="shared" si="2"/>
        <v>0.1729156963</v>
      </c>
    </row>
    <row r="73">
      <c r="A73" s="10" t="s">
        <v>71</v>
      </c>
      <c r="B73" s="10" t="s">
        <v>27</v>
      </c>
      <c r="C73" s="26">
        <v>45720.0</v>
      </c>
      <c r="D73" s="10" t="s">
        <v>53</v>
      </c>
      <c r="E73" s="10" t="s">
        <v>60</v>
      </c>
      <c r="F73" s="27">
        <v>432.0</v>
      </c>
      <c r="G73" s="27">
        <v>624.0</v>
      </c>
      <c r="H73" s="27">
        <v>123.0</v>
      </c>
      <c r="I73" s="27">
        <v>6912.0</v>
      </c>
      <c r="J73" s="27">
        <v>6259.0</v>
      </c>
      <c r="K73" s="27">
        <v>79.0</v>
      </c>
      <c r="L73" s="28" t="s">
        <v>16</v>
      </c>
      <c r="M73" s="10"/>
      <c r="N73" s="10"/>
      <c r="O73" s="29">
        <f t="shared" si="2"/>
        <v>0.1705729167</v>
      </c>
    </row>
    <row r="74">
      <c r="A74" s="10" t="s">
        <v>91</v>
      </c>
      <c r="B74" s="10" t="s">
        <v>13</v>
      </c>
      <c r="C74" s="26">
        <v>45779.0</v>
      </c>
      <c r="D74" s="10" t="s">
        <v>53</v>
      </c>
      <c r="E74" s="10" t="s">
        <v>92</v>
      </c>
      <c r="F74" s="27">
        <v>1108.0</v>
      </c>
      <c r="G74" s="27">
        <v>177.0</v>
      </c>
      <c r="H74" s="27">
        <v>212.0</v>
      </c>
      <c r="I74" s="27">
        <v>8864.0</v>
      </c>
      <c r="J74" s="27">
        <v>8710.0</v>
      </c>
      <c r="K74" s="27">
        <v>97.0</v>
      </c>
      <c r="L74" s="28" t="s">
        <v>21</v>
      </c>
      <c r="M74" s="10"/>
      <c r="N74" s="10"/>
      <c r="O74" s="29">
        <f t="shared" si="2"/>
        <v>0.1688853791</v>
      </c>
    </row>
    <row r="75">
      <c r="A75" s="10" t="s">
        <v>139</v>
      </c>
      <c r="B75" s="10" t="s">
        <v>13</v>
      </c>
      <c r="C75" s="26">
        <v>45667.0</v>
      </c>
      <c r="D75" s="10" t="s">
        <v>39</v>
      </c>
      <c r="E75" s="10" t="s">
        <v>85</v>
      </c>
      <c r="F75" s="27">
        <v>2214.0</v>
      </c>
      <c r="G75" s="27">
        <v>249.0</v>
      </c>
      <c r="H75" s="27">
        <v>152.0</v>
      </c>
      <c r="I75" s="27">
        <v>15498.0</v>
      </c>
      <c r="J75" s="27">
        <v>14800.0</v>
      </c>
      <c r="K75" s="27">
        <v>180.0</v>
      </c>
      <c r="L75" s="28" t="s">
        <v>30</v>
      </c>
      <c r="M75" s="10"/>
      <c r="N75" s="10"/>
      <c r="O75" s="29">
        <f t="shared" si="2"/>
        <v>0.1687314492</v>
      </c>
    </row>
    <row r="76">
      <c r="A76" s="10" t="s">
        <v>144</v>
      </c>
      <c r="B76" s="10" t="s">
        <v>27</v>
      </c>
      <c r="C76" s="26">
        <v>45603.0</v>
      </c>
      <c r="D76" s="10" t="s">
        <v>39</v>
      </c>
      <c r="E76" s="10" t="s">
        <v>131</v>
      </c>
      <c r="F76" s="27">
        <v>2647.0</v>
      </c>
      <c r="G76" s="27">
        <v>304.0</v>
      </c>
      <c r="H76" s="27">
        <v>170.0</v>
      </c>
      <c r="I76" s="27">
        <v>18529.0</v>
      </c>
      <c r="J76" s="27">
        <v>17841.0</v>
      </c>
      <c r="K76" s="27">
        <v>46.0</v>
      </c>
      <c r="L76" s="28" t="s">
        <v>16</v>
      </c>
      <c r="M76" s="10"/>
      <c r="N76" s="10"/>
      <c r="O76" s="29">
        <f t="shared" si="2"/>
        <v>0.1684386637</v>
      </c>
    </row>
    <row r="77">
      <c r="A77" s="10" t="s">
        <v>166</v>
      </c>
      <c r="B77" s="10" t="s">
        <v>24</v>
      </c>
      <c r="C77" s="26">
        <v>45734.0</v>
      </c>
      <c r="D77" s="10" t="s">
        <v>14</v>
      </c>
      <c r="E77" s="10" t="s">
        <v>25</v>
      </c>
      <c r="F77" s="27">
        <v>3704.0</v>
      </c>
      <c r="G77" s="27">
        <v>186.0</v>
      </c>
      <c r="H77" s="27">
        <v>458.0</v>
      </c>
      <c r="I77" s="27">
        <v>25928.0</v>
      </c>
      <c r="J77" s="27">
        <v>25081.0</v>
      </c>
      <c r="K77" s="27">
        <v>131.0</v>
      </c>
      <c r="L77" s="28" t="s">
        <v>21</v>
      </c>
      <c r="M77" s="10"/>
      <c r="N77" s="10"/>
      <c r="O77" s="29">
        <f t="shared" si="2"/>
        <v>0.1676951558</v>
      </c>
    </row>
    <row r="78">
      <c r="A78" s="10" t="s">
        <v>326</v>
      </c>
      <c r="B78" s="10" t="s">
        <v>33</v>
      </c>
      <c r="C78" s="26">
        <v>45509.0</v>
      </c>
      <c r="D78" s="10" t="s">
        <v>14</v>
      </c>
      <c r="E78" s="10" t="s">
        <v>47</v>
      </c>
      <c r="F78" s="27">
        <v>1741.0</v>
      </c>
      <c r="G78" s="27">
        <v>831.0</v>
      </c>
      <c r="H78" s="27">
        <v>345.0</v>
      </c>
      <c r="I78" s="27">
        <v>17410.0</v>
      </c>
      <c r="J78" s="27">
        <v>16844.0</v>
      </c>
      <c r="K78" s="27">
        <v>58.0</v>
      </c>
      <c r="L78" s="28" t="s">
        <v>30</v>
      </c>
      <c r="M78" s="10"/>
      <c r="N78" s="10"/>
      <c r="O78" s="29">
        <f t="shared" si="2"/>
        <v>0.1675473866</v>
      </c>
    </row>
    <row r="79">
      <c r="A79" s="10" t="s">
        <v>159</v>
      </c>
      <c r="B79" s="10" t="s">
        <v>13</v>
      </c>
      <c r="C79" s="26">
        <v>45512.0</v>
      </c>
      <c r="D79" s="10" t="s">
        <v>28</v>
      </c>
      <c r="E79" s="10" t="s">
        <v>95</v>
      </c>
      <c r="F79" s="27">
        <v>3649.0</v>
      </c>
      <c r="G79" s="27">
        <v>215.0</v>
      </c>
      <c r="H79" s="27">
        <v>413.0</v>
      </c>
      <c r="I79" s="27">
        <v>25543.0</v>
      </c>
      <c r="J79" s="27">
        <v>24963.0</v>
      </c>
      <c r="K79" s="27">
        <v>167.0</v>
      </c>
      <c r="L79" s="28" t="s">
        <v>16</v>
      </c>
      <c r="M79" s="10"/>
      <c r="N79" s="10"/>
      <c r="O79" s="29">
        <f t="shared" si="2"/>
        <v>0.1674431351</v>
      </c>
    </row>
    <row r="80">
      <c r="A80" s="10" t="s">
        <v>93</v>
      </c>
      <c r="B80" s="10" t="s">
        <v>13</v>
      </c>
      <c r="C80" s="26">
        <v>45712.0</v>
      </c>
      <c r="D80" s="10" t="s">
        <v>34</v>
      </c>
      <c r="E80" s="10" t="s">
        <v>37</v>
      </c>
      <c r="F80" s="27">
        <v>2704.0</v>
      </c>
      <c r="G80" s="27">
        <v>752.0</v>
      </c>
      <c r="H80" s="27">
        <v>153.0</v>
      </c>
      <c r="I80" s="27">
        <v>21632.0</v>
      </c>
      <c r="J80" s="27">
        <v>20792.0</v>
      </c>
      <c r="K80" s="27">
        <v>127.0</v>
      </c>
      <c r="L80" s="28" t="s">
        <v>16</v>
      </c>
      <c r="M80" s="10"/>
      <c r="N80" s="10"/>
      <c r="O80" s="29">
        <f t="shared" si="2"/>
        <v>0.1668361686</v>
      </c>
    </row>
    <row r="81">
      <c r="A81" s="10" t="s">
        <v>346</v>
      </c>
      <c r="B81" s="10" t="s">
        <v>13</v>
      </c>
      <c r="C81" s="26">
        <v>45783.0</v>
      </c>
      <c r="D81" s="10" t="s">
        <v>39</v>
      </c>
      <c r="E81" s="10" t="s">
        <v>85</v>
      </c>
      <c r="F81" s="27">
        <v>1952.0</v>
      </c>
      <c r="G81" s="27">
        <v>344.0</v>
      </c>
      <c r="H81" s="27">
        <v>287.0</v>
      </c>
      <c r="I81" s="27">
        <v>15616.0</v>
      </c>
      <c r="J81" s="27">
        <v>15403.0</v>
      </c>
      <c r="K81" s="27">
        <v>235.0</v>
      </c>
      <c r="L81" s="28" t="s">
        <v>16</v>
      </c>
      <c r="M81" s="28" t="s">
        <v>21</v>
      </c>
      <c r="N81" s="28" t="s">
        <v>17</v>
      </c>
      <c r="O81" s="29">
        <f t="shared" si="2"/>
        <v>0.1654072746</v>
      </c>
    </row>
    <row r="82">
      <c r="A82" s="10" t="s">
        <v>102</v>
      </c>
      <c r="B82" s="10" t="s">
        <v>24</v>
      </c>
      <c r="C82" s="26">
        <v>45729.0</v>
      </c>
      <c r="D82" s="10" t="s">
        <v>34</v>
      </c>
      <c r="E82" s="10" t="s">
        <v>49</v>
      </c>
      <c r="F82" s="27">
        <v>1686.0</v>
      </c>
      <c r="G82" s="27">
        <v>904.0</v>
      </c>
      <c r="H82" s="27">
        <v>472.0</v>
      </c>
      <c r="I82" s="27">
        <v>18546.0</v>
      </c>
      <c r="J82" s="27">
        <v>18171.0</v>
      </c>
      <c r="K82" s="27">
        <v>52.0</v>
      </c>
      <c r="L82" s="28" t="s">
        <v>16</v>
      </c>
      <c r="M82" s="10"/>
      <c r="N82" s="10"/>
      <c r="O82" s="29">
        <f t="shared" si="2"/>
        <v>0.1651029872</v>
      </c>
    </row>
    <row r="83">
      <c r="A83" s="10" t="s">
        <v>108</v>
      </c>
      <c r="B83" s="10" t="s">
        <v>27</v>
      </c>
      <c r="C83" s="26">
        <v>45685.0</v>
      </c>
      <c r="D83" s="10" t="s">
        <v>53</v>
      </c>
      <c r="E83" s="10" t="s">
        <v>60</v>
      </c>
      <c r="F83" s="27">
        <v>904.0</v>
      </c>
      <c r="G83" s="27">
        <v>973.0</v>
      </c>
      <c r="H83" s="27">
        <v>63.0</v>
      </c>
      <c r="I83" s="27">
        <v>11752.0</v>
      </c>
      <c r="J83" s="27">
        <v>11580.0</v>
      </c>
      <c r="K83" s="27">
        <v>84.0</v>
      </c>
      <c r="L83" s="28" t="s">
        <v>30</v>
      </c>
      <c r="M83" s="28" t="s">
        <v>21</v>
      </c>
      <c r="N83" s="28" t="s">
        <v>17</v>
      </c>
      <c r="O83" s="29">
        <f t="shared" si="2"/>
        <v>0.1650782845</v>
      </c>
    </row>
    <row r="84">
      <c r="A84" s="10" t="s">
        <v>132</v>
      </c>
      <c r="B84" s="10" t="s">
        <v>24</v>
      </c>
      <c r="C84" s="26">
        <v>45580.0</v>
      </c>
      <c r="D84" s="10" t="s">
        <v>53</v>
      </c>
      <c r="E84" s="10" t="s">
        <v>133</v>
      </c>
      <c r="F84" s="27">
        <v>1094.0</v>
      </c>
      <c r="G84" s="27">
        <v>472.0</v>
      </c>
      <c r="H84" s="27">
        <v>21.0</v>
      </c>
      <c r="I84" s="27">
        <v>9846.0</v>
      </c>
      <c r="J84" s="27">
        <v>9609.0</v>
      </c>
      <c r="K84" s="27">
        <v>112.0</v>
      </c>
      <c r="L84" s="28" t="s">
        <v>30</v>
      </c>
      <c r="M84" s="10"/>
      <c r="N84" s="10"/>
      <c r="O84" s="29">
        <f t="shared" si="2"/>
        <v>0.161182206</v>
      </c>
    </row>
    <row r="85">
      <c r="A85" s="10" t="s">
        <v>188</v>
      </c>
      <c r="B85" s="10" t="s">
        <v>13</v>
      </c>
      <c r="C85" s="26">
        <v>45745.0</v>
      </c>
      <c r="D85" s="10" t="s">
        <v>39</v>
      </c>
      <c r="E85" s="10" t="s">
        <v>85</v>
      </c>
      <c r="F85" s="27">
        <v>305.0</v>
      </c>
      <c r="G85" s="27">
        <v>187.0</v>
      </c>
      <c r="H85" s="27">
        <v>243.0</v>
      </c>
      <c r="I85" s="27">
        <v>4575.0</v>
      </c>
      <c r="J85" s="27">
        <v>3704.0</v>
      </c>
      <c r="K85" s="27">
        <v>234.0</v>
      </c>
      <c r="L85" s="28" t="s">
        <v>16</v>
      </c>
      <c r="M85" s="10"/>
      <c r="N85" s="10"/>
      <c r="O85" s="29">
        <f t="shared" si="2"/>
        <v>0.1606557377</v>
      </c>
    </row>
    <row r="86">
      <c r="A86" s="10" t="s">
        <v>272</v>
      </c>
      <c r="B86" s="10" t="s">
        <v>33</v>
      </c>
      <c r="C86" s="26">
        <v>45739.0</v>
      </c>
      <c r="D86" s="10" t="s">
        <v>53</v>
      </c>
      <c r="E86" s="10" t="s">
        <v>54</v>
      </c>
      <c r="F86" s="27">
        <v>4453.0</v>
      </c>
      <c r="G86" s="27">
        <v>111.0</v>
      </c>
      <c r="H86" s="27">
        <v>420.0</v>
      </c>
      <c r="I86" s="27">
        <v>31171.0</v>
      </c>
      <c r="J86" s="27">
        <v>30565.0</v>
      </c>
      <c r="K86" s="27">
        <v>23.0</v>
      </c>
      <c r="L86" s="28" t="s">
        <v>21</v>
      </c>
      <c r="M86" s="10"/>
      <c r="N86" s="10"/>
      <c r="O86" s="29">
        <f t="shared" si="2"/>
        <v>0.1598922075</v>
      </c>
    </row>
    <row r="87">
      <c r="A87" s="10" t="s">
        <v>303</v>
      </c>
      <c r="B87" s="10" t="s">
        <v>33</v>
      </c>
      <c r="C87" s="26">
        <v>45775.0</v>
      </c>
      <c r="D87" s="10" t="s">
        <v>34</v>
      </c>
      <c r="E87" s="10" t="s">
        <v>35</v>
      </c>
      <c r="F87" s="27">
        <v>2089.0</v>
      </c>
      <c r="G87" s="27">
        <v>476.0</v>
      </c>
      <c r="H87" s="27">
        <v>69.0</v>
      </c>
      <c r="I87" s="27">
        <v>16712.0</v>
      </c>
      <c r="J87" s="27">
        <v>16309.0</v>
      </c>
      <c r="K87" s="27">
        <v>64.0</v>
      </c>
      <c r="L87" s="28" t="s">
        <v>16</v>
      </c>
      <c r="M87" s="10"/>
      <c r="N87" s="10"/>
      <c r="O87" s="29">
        <f t="shared" si="2"/>
        <v>0.1576112973</v>
      </c>
    </row>
    <row r="88">
      <c r="A88" s="10" t="s">
        <v>100</v>
      </c>
      <c r="B88" s="10" t="s">
        <v>33</v>
      </c>
      <c r="C88" s="26">
        <v>45660.0</v>
      </c>
      <c r="D88" s="10" t="s">
        <v>39</v>
      </c>
      <c r="E88" s="10" t="s">
        <v>44</v>
      </c>
      <c r="F88" s="27">
        <v>947.0</v>
      </c>
      <c r="G88" s="27">
        <v>338.0</v>
      </c>
      <c r="H88" s="27">
        <v>350.0</v>
      </c>
      <c r="I88" s="27">
        <v>10417.0</v>
      </c>
      <c r="J88" s="27">
        <v>9730.0</v>
      </c>
      <c r="K88" s="27">
        <v>34.0</v>
      </c>
      <c r="L88" s="28" t="s">
        <v>21</v>
      </c>
      <c r="M88" s="10"/>
      <c r="N88" s="10"/>
      <c r="O88" s="29">
        <f t="shared" si="2"/>
        <v>0.1569549774</v>
      </c>
    </row>
    <row r="89">
      <c r="A89" s="10" t="s">
        <v>190</v>
      </c>
      <c r="B89" s="10" t="s">
        <v>33</v>
      </c>
      <c r="C89" s="26">
        <v>45488.0</v>
      </c>
      <c r="D89" s="10" t="s">
        <v>39</v>
      </c>
      <c r="E89" s="10" t="s">
        <v>44</v>
      </c>
      <c r="F89" s="27">
        <v>2291.0</v>
      </c>
      <c r="G89" s="27">
        <v>78.0</v>
      </c>
      <c r="H89" s="27">
        <v>485.0</v>
      </c>
      <c r="I89" s="27">
        <v>18328.0</v>
      </c>
      <c r="J89" s="27">
        <v>18101.0</v>
      </c>
      <c r="K89" s="27">
        <v>10.0</v>
      </c>
      <c r="L89" s="28" t="s">
        <v>30</v>
      </c>
      <c r="M89" s="28" t="s">
        <v>191</v>
      </c>
      <c r="N89" s="10"/>
      <c r="O89" s="29">
        <f t="shared" si="2"/>
        <v>0.1557180271</v>
      </c>
    </row>
    <row r="90">
      <c r="A90" s="10" t="s">
        <v>216</v>
      </c>
      <c r="B90" s="10" t="s">
        <v>13</v>
      </c>
      <c r="C90" s="26">
        <v>45637.0</v>
      </c>
      <c r="D90" s="10" t="s">
        <v>19</v>
      </c>
      <c r="E90" s="10" t="s">
        <v>20</v>
      </c>
      <c r="F90" s="27">
        <v>3239.0</v>
      </c>
      <c r="G90" s="27">
        <v>43.0</v>
      </c>
      <c r="H90" s="27">
        <v>211.0</v>
      </c>
      <c r="I90" s="27">
        <v>22673.0</v>
      </c>
      <c r="J90" s="27">
        <v>22171.0</v>
      </c>
      <c r="K90" s="27">
        <v>230.0</v>
      </c>
      <c r="L90" s="28" t="s">
        <v>21</v>
      </c>
      <c r="M90" s="10"/>
      <c r="N90" s="10"/>
      <c r="O90" s="29">
        <f t="shared" si="2"/>
        <v>0.154059895</v>
      </c>
    </row>
    <row r="91">
      <c r="A91" s="10" t="s">
        <v>215</v>
      </c>
      <c r="B91" s="10" t="s">
        <v>24</v>
      </c>
      <c r="C91" s="26">
        <v>45715.0</v>
      </c>
      <c r="D91" s="10" t="s">
        <v>19</v>
      </c>
      <c r="E91" s="10" t="s">
        <v>70</v>
      </c>
      <c r="F91" s="27">
        <v>4934.0</v>
      </c>
      <c r="G91" s="27">
        <v>971.0</v>
      </c>
      <c r="H91" s="27">
        <v>156.0</v>
      </c>
      <c r="I91" s="27">
        <v>39472.0</v>
      </c>
      <c r="J91" s="27">
        <v>39025.0</v>
      </c>
      <c r="K91" s="27">
        <v>169.0</v>
      </c>
      <c r="L91" s="28" t="s">
        <v>21</v>
      </c>
      <c r="M91" s="28" t="s">
        <v>17</v>
      </c>
      <c r="N91" s="10"/>
      <c r="O91" s="29">
        <f t="shared" si="2"/>
        <v>0.1535518849</v>
      </c>
    </row>
    <row r="92">
      <c r="A92" s="10" t="s">
        <v>313</v>
      </c>
      <c r="B92" s="10" t="s">
        <v>24</v>
      </c>
      <c r="C92" s="26">
        <v>45675.0</v>
      </c>
      <c r="D92" s="10" t="s">
        <v>39</v>
      </c>
      <c r="E92" s="10" t="s">
        <v>40</v>
      </c>
      <c r="F92" s="27">
        <v>1206.0</v>
      </c>
      <c r="G92" s="27">
        <v>238.0</v>
      </c>
      <c r="H92" s="27">
        <v>36.0</v>
      </c>
      <c r="I92" s="27">
        <v>9648.0</v>
      </c>
      <c r="J92" s="27">
        <v>9417.0</v>
      </c>
      <c r="K92" s="27">
        <v>237.0</v>
      </c>
      <c r="L92" s="28" t="s">
        <v>21</v>
      </c>
      <c r="M92" s="10"/>
      <c r="N92" s="10"/>
      <c r="O92" s="29">
        <f t="shared" si="2"/>
        <v>0.1533996683</v>
      </c>
    </row>
    <row r="93">
      <c r="A93" s="10" t="s">
        <v>198</v>
      </c>
      <c r="B93" s="10" t="s">
        <v>27</v>
      </c>
      <c r="C93" s="26">
        <v>45586.0</v>
      </c>
      <c r="D93" s="10" t="s">
        <v>14</v>
      </c>
      <c r="E93" s="10" t="s">
        <v>58</v>
      </c>
      <c r="F93" s="27">
        <v>3256.0</v>
      </c>
      <c r="G93" s="27">
        <v>459.0</v>
      </c>
      <c r="H93" s="27">
        <v>266.0</v>
      </c>
      <c r="I93" s="27">
        <v>26048.0</v>
      </c>
      <c r="J93" s="27">
        <v>25529.0</v>
      </c>
      <c r="K93" s="27">
        <v>143.0</v>
      </c>
      <c r="L93" s="28" t="s">
        <v>21</v>
      </c>
      <c r="M93" s="10"/>
      <c r="N93" s="10"/>
      <c r="O93" s="29">
        <f t="shared" si="2"/>
        <v>0.152833231</v>
      </c>
    </row>
    <row r="94">
      <c r="A94" s="10" t="s">
        <v>26</v>
      </c>
      <c r="B94" s="10" t="s">
        <v>27</v>
      </c>
      <c r="C94" s="26">
        <v>45516.0</v>
      </c>
      <c r="D94" s="10" t="s">
        <v>28</v>
      </c>
      <c r="E94" s="10" t="s">
        <v>29</v>
      </c>
      <c r="F94" s="27">
        <v>2404.0</v>
      </c>
      <c r="G94" s="27">
        <v>363.0</v>
      </c>
      <c r="H94" s="27">
        <v>138.0</v>
      </c>
      <c r="I94" s="27">
        <v>19232.0</v>
      </c>
      <c r="J94" s="27">
        <v>18636.0</v>
      </c>
      <c r="K94" s="27">
        <v>128.0</v>
      </c>
      <c r="L94" s="28" t="s">
        <v>30</v>
      </c>
      <c r="M94" s="10"/>
      <c r="N94" s="10"/>
      <c r="O94" s="29">
        <f t="shared" si="2"/>
        <v>0.1510503328</v>
      </c>
    </row>
    <row r="95">
      <c r="A95" s="10" t="s">
        <v>50</v>
      </c>
      <c r="B95" s="10" t="s">
        <v>33</v>
      </c>
      <c r="C95" s="26">
        <v>45704.0</v>
      </c>
      <c r="D95" s="10" t="s">
        <v>28</v>
      </c>
      <c r="E95" s="10" t="s">
        <v>51</v>
      </c>
      <c r="F95" s="27">
        <v>4242.0</v>
      </c>
      <c r="G95" s="27">
        <v>555.0</v>
      </c>
      <c r="H95" s="27">
        <v>131.0</v>
      </c>
      <c r="I95" s="27">
        <v>33936.0</v>
      </c>
      <c r="J95" s="27">
        <v>33802.0</v>
      </c>
      <c r="K95" s="27">
        <v>265.0</v>
      </c>
      <c r="L95" s="28" t="s">
        <v>16</v>
      </c>
      <c r="M95" s="10"/>
      <c r="N95" s="10"/>
      <c r="O95" s="29">
        <f t="shared" si="2"/>
        <v>0.1452145215</v>
      </c>
    </row>
    <row r="96">
      <c r="A96" s="10" t="s">
        <v>243</v>
      </c>
      <c r="B96" s="10" t="s">
        <v>27</v>
      </c>
      <c r="C96" s="26">
        <v>45625.0</v>
      </c>
      <c r="D96" s="10" t="s">
        <v>53</v>
      </c>
      <c r="E96" s="10" t="s">
        <v>60</v>
      </c>
      <c r="F96" s="27">
        <v>1176.0</v>
      </c>
      <c r="G96" s="27">
        <v>464.0</v>
      </c>
      <c r="H96" s="27">
        <v>394.0</v>
      </c>
      <c r="I96" s="27">
        <v>14112.0</v>
      </c>
      <c r="J96" s="27">
        <v>13588.0</v>
      </c>
      <c r="K96" s="27">
        <v>272.0</v>
      </c>
      <c r="L96" s="28" t="s">
        <v>30</v>
      </c>
      <c r="M96" s="10"/>
      <c r="N96" s="10"/>
      <c r="O96" s="29">
        <f t="shared" si="2"/>
        <v>0.1441326531</v>
      </c>
    </row>
    <row r="97">
      <c r="A97" s="10" t="s">
        <v>224</v>
      </c>
      <c r="B97" s="10" t="s">
        <v>13</v>
      </c>
      <c r="C97" s="26">
        <v>45631.0</v>
      </c>
      <c r="D97" s="10" t="s">
        <v>53</v>
      </c>
      <c r="E97" s="10" t="s">
        <v>92</v>
      </c>
      <c r="F97" s="27">
        <v>1330.0</v>
      </c>
      <c r="G97" s="27">
        <v>925.0</v>
      </c>
      <c r="H97" s="27">
        <v>35.0</v>
      </c>
      <c r="I97" s="27">
        <v>15960.0</v>
      </c>
      <c r="J97" s="27">
        <v>15379.0</v>
      </c>
      <c r="K97" s="27">
        <v>229.0</v>
      </c>
      <c r="L97" s="28" t="s">
        <v>16</v>
      </c>
      <c r="M97" s="10"/>
      <c r="N97" s="10"/>
      <c r="O97" s="29">
        <f t="shared" si="2"/>
        <v>0.1434837093</v>
      </c>
    </row>
    <row r="98">
      <c r="A98" s="10" t="s">
        <v>217</v>
      </c>
      <c r="B98" s="10" t="s">
        <v>13</v>
      </c>
      <c r="C98" s="26">
        <v>45704.0</v>
      </c>
      <c r="D98" s="10" t="s">
        <v>14</v>
      </c>
      <c r="E98" s="10" t="s">
        <v>15</v>
      </c>
      <c r="F98" s="27">
        <v>1076.0</v>
      </c>
      <c r="G98" s="27">
        <v>313.0</v>
      </c>
      <c r="H98" s="27">
        <v>306.0</v>
      </c>
      <c r="I98" s="27">
        <v>11836.0</v>
      </c>
      <c r="J98" s="27">
        <v>11596.0</v>
      </c>
      <c r="K98" s="27">
        <v>104.0</v>
      </c>
      <c r="L98" s="28" t="s">
        <v>16</v>
      </c>
      <c r="M98" s="10"/>
      <c r="N98" s="10"/>
      <c r="O98" s="29">
        <f t="shared" si="2"/>
        <v>0.1432071646</v>
      </c>
    </row>
    <row r="99">
      <c r="A99" s="10" t="s">
        <v>258</v>
      </c>
      <c r="B99" s="10" t="s">
        <v>13</v>
      </c>
      <c r="C99" s="26">
        <v>45655.0</v>
      </c>
      <c r="D99" s="10" t="s">
        <v>34</v>
      </c>
      <c r="E99" s="10" t="s">
        <v>37</v>
      </c>
      <c r="F99" s="27">
        <v>4274.0</v>
      </c>
      <c r="G99" s="27">
        <v>340.0</v>
      </c>
      <c r="H99" s="27">
        <v>281.0</v>
      </c>
      <c r="I99" s="27">
        <v>34192.0</v>
      </c>
      <c r="J99" s="27">
        <v>33446.0</v>
      </c>
      <c r="K99" s="27">
        <v>129.0</v>
      </c>
      <c r="L99" s="28" t="s">
        <v>21</v>
      </c>
      <c r="M99" s="28" t="s">
        <v>191</v>
      </c>
      <c r="N99" s="10"/>
      <c r="O99" s="29">
        <f t="shared" si="2"/>
        <v>0.1431621432</v>
      </c>
    </row>
    <row r="100">
      <c r="A100" s="10" t="s">
        <v>109</v>
      </c>
      <c r="B100" s="10" t="s">
        <v>13</v>
      </c>
      <c r="C100" s="26">
        <v>45540.0</v>
      </c>
      <c r="D100" s="10" t="s">
        <v>53</v>
      </c>
      <c r="E100" s="10" t="s">
        <v>92</v>
      </c>
      <c r="F100" s="27">
        <v>4886.0</v>
      </c>
      <c r="G100" s="27">
        <v>983.0</v>
      </c>
      <c r="H100" s="27">
        <v>409.0</v>
      </c>
      <c r="I100" s="27">
        <v>43974.0</v>
      </c>
      <c r="J100" s="27">
        <v>43239.0</v>
      </c>
      <c r="K100" s="27">
        <v>65.0</v>
      </c>
      <c r="L100" s="28" t="s">
        <v>21</v>
      </c>
      <c r="M100" s="10"/>
      <c r="N100" s="10"/>
      <c r="O100" s="29">
        <f t="shared" si="2"/>
        <v>0.14276618</v>
      </c>
    </row>
    <row r="101">
      <c r="A101" s="10" t="s">
        <v>175</v>
      </c>
      <c r="B101" s="10" t="s">
        <v>13</v>
      </c>
      <c r="C101" s="26">
        <v>45543.0</v>
      </c>
      <c r="D101" s="10" t="s">
        <v>34</v>
      </c>
      <c r="E101" s="10" t="s">
        <v>37</v>
      </c>
      <c r="F101" s="27">
        <v>3811.0</v>
      </c>
      <c r="G101" s="27">
        <v>866.0</v>
      </c>
      <c r="H101" s="27">
        <v>216.0</v>
      </c>
      <c r="I101" s="27">
        <v>34299.0</v>
      </c>
      <c r="J101" s="27">
        <v>34088.0</v>
      </c>
      <c r="K101" s="27">
        <v>233.0</v>
      </c>
      <c r="L101" s="28" t="s">
        <v>21</v>
      </c>
      <c r="M101" s="10"/>
      <c r="N101" s="10"/>
      <c r="O101" s="29">
        <f t="shared" si="2"/>
        <v>0.1426572203</v>
      </c>
    </row>
    <row r="102">
      <c r="A102" s="10" t="s">
        <v>323</v>
      </c>
      <c r="B102" s="10" t="s">
        <v>27</v>
      </c>
      <c r="C102" s="26">
        <v>45743.0</v>
      </c>
      <c r="D102" s="10" t="s">
        <v>19</v>
      </c>
      <c r="E102" s="10" t="s">
        <v>75</v>
      </c>
      <c r="F102" s="27">
        <v>4941.0</v>
      </c>
      <c r="G102" s="27">
        <v>414.0</v>
      </c>
      <c r="H102" s="27">
        <v>266.0</v>
      </c>
      <c r="I102" s="27">
        <v>39528.0</v>
      </c>
      <c r="J102" s="27">
        <v>39154.0</v>
      </c>
      <c r="K102" s="27">
        <v>217.0</v>
      </c>
      <c r="L102" s="28" t="s">
        <v>21</v>
      </c>
      <c r="M102" s="10"/>
      <c r="N102" s="10"/>
      <c r="O102" s="29">
        <f t="shared" si="2"/>
        <v>0.1422029953</v>
      </c>
    </row>
    <row r="103">
      <c r="A103" s="10" t="s">
        <v>84</v>
      </c>
      <c r="B103" s="10" t="s">
        <v>13</v>
      </c>
      <c r="C103" s="26">
        <v>45723.0</v>
      </c>
      <c r="D103" s="10" t="s">
        <v>39</v>
      </c>
      <c r="E103" s="10" t="s">
        <v>85</v>
      </c>
      <c r="F103" s="27">
        <v>4750.0</v>
      </c>
      <c r="G103" s="27">
        <v>151.0</v>
      </c>
      <c r="H103" s="27">
        <v>415.0</v>
      </c>
      <c r="I103" s="27">
        <v>38000.0</v>
      </c>
      <c r="J103" s="27">
        <v>37792.0</v>
      </c>
      <c r="K103" s="27">
        <v>299.0</v>
      </c>
      <c r="L103" s="28" t="s">
        <v>30</v>
      </c>
      <c r="M103" s="10"/>
      <c r="N103" s="10"/>
      <c r="O103" s="29">
        <f t="shared" si="2"/>
        <v>0.1398947368</v>
      </c>
    </row>
    <row r="104">
      <c r="A104" s="10" t="s">
        <v>350</v>
      </c>
      <c r="B104" s="10" t="s">
        <v>33</v>
      </c>
      <c r="C104" s="26">
        <v>45530.0</v>
      </c>
      <c r="D104" s="10" t="s">
        <v>39</v>
      </c>
      <c r="E104" s="10" t="s">
        <v>44</v>
      </c>
      <c r="F104" s="27">
        <v>2581.0</v>
      </c>
      <c r="G104" s="27">
        <v>517.0</v>
      </c>
      <c r="H104" s="27">
        <v>117.0</v>
      </c>
      <c r="I104" s="27">
        <v>23229.0</v>
      </c>
      <c r="J104" s="27">
        <v>22331.0</v>
      </c>
      <c r="K104" s="27">
        <v>70.0</v>
      </c>
      <c r="L104" s="28" t="s">
        <v>16</v>
      </c>
      <c r="M104" s="10"/>
      <c r="N104" s="10"/>
      <c r="O104" s="29">
        <f t="shared" si="2"/>
        <v>0.1384045805</v>
      </c>
    </row>
    <row r="105">
      <c r="A105" s="10" t="s">
        <v>225</v>
      </c>
      <c r="B105" s="10" t="s">
        <v>33</v>
      </c>
      <c r="C105" s="26">
        <v>45465.0</v>
      </c>
      <c r="D105" s="10" t="s">
        <v>19</v>
      </c>
      <c r="E105" s="10" t="s">
        <v>42</v>
      </c>
      <c r="F105" s="27">
        <v>3828.0</v>
      </c>
      <c r="G105" s="27">
        <v>148.0</v>
      </c>
      <c r="H105" s="27">
        <v>253.0</v>
      </c>
      <c r="I105" s="27">
        <v>30624.0</v>
      </c>
      <c r="J105" s="27">
        <v>30229.0</v>
      </c>
      <c r="K105" s="27">
        <v>235.0</v>
      </c>
      <c r="L105" s="28" t="s">
        <v>30</v>
      </c>
      <c r="M105" s="10"/>
      <c r="N105" s="10"/>
      <c r="O105" s="29">
        <f t="shared" si="2"/>
        <v>0.1380943051</v>
      </c>
    </row>
    <row r="106">
      <c r="A106" s="10" t="s">
        <v>154</v>
      </c>
      <c r="B106" s="10" t="s">
        <v>24</v>
      </c>
      <c r="C106" s="26">
        <v>45739.0</v>
      </c>
      <c r="D106" s="10" t="s">
        <v>28</v>
      </c>
      <c r="E106" s="10" t="s">
        <v>98</v>
      </c>
      <c r="F106" s="27">
        <v>3655.0</v>
      </c>
      <c r="G106" s="27">
        <v>568.0</v>
      </c>
      <c r="H106" s="27">
        <v>286.0</v>
      </c>
      <c r="I106" s="27">
        <v>32895.0</v>
      </c>
      <c r="J106" s="27">
        <v>32015.0</v>
      </c>
      <c r="K106" s="27">
        <v>199.0</v>
      </c>
      <c r="L106" s="28" t="s">
        <v>21</v>
      </c>
      <c r="M106" s="10"/>
      <c r="N106" s="10"/>
      <c r="O106" s="29">
        <f t="shared" si="2"/>
        <v>0.1370725034</v>
      </c>
    </row>
    <row r="107">
      <c r="A107" s="10" t="s">
        <v>246</v>
      </c>
      <c r="B107" s="10" t="s">
        <v>27</v>
      </c>
      <c r="C107" s="26">
        <v>45519.0</v>
      </c>
      <c r="D107" s="10" t="s">
        <v>34</v>
      </c>
      <c r="E107" s="10" t="s">
        <v>62</v>
      </c>
      <c r="F107" s="27">
        <v>914.0</v>
      </c>
      <c r="G107" s="27">
        <v>464.0</v>
      </c>
      <c r="H107" s="27">
        <v>246.0</v>
      </c>
      <c r="I107" s="27">
        <v>11882.0</v>
      </c>
      <c r="J107" s="27">
        <v>11500.0</v>
      </c>
      <c r="K107" s="27">
        <v>282.0</v>
      </c>
      <c r="L107" s="28" t="s">
        <v>16</v>
      </c>
      <c r="M107" s="28" t="s">
        <v>21</v>
      </c>
      <c r="N107" s="28" t="s">
        <v>17</v>
      </c>
      <c r="O107" s="29">
        <f t="shared" si="2"/>
        <v>0.136677327</v>
      </c>
    </row>
    <row r="108">
      <c r="A108" s="10" t="s">
        <v>235</v>
      </c>
      <c r="B108" s="10" t="s">
        <v>13</v>
      </c>
      <c r="C108" s="26">
        <v>45501.0</v>
      </c>
      <c r="D108" s="10" t="s">
        <v>39</v>
      </c>
      <c r="E108" s="10" t="s">
        <v>85</v>
      </c>
      <c r="F108" s="27">
        <v>3215.0</v>
      </c>
      <c r="G108" s="27">
        <v>960.0</v>
      </c>
      <c r="H108" s="27">
        <v>202.0</v>
      </c>
      <c r="I108" s="27">
        <v>32150.0</v>
      </c>
      <c r="J108" s="27">
        <v>31404.0</v>
      </c>
      <c r="K108" s="27">
        <v>251.0</v>
      </c>
      <c r="L108" s="28" t="s">
        <v>30</v>
      </c>
      <c r="M108" s="10"/>
      <c r="N108" s="10"/>
      <c r="O108" s="29">
        <f t="shared" si="2"/>
        <v>0.1361430793</v>
      </c>
    </row>
    <row r="109">
      <c r="A109" s="10" t="s">
        <v>142</v>
      </c>
      <c r="B109" s="10" t="s">
        <v>13</v>
      </c>
      <c r="C109" s="26">
        <v>45586.0</v>
      </c>
      <c r="D109" s="10" t="s">
        <v>28</v>
      </c>
      <c r="E109" s="10" t="s">
        <v>95</v>
      </c>
      <c r="F109" s="27">
        <v>3801.0</v>
      </c>
      <c r="G109" s="27">
        <v>967.0</v>
      </c>
      <c r="H109" s="27">
        <v>401.0</v>
      </c>
      <c r="I109" s="27">
        <v>38010.0</v>
      </c>
      <c r="J109" s="27">
        <v>37625.0</v>
      </c>
      <c r="K109" s="27">
        <v>236.0</v>
      </c>
      <c r="L109" s="28" t="s">
        <v>16</v>
      </c>
      <c r="M109" s="10"/>
      <c r="N109" s="10"/>
      <c r="O109" s="29">
        <f t="shared" si="2"/>
        <v>0.1359905288</v>
      </c>
    </row>
    <row r="110">
      <c r="A110" s="10" t="s">
        <v>138</v>
      </c>
      <c r="B110" s="10" t="s">
        <v>33</v>
      </c>
      <c r="C110" s="26">
        <v>45480.0</v>
      </c>
      <c r="D110" s="10" t="s">
        <v>28</v>
      </c>
      <c r="E110" s="10" t="s">
        <v>51</v>
      </c>
      <c r="F110" s="27">
        <v>302.0</v>
      </c>
      <c r="G110" s="27">
        <v>47.0</v>
      </c>
      <c r="H110" s="27">
        <v>430.0</v>
      </c>
      <c r="I110" s="27">
        <v>5738.0</v>
      </c>
      <c r="J110" s="27">
        <v>4890.0</v>
      </c>
      <c r="K110" s="27">
        <v>25.0</v>
      </c>
      <c r="L110" s="28" t="s">
        <v>21</v>
      </c>
      <c r="M110" s="10"/>
      <c r="N110" s="10"/>
      <c r="O110" s="29">
        <f t="shared" si="2"/>
        <v>0.1357615894</v>
      </c>
    </row>
    <row r="111">
      <c r="A111" s="10" t="s">
        <v>336</v>
      </c>
      <c r="B111" s="10" t="s">
        <v>24</v>
      </c>
      <c r="C111" s="26">
        <v>45491.0</v>
      </c>
      <c r="D111" s="10" t="s">
        <v>19</v>
      </c>
      <c r="E111" s="10" t="s">
        <v>70</v>
      </c>
      <c r="F111" s="27">
        <v>4021.0</v>
      </c>
      <c r="G111" s="27">
        <v>794.0</v>
      </c>
      <c r="H111" s="27">
        <v>77.0</v>
      </c>
      <c r="I111" s="27">
        <v>36189.0</v>
      </c>
      <c r="J111" s="27">
        <v>35505.0</v>
      </c>
      <c r="K111" s="27">
        <v>174.0</v>
      </c>
      <c r="L111" s="28" t="s">
        <v>30</v>
      </c>
      <c r="M111" s="10"/>
      <c r="N111" s="10"/>
      <c r="O111" s="29">
        <f t="shared" si="2"/>
        <v>0.1351791981</v>
      </c>
    </row>
    <row r="112">
      <c r="A112" s="10" t="s">
        <v>97</v>
      </c>
      <c r="B112" s="10" t="s">
        <v>24</v>
      </c>
      <c r="C112" s="26">
        <v>45476.0</v>
      </c>
      <c r="D112" s="10" t="s">
        <v>28</v>
      </c>
      <c r="E112" s="10" t="s">
        <v>98</v>
      </c>
      <c r="F112" s="27">
        <v>2754.0</v>
      </c>
      <c r="G112" s="27">
        <v>130.0</v>
      </c>
      <c r="H112" s="27">
        <v>90.0</v>
      </c>
      <c r="I112" s="27">
        <v>22032.0</v>
      </c>
      <c r="J112" s="27">
        <v>21288.0</v>
      </c>
      <c r="K112" s="27">
        <v>112.0</v>
      </c>
      <c r="L112" s="28" t="s">
        <v>21</v>
      </c>
      <c r="M112" s="10"/>
      <c r="N112" s="10"/>
      <c r="O112" s="29">
        <f t="shared" si="2"/>
        <v>0.1349854757</v>
      </c>
    </row>
    <row r="113">
      <c r="A113" s="10" t="s">
        <v>182</v>
      </c>
      <c r="B113" s="10" t="s">
        <v>27</v>
      </c>
      <c r="C113" s="26">
        <v>45720.0</v>
      </c>
      <c r="D113" s="10" t="s">
        <v>28</v>
      </c>
      <c r="E113" s="10" t="s">
        <v>29</v>
      </c>
      <c r="F113" s="27">
        <v>1947.0</v>
      </c>
      <c r="G113" s="27">
        <v>842.0</v>
      </c>
      <c r="H113" s="27">
        <v>101.0</v>
      </c>
      <c r="I113" s="27">
        <v>21417.0</v>
      </c>
      <c r="J113" s="27">
        <v>20967.0</v>
      </c>
      <c r="K113" s="27">
        <v>186.0</v>
      </c>
      <c r="L113" s="28" t="s">
        <v>16</v>
      </c>
      <c r="M113" s="10"/>
      <c r="N113" s="10"/>
      <c r="O113" s="29">
        <f t="shared" si="2"/>
        <v>0.134939534</v>
      </c>
    </row>
    <row r="114">
      <c r="A114" s="10" t="s">
        <v>280</v>
      </c>
      <c r="B114" s="10" t="s">
        <v>27</v>
      </c>
      <c r="C114" s="26">
        <v>45476.0</v>
      </c>
      <c r="D114" s="10" t="s">
        <v>34</v>
      </c>
      <c r="E114" s="10" t="s">
        <v>62</v>
      </c>
      <c r="F114" s="27">
        <v>4799.0</v>
      </c>
      <c r="G114" s="27">
        <v>694.0</v>
      </c>
      <c r="H114" s="27">
        <v>289.0</v>
      </c>
      <c r="I114" s="27">
        <v>43191.0</v>
      </c>
      <c r="J114" s="27">
        <v>42228.0</v>
      </c>
      <c r="K114" s="27">
        <v>118.0</v>
      </c>
      <c r="L114" s="28" t="s">
        <v>21</v>
      </c>
      <c r="M114" s="10"/>
      <c r="N114" s="10"/>
      <c r="O114" s="29">
        <f t="shared" si="2"/>
        <v>0.1338704823</v>
      </c>
    </row>
    <row r="115">
      <c r="A115" s="10" t="s">
        <v>122</v>
      </c>
      <c r="B115" s="10" t="s">
        <v>24</v>
      </c>
      <c r="C115" s="26">
        <v>45593.0</v>
      </c>
      <c r="D115" s="10" t="s">
        <v>14</v>
      </c>
      <c r="E115" s="10" t="s">
        <v>25</v>
      </c>
      <c r="F115" s="27">
        <v>1855.0</v>
      </c>
      <c r="G115" s="27">
        <v>200.0</v>
      </c>
      <c r="H115" s="27">
        <v>174.0</v>
      </c>
      <c r="I115" s="27">
        <v>16695.0</v>
      </c>
      <c r="J115" s="27">
        <v>16330.0</v>
      </c>
      <c r="K115" s="27">
        <v>123.0</v>
      </c>
      <c r="L115" s="28" t="s">
        <v>21</v>
      </c>
      <c r="M115" s="10"/>
      <c r="N115" s="10"/>
      <c r="O115" s="29">
        <f t="shared" si="2"/>
        <v>0.1335130279</v>
      </c>
    </row>
    <row r="116">
      <c r="A116" s="10" t="s">
        <v>305</v>
      </c>
      <c r="B116" s="10" t="s">
        <v>13</v>
      </c>
      <c r="C116" s="26">
        <v>45671.0</v>
      </c>
      <c r="D116" s="10" t="s">
        <v>39</v>
      </c>
      <c r="E116" s="10" t="s">
        <v>85</v>
      </c>
      <c r="F116" s="27">
        <v>2692.0</v>
      </c>
      <c r="G116" s="27">
        <v>115.0</v>
      </c>
      <c r="H116" s="27">
        <v>64.0</v>
      </c>
      <c r="I116" s="27">
        <v>21536.0</v>
      </c>
      <c r="J116" s="27">
        <v>21120.0</v>
      </c>
      <c r="K116" s="27">
        <v>224.0</v>
      </c>
      <c r="L116" s="28" t="s">
        <v>16</v>
      </c>
      <c r="M116" s="10"/>
      <c r="N116" s="10"/>
      <c r="O116" s="29">
        <f t="shared" si="2"/>
        <v>0.1333116642</v>
      </c>
    </row>
    <row r="117">
      <c r="A117" s="10" t="s">
        <v>181</v>
      </c>
      <c r="B117" s="10" t="s">
        <v>27</v>
      </c>
      <c r="C117" s="26">
        <v>45586.0</v>
      </c>
      <c r="D117" s="10" t="s">
        <v>14</v>
      </c>
      <c r="E117" s="10" t="s">
        <v>58</v>
      </c>
      <c r="F117" s="27">
        <v>4840.0</v>
      </c>
      <c r="G117" s="27">
        <v>658.0</v>
      </c>
      <c r="H117" s="27">
        <v>211.0</v>
      </c>
      <c r="I117" s="27">
        <v>43560.0</v>
      </c>
      <c r="J117" s="27">
        <v>43225.0</v>
      </c>
      <c r="K117" s="27">
        <v>57.0</v>
      </c>
      <c r="L117" s="28" t="s">
        <v>16</v>
      </c>
      <c r="M117" s="10"/>
      <c r="N117" s="10"/>
      <c r="O117" s="29">
        <f t="shared" si="2"/>
        <v>0.1310606061</v>
      </c>
    </row>
    <row r="118">
      <c r="A118" s="10" t="s">
        <v>287</v>
      </c>
      <c r="B118" s="10" t="s">
        <v>33</v>
      </c>
      <c r="C118" s="26">
        <v>45523.0</v>
      </c>
      <c r="D118" s="10" t="s">
        <v>19</v>
      </c>
      <c r="E118" s="10" t="s">
        <v>42</v>
      </c>
      <c r="F118" s="27">
        <v>1257.0</v>
      </c>
      <c r="G118" s="27">
        <v>19.0</v>
      </c>
      <c r="H118" s="27">
        <v>351.0</v>
      </c>
      <c r="I118" s="27">
        <v>12570.0</v>
      </c>
      <c r="J118" s="27">
        <v>11660.0</v>
      </c>
      <c r="K118" s="27">
        <v>194.0</v>
      </c>
      <c r="L118" s="28" t="s">
        <v>16</v>
      </c>
      <c r="M118" s="28" t="s">
        <v>17</v>
      </c>
      <c r="N118" s="28" t="s">
        <v>30</v>
      </c>
      <c r="O118" s="29">
        <f t="shared" si="2"/>
        <v>0.1294351631</v>
      </c>
    </row>
    <row r="119">
      <c r="A119" s="10" t="s">
        <v>164</v>
      </c>
      <c r="B119" s="10" t="s">
        <v>13</v>
      </c>
      <c r="C119" s="26">
        <v>45610.0</v>
      </c>
      <c r="D119" s="10" t="s">
        <v>28</v>
      </c>
      <c r="E119" s="10" t="s">
        <v>95</v>
      </c>
      <c r="F119" s="27">
        <v>4000.0</v>
      </c>
      <c r="G119" s="27">
        <v>689.0</v>
      </c>
      <c r="H119" s="27">
        <v>488.0</v>
      </c>
      <c r="I119" s="27">
        <v>40000.0</v>
      </c>
      <c r="J119" s="27">
        <v>39569.0</v>
      </c>
      <c r="K119" s="27">
        <v>44.0</v>
      </c>
      <c r="L119" s="28" t="s">
        <v>16</v>
      </c>
      <c r="M119" s="10"/>
      <c r="N119" s="10"/>
      <c r="O119" s="29">
        <f t="shared" si="2"/>
        <v>0.129425</v>
      </c>
    </row>
    <row r="120">
      <c r="A120" s="10" t="s">
        <v>104</v>
      </c>
      <c r="B120" s="10" t="s">
        <v>33</v>
      </c>
      <c r="C120" s="26">
        <v>45644.0</v>
      </c>
      <c r="D120" s="10" t="s">
        <v>34</v>
      </c>
      <c r="E120" s="10" t="s">
        <v>35</v>
      </c>
      <c r="F120" s="27">
        <v>2946.0</v>
      </c>
      <c r="G120" s="27">
        <v>498.0</v>
      </c>
      <c r="H120" s="27">
        <v>367.0</v>
      </c>
      <c r="I120" s="27">
        <v>29460.0</v>
      </c>
      <c r="J120" s="27">
        <v>28527.0</v>
      </c>
      <c r="K120" s="27">
        <v>60.0</v>
      </c>
      <c r="L120" s="28" t="s">
        <v>16</v>
      </c>
      <c r="M120" s="10"/>
      <c r="N120" s="10"/>
      <c r="O120" s="29">
        <f t="shared" si="2"/>
        <v>0.1293618466</v>
      </c>
    </row>
    <row r="121">
      <c r="A121" s="10" t="s">
        <v>155</v>
      </c>
      <c r="B121" s="10" t="s">
        <v>27</v>
      </c>
      <c r="C121" s="26">
        <v>45457.0</v>
      </c>
      <c r="D121" s="10" t="s">
        <v>34</v>
      </c>
      <c r="E121" s="10" t="s">
        <v>62</v>
      </c>
      <c r="F121" s="27">
        <v>498.0</v>
      </c>
      <c r="G121" s="27">
        <v>38.0</v>
      </c>
      <c r="H121" s="27">
        <v>42.0</v>
      </c>
      <c r="I121" s="27">
        <v>4482.0</v>
      </c>
      <c r="J121" s="27">
        <v>3647.0</v>
      </c>
      <c r="K121" s="27">
        <v>32.0</v>
      </c>
      <c r="L121" s="28" t="s">
        <v>16</v>
      </c>
      <c r="M121" s="10"/>
      <c r="N121" s="10"/>
      <c r="O121" s="29">
        <f t="shared" si="2"/>
        <v>0.1289602856</v>
      </c>
    </row>
    <row r="122">
      <c r="A122" s="10" t="s">
        <v>46</v>
      </c>
      <c r="B122" s="10" t="s">
        <v>33</v>
      </c>
      <c r="C122" s="26">
        <v>45494.0</v>
      </c>
      <c r="D122" s="10" t="s">
        <v>14</v>
      </c>
      <c r="E122" s="10" t="s">
        <v>47</v>
      </c>
      <c r="F122" s="27">
        <v>1946.0</v>
      </c>
      <c r="G122" s="27">
        <v>686.0</v>
      </c>
      <c r="H122" s="27">
        <v>377.0</v>
      </c>
      <c r="I122" s="27">
        <v>23352.0</v>
      </c>
      <c r="J122" s="27">
        <v>22982.0</v>
      </c>
      <c r="K122" s="27">
        <v>213.0</v>
      </c>
      <c r="L122" s="28" t="s">
        <v>16</v>
      </c>
      <c r="M122" s="10"/>
      <c r="N122" s="10"/>
      <c r="O122" s="29">
        <f t="shared" si="2"/>
        <v>0.1288540596</v>
      </c>
    </row>
    <row r="123">
      <c r="A123" s="10" t="s">
        <v>286</v>
      </c>
      <c r="B123" s="10" t="s">
        <v>33</v>
      </c>
      <c r="C123" s="26">
        <v>45648.0</v>
      </c>
      <c r="D123" s="10" t="s">
        <v>39</v>
      </c>
      <c r="E123" s="10" t="s">
        <v>44</v>
      </c>
      <c r="F123" s="27">
        <v>3196.0</v>
      </c>
      <c r="G123" s="27">
        <v>941.0</v>
      </c>
      <c r="H123" s="27">
        <v>376.0</v>
      </c>
      <c r="I123" s="27">
        <v>35156.0</v>
      </c>
      <c r="J123" s="27">
        <v>34444.0</v>
      </c>
      <c r="K123" s="27">
        <v>241.0</v>
      </c>
      <c r="L123" s="28" t="s">
        <v>21</v>
      </c>
      <c r="M123" s="10"/>
      <c r="N123" s="10"/>
      <c r="O123" s="29">
        <f t="shared" si="2"/>
        <v>0.1283706906</v>
      </c>
    </row>
    <row r="124">
      <c r="A124" s="10" t="s">
        <v>77</v>
      </c>
      <c r="B124" s="10" t="s">
        <v>33</v>
      </c>
      <c r="C124" s="26">
        <v>45525.0</v>
      </c>
      <c r="D124" s="10" t="s">
        <v>39</v>
      </c>
      <c r="E124" s="10" t="s">
        <v>44</v>
      </c>
      <c r="F124" s="27">
        <v>1407.0</v>
      </c>
      <c r="G124" s="27">
        <v>400.0</v>
      </c>
      <c r="H124" s="27">
        <v>351.0</v>
      </c>
      <c r="I124" s="27">
        <v>16884.0</v>
      </c>
      <c r="J124" s="27">
        <v>15954.0</v>
      </c>
      <c r="K124" s="27">
        <v>113.0</v>
      </c>
      <c r="L124" s="28" t="s">
        <v>21</v>
      </c>
      <c r="M124" s="10"/>
      <c r="N124" s="10"/>
      <c r="O124" s="29">
        <f t="shared" si="2"/>
        <v>0.1278133144</v>
      </c>
    </row>
    <row r="125">
      <c r="A125" s="10" t="s">
        <v>82</v>
      </c>
      <c r="B125" s="10" t="s">
        <v>24</v>
      </c>
      <c r="C125" s="26">
        <v>45705.0</v>
      </c>
      <c r="D125" s="10" t="s">
        <v>14</v>
      </c>
      <c r="E125" s="10" t="s">
        <v>25</v>
      </c>
      <c r="F125" s="27">
        <v>3138.0</v>
      </c>
      <c r="G125" s="27">
        <v>123.0</v>
      </c>
      <c r="H125" s="27">
        <v>291.0</v>
      </c>
      <c r="I125" s="27">
        <v>28242.0</v>
      </c>
      <c r="J125" s="27">
        <v>27550.0</v>
      </c>
      <c r="K125" s="27">
        <v>87.0</v>
      </c>
      <c r="L125" s="28" t="s">
        <v>21</v>
      </c>
      <c r="M125" s="10"/>
      <c r="N125" s="10"/>
      <c r="O125" s="29">
        <f t="shared" si="2"/>
        <v>0.1257701296</v>
      </c>
    </row>
    <row r="126">
      <c r="A126" s="10" t="s">
        <v>247</v>
      </c>
      <c r="B126" s="10" t="s">
        <v>27</v>
      </c>
      <c r="C126" s="26">
        <v>45645.0</v>
      </c>
      <c r="D126" s="10" t="s">
        <v>19</v>
      </c>
      <c r="E126" s="10" t="s">
        <v>75</v>
      </c>
      <c r="F126" s="27">
        <v>1813.0</v>
      </c>
      <c r="G126" s="27">
        <v>623.0</v>
      </c>
      <c r="H126" s="27">
        <v>72.0</v>
      </c>
      <c r="I126" s="27">
        <v>19943.0</v>
      </c>
      <c r="J126" s="27">
        <v>18959.0</v>
      </c>
      <c r="K126" s="27">
        <v>85.0</v>
      </c>
      <c r="L126" s="28" t="s">
        <v>30</v>
      </c>
      <c r="M126" s="10"/>
      <c r="N126" s="10"/>
      <c r="O126" s="29">
        <f t="shared" si="2"/>
        <v>0.1257584115</v>
      </c>
    </row>
    <row r="127">
      <c r="A127" s="10" t="s">
        <v>178</v>
      </c>
      <c r="B127" s="10" t="s">
        <v>13</v>
      </c>
      <c r="C127" s="26">
        <v>45667.0</v>
      </c>
      <c r="D127" s="10" t="s">
        <v>39</v>
      </c>
      <c r="E127" s="10" t="s">
        <v>85</v>
      </c>
      <c r="F127" s="27">
        <v>3092.0</v>
      </c>
      <c r="G127" s="27">
        <v>106.0</v>
      </c>
      <c r="H127" s="27">
        <v>291.0</v>
      </c>
      <c r="I127" s="27">
        <v>27828.0</v>
      </c>
      <c r="J127" s="27">
        <v>27217.0</v>
      </c>
      <c r="K127" s="27">
        <v>102.0</v>
      </c>
      <c r="L127" s="28" t="s">
        <v>16</v>
      </c>
      <c r="M127" s="10"/>
      <c r="N127" s="10"/>
      <c r="O127" s="29">
        <f t="shared" si="2"/>
        <v>0.1253773178</v>
      </c>
    </row>
    <row r="128">
      <c r="A128" s="10" t="s">
        <v>220</v>
      </c>
      <c r="B128" s="10" t="s">
        <v>24</v>
      </c>
      <c r="C128" s="26">
        <v>45629.0</v>
      </c>
      <c r="D128" s="10" t="s">
        <v>53</v>
      </c>
      <c r="E128" s="10" t="s">
        <v>133</v>
      </c>
      <c r="F128" s="27">
        <v>3809.0</v>
      </c>
      <c r="G128" s="27">
        <v>273.0</v>
      </c>
      <c r="H128" s="27">
        <v>200.0</v>
      </c>
      <c r="I128" s="27">
        <v>34281.0</v>
      </c>
      <c r="J128" s="27">
        <v>33534.0</v>
      </c>
      <c r="K128" s="27">
        <v>83.0</v>
      </c>
      <c r="L128" s="28" t="s">
        <v>30</v>
      </c>
      <c r="M128" s="10"/>
      <c r="N128" s="10"/>
      <c r="O128" s="29">
        <f t="shared" si="2"/>
        <v>0.1249088416</v>
      </c>
    </row>
    <row r="129">
      <c r="A129" s="10" t="s">
        <v>344</v>
      </c>
      <c r="B129" s="10" t="s">
        <v>33</v>
      </c>
      <c r="C129" s="26">
        <v>45791.0</v>
      </c>
      <c r="D129" s="10" t="s">
        <v>19</v>
      </c>
      <c r="E129" s="10" t="s">
        <v>42</v>
      </c>
      <c r="F129" s="27">
        <v>2634.0</v>
      </c>
      <c r="G129" s="27">
        <v>726.0</v>
      </c>
      <c r="H129" s="27">
        <v>241.0</v>
      </c>
      <c r="I129" s="27">
        <v>28974.0</v>
      </c>
      <c r="J129" s="27">
        <v>28102.0</v>
      </c>
      <c r="K129" s="27">
        <v>277.0</v>
      </c>
      <c r="L129" s="28" t="s">
        <v>30</v>
      </c>
      <c r="M129" s="10"/>
      <c r="N129" s="10"/>
      <c r="O129" s="29">
        <f t="shared" si="2"/>
        <v>0.1242838407</v>
      </c>
    </row>
    <row r="130">
      <c r="A130" s="10" t="s">
        <v>343</v>
      </c>
      <c r="B130" s="10" t="s">
        <v>33</v>
      </c>
      <c r="C130" s="26">
        <v>45613.0</v>
      </c>
      <c r="D130" s="10" t="s">
        <v>19</v>
      </c>
      <c r="E130" s="10" t="s">
        <v>42</v>
      </c>
      <c r="F130" s="27">
        <v>880.0</v>
      </c>
      <c r="G130" s="27">
        <v>297.0</v>
      </c>
      <c r="H130" s="27">
        <v>345.0</v>
      </c>
      <c r="I130" s="27">
        <v>12320.0</v>
      </c>
      <c r="J130" s="27">
        <v>11978.0</v>
      </c>
      <c r="K130" s="27">
        <v>238.0</v>
      </c>
      <c r="L130" s="28" t="s">
        <v>21</v>
      </c>
      <c r="M130" s="28" t="s">
        <v>17</v>
      </c>
      <c r="N130" s="10"/>
      <c r="O130" s="29">
        <f t="shared" si="2"/>
        <v>0.123538961</v>
      </c>
    </row>
    <row r="131">
      <c r="A131" s="10" t="s">
        <v>263</v>
      </c>
      <c r="B131" s="10" t="s">
        <v>24</v>
      </c>
      <c r="C131" s="26">
        <v>45719.0</v>
      </c>
      <c r="D131" s="10" t="s">
        <v>53</v>
      </c>
      <c r="E131" s="10" t="s">
        <v>133</v>
      </c>
      <c r="F131" s="27">
        <v>3874.0</v>
      </c>
      <c r="G131" s="27">
        <v>884.0</v>
      </c>
      <c r="H131" s="27">
        <v>19.0</v>
      </c>
      <c r="I131" s="27">
        <v>38740.0</v>
      </c>
      <c r="J131" s="27">
        <v>38552.0</v>
      </c>
      <c r="K131" s="27">
        <v>219.0</v>
      </c>
      <c r="L131" s="28" t="s">
        <v>21</v>
      </c>
      <c r="M131" s="10"/>
      <c r="N131" s="10"/>
      <c r="O131" s="29">
        <f t="shared" si="2"/>
        <v>0.1233092411</v>
      </c>
    </row>
    <row r="132">
      <c r="A132" s="10" t="s">
        <v>160</v>
      </c>
      <c r="B132" s="10" t="s">
        <v>27</v>
      </c>
      <c r="C132" s="26">
        <v>45502.0</v>
      </c>
      <c r="D132" s="10" t="s">
        <v>14</v>
      </c>
      <c r="E132" s="10" t="s">
        <v>58</v>
      </c>
      <c r="F132" s="27">
        <v>3523.0</v>
      </c>
      <c r="G132" s="27">
        <v>753.0</v>
      </c>
      <c r="H132" s="27">
        <v>482.0</v>
      </c>
      <c r="I132" s="27">
        <v>38753.0</v>
      </c>
      <c r="J132" s="27">
        <v>38579.0</v>
      </c>
      <c r="K132" s="27">
        <v>270.0</v>
      </c>
      <c r="L132" s="28" t="s">
        <v>30</v>
      </c>
      <c r="M132" s="10"/>
      <c r="N132" s="10"/>
      <c r="O132" s="29">
        <f t="shared" si="2"/>
        <v>0.1227775914</v>
      </c>
    </row>
    <row r="133">
      <c r="A133" s="10" t="s">
        <v>296</v>
      </c>
      <c r="B133" s="10" t="s">
        <v>33</v>
      </c>
      <c r="C133" s="26">
        <v>45669.0</v>
      </c>
      <c r="D133" s="10" t="s">
        <v>14</v>
      </c>
      <c r="E133" s="10" t="s">
        <v>47</v>
      </c>
      <c r="F133" s="27">
        <v>4134.0</v>
      </c>
      <c r="G133" s="27">
        <v>824.0</v>
      </c>
      <c r="H133" s="27">
        <v>99.0</v>
      </c>
      <c r="I133" s="27">
        <v>41340.0</v>
      </c>
      <c r="J133" s="27">
        <v>41050.0</v>
      </c>
      <c r="K133" s="27">
        <v>177.0</v>
      </c>
      <c r="L133" s="28" t="s">
        <v>30</v>
      </c>
      <c r="M133" s="10"/>
      <c r="N133" s="10"/>
      <c r="O133" s="29">
        <f t="shared" si="2"/>
        <v>0.122327044</v>
      </c>
    </row>
    <row r="134">
      <c r="A134" s="10" t="s">
        <v>123</v>
      </c>
      <c r="B134" s="10" t="s">
        <v>27</v>
      </c>
      <c r="C134" s="26">
        <v>45505.0</v>
      </c>
      <c r="D134" s="10" t="s">
        <v>14</v>
      </c>
      <c r="E134" s="10" t="s">
        <v>58</v>
      </c>
      <c r="F134" s="27">
        <v>1674.0</v>
      </c>
      <c r="G134" s="27">
        <v>929.0</v>
      </c>
      <c r="H134" s="27">
        <v>37.0</v>
      </c>
      <c r="I134" s="27">
        <v>21762.0</v>
      </c>
      <c r="J134" s="27">
        <v>20998.0</v>
      </c>
      <c r="K134" s="27">
        <v>255.0</v>
      </c>
      <c r="L134" s="28" t="s">
        <v>21</v>
      </c>
      <c r="M134" s="10"/>
      <c r="N134" s="10"/>
      <c r="O134" s="29">
        <f t="shared" si="2"/>
        <v>0.1213123794</v>
      </c>
    </row>
    <row r="135">
      <c r="A135" s="10" t="s">
        <v>306</v>
      </c>
      <c r="B135" s="10" t="s">
        <v>33</v>
      </c>
      <c r="C135" s="26">
        <v>45750.0</v>
      </c>
      <c r="D135" s="10" t="s">
        <v>28</v>
      </c>
      <c r="E135" s="10" t="s">
        <v>51</v>
      </c>
      <c r="F135" s="27">
        <v>3767.0</v>
      </c>
      <c r="G135" s="27">
        <v>514.0</v>
      </c>
      <c r="H135" s="27">
        <v>238.0</v>
      </c>
      <c r="I135" s="27">
        <v>37670.0</v>
      </c>
      <c r="J135" s="27">
        <v>36807.0</v>
      </c>
      <c r="K135" s="27">
        <v>226.0</v>
      </c>
      <c r="L135" s="28" t="s">
        <v>16</v>
      </c>
      <c r="M135" s="10"/>
      <c r="N135" s="10"/>
      <c r="O135" s="29">
        <f t="shared" si="2"/>
        <v>0.1199628351</v>
      </c>
    </row>
    <row r="136">
      <c r="A136" s="10" t="s">
        <v>119</v>
      </c>
      <c r="B136" s="10" t="s">
        <v>24</v>
      </c>
      <c r="C136" s="26">
        <v>45537.0</v>
      </c>
      <c r="D136" s="10" t="s">
        <v>34</v>
      </c>
      <c r="E136" s="10" t="s">
        <v>49</v>
      </c>
      <c r="F136" s="27">
        <v>2551.0</v>
      </c>
      <c r="G136" s="27">
        <v>915.0</v>
      </c>
      <c r="H136" s="27">
        <v>205.0</v>
      </c>
      <c r="I136" s="27">
        <v>30612.0</v>
      </c>
      <c r="J136" s="27">
        <v>30360.0</v>
      </c>
      <c r="K136" s="27">
        <v>227.0</v>
      </c>
      <c r="L136" s="28" t="s">
        <v>21</v>
      </c>
      <c r="M136" s="10"/>
      <c r="N136" s="10"/>
      <c r="O136" s="29">
        <f t="shared" si="2"/>
        <v>0.1199202927</v>
      </c>
    </row>
    <row r="137">
      <c r="A137" s="10" t="s">
        <v>113</v>
      </c>
      <c r="B137" s="10" t="s">
        <v>27</v>
      </c>
      <c r="C137" s="26">
        <v>45744.0</v>
      </c>
      <c r="D137" s="10" t="s">
        <v>28</v>
      </c>
      <c r="E137" s="10" t="s">
        <v>29</v>
      </c>
      <c r="F137" s="27">
        <v>1881.0</v>
      </c>
      <c r="G137" s="27">
        <v>501.0</v>
      </c>
      <c r="H137" s="27">
        <v>99.0</v>
      </c>
      <c r="I137" s="27">
        <v>20691.0</v>
      </c>
      <c r="J137" s="27">
        <v>19987.0</v>
      </c>
      <c r="K137" s="27">
        <v>289.0</v>
      </c>
      <c r="L137" s="28" t="s">
        <v>30</v>
      </c>
      <c r="M137" s="10"/>
      <c r="N137" s="10"/>
      <c r="O137" s="29">
        <f t="shared" si="2"/>
        <v>0.119907206</v>
      </c>
    </row>
    <row r="138">
      <c r="A138" s="10" t="s">
        <v>298</v>
      </c>
      <c r="B138" s="10" t="s">
        <v>33</v>
      </c>
      <c r="C138" s="26">
        <v>45531.0</v>
      </c>
      <c r="D138" s="10" t="s">
        <v>14</v>
      </c>
      <c r="E138" s="10" t="s">
        <v>47</v>
      </c>
      <c r="F138" s="27">
        <v>3960.0</v>
      </c>
      <c r="G138" s="27">
        <v>266.0</v>
      </c>
      <c r="H138" s="27">
        <v>8.0</v>
      </c>
      <c r="I138" s="27">
        <v>35640.0</v>
      </c>
      <c r="J138" s="27">
        <v>34850.0</v>
      </c>
      <c r="K138" s="27">
        <v>208.0</v>
      </c>
      <c r="L138" s="28" t="s">
        <v>16</v>
      </c>
      <c r="M138" s="28" t="s">
        <v>30</v>
      </c>
      <c r="N138" s="28" t="s">
        <v>22</v>
      </c>
      <c r="O138" s="29">
        <f t="shared" si="2"/>
        <v>0.1187991021</v>
      </c>
    </row>
    <row r="139">
      <c r="A139" s="10" t="s">
        <v>79</v>
      </c>
      <c r="B139" s="10" t="s">
        <v>27</v>
      </c>
      <c r="C139" s="26">
        <v>45626.0</v>
      </c>
      <c r="D139" s="10" t="s">
        <v>53</v>
      </c>
      <c r="E139" s="10" t="s">
        <v>60</v>
      </c>
      <c r="F139" s="27">
        <v>3775.0</v>
      </c>
      <c r="G139" s="27">
        <v>16.0</v>
      </c>
      <c r="H139" s="27">
        <v>239.0</v>
      </c>
      <c r="I139" s="27">
        <v>33975.0</v>
      </c>
      <c r="J139" s="27">
        <v>33310.0</v>
      </c>
      <c r="K139" s="27">
        <v>271.0</v>
      </c>
      <c r="L139" s="28" t="s">
        <v>16</v>
      </c>
      <c r="M139" s="10"/>
      <c r="N139" s="10"/>
      <c r="O139" s="29">
        <f t="shared" si="2"/>
        <v>0.1186166299</v>
      </c>
    </row>
    <row r="140">
      <c r="A140" s="10" t="s">
        <v>167</v>
      </c>
      <c r="B140" s="10" t="s">
        <v>13</v>
      </c>
      <c r="C140" s="26">
        <v>45600.0</v>
      </c>
      <c r="D140" s="10" t="s">
        <v>39</v>
      </c>
      <c r="E140" s="10" t="s">
        <v>85</v>
      </c>
      <c r="F140" s="27">
        <v>1606.0</v>
      </c>
      <c r="G140" s="27">
        <v>451.0</v>
      </c>
      <c r="H140" s="27">
        <v>405.0</v>
      </c>
      <c r="I140" s="27">
        <v>20878.0</v>
      </c>
      <c r="J140" s="27">
        <v>20190.0</v>
      </c>
      <c r="K140" s="27">
        <v>219.0</v>
      </c>
      <c r="L140" s="28" t="s">
        <v>30</v>
      </c>
      <c r="M140" s="10"/>
      <c r="N140" s="10"/>
      <c r="O140" s="29">
        <f t="shared" si="2"/>
        <v>0.1179231727</v>
      </c>
    </row>
    <row r="141">
      <c r="A141" s="10" t="s">
        <v>302</v>
      </c>
      <c r="B141" s="10" t="s">
        <v>27</v>
      </c>
      <c r="C141" s="26">
        <v>45743.0</v>
      </c>
      <c r="D141" s="10" t="s">
        <v>34</v>
      </c>
      <c r="E141" s="10" t="s">
        <v>62</v>
      </c>
      <c r="F141" s="27">
        <v>1377.0</v>
      </c>
      <c r="G141" s="27">
        <v>796.0</v>
      </c>
      <c r="H141" s="27">
        <v>387.0</v>
      </c>
      <c r="I141" s="27">
        <v>22032.0</v>
      </c>
      <c r="J141" s="27">
        <v>21869.0</v>
      </c>
      <c r="K141" s="27">
        <v>189.0</v>
      </c>
      <c r="L141" s="28" t="s">
        <v>16</v>
      </c>
      <c r="M141" s="10"/>
      <c r="N141" s="10"/>
      <c r="O141" s="29">
        <f t="shared" si="2"/>
        <v>0.116194626</v>
      </c>
    </row>
    <row r="142">
      <c r="A142" s="10" t="s">
        <v>45</v>
      </c>
      <c r="B142" s="10" t="s">
        <v>27</v>
      </c>
      <c r="C142" s="26">
        <v>45690.0</v>
      </c>
      <c r="D142" s="10" t="s">
        <v>28</v>
      </c>
      <c r="E142" s="10" t="s">
        <v>29</v>
      </c>
      <c r="F142" s="27">
        <v>1792.0</v>
      </c>
      <c r="G142" s="27">
        <v>614.0</v>
      </c>
      <c r="H142" s="27">
        <v>497.0</v>
      </c>
      <c r="I142" s="27">
        <v>25088.0</v>
      </c>
      <c r="J142" s="27">
        <v>24675.0</v>
      </c>
      <c r="K142" s="27">
        <v>65.0</v>
      </c>
      <c r="L142" s="28" t="s">
        <v>16</v>
      </c>
      <c r="M142" s="10"/>
      <c r="N142" s="10"/>
      <c r="O142" s="29">
        <f t="shared" si="2"/>
        <v>0.1157126913</v>
      </c>
    </row>
    <row r="143">
      <c r="A143" s="10" t="s">
        <v>212</v>
      </c>
      <c r="B143" s="10" t="s">
        <v>13</v>
      </c>
      <c r="C143" s="26">
        <v>45707.0</v>
      </c>
      <c r="D143" s="10" t="s">
        <v>19</v>
      </c>
      <c r="E143" s="10" t="s">
        <v>20</v>
      </c>
      <c r="F143" s="27">
        <v>4671.0</v>
      </c>
      <c r="G143" s="27">
        <v>876.0</v>
      </c>
      <c r="H143" s="27">
        <v>366.0</v>
      </c>
      <c r="I143" s="27">
        <v>51381.0</v>
      </c>
      <c r="J143" s="27">
        <v>50565.0</v>
      </c>
      <c r="K143" s="27">
        <v>245.0</v>
      </c>
      <c r="L143" s="28" t="s">
        <v>21</v>
      </c>
      <c r="M143" s="10"/>
      <c r="N143" s="10"/>
      <c r="O143" s="29">
        <f t="shared" si="2"/>
        <v>0.1150814503</v>
      </c>
    </row>
    <row r="144">
      <c r="A144" s="10" t="s">
        <v>206</v>
      </c>
      <c r="B144" s="10" t="s">
        <v>24</v>
      </c>
      <c r="C144" s="26">
        <v>45647.0</v>
      </c>
      <c r="D144" s="10" t="s">
        <v>39</v>
      </c>
      <c r="E144" s="10" t="s">
        <v>40</v>
      </c>
      <c r="F144" s="27">
        <v>2283.0</v>
      </c>
      <c r="G144" s="27">
        <v>210.0</v>
      </c>
      <c r="H144" s="27">
        <v>130.0</v>
      </c>
      <c r="I144" s="27">
        <v>22830.0</v>
      </c>
      <c r="J144" s="27">
        <v>22617.0</v>
      </c>
      <c r="K144" s="27">
        <v>143.0</v>
      </c>
      <c r="L144" s="28" t="s">
        <v>16</v>
      </c>
      <c r="M144" s="10"/>
      <c r="N144" s="10"/>
      <c r="O144" s="29">
        <f t="shared" si="2"/>
        <v>0.1148926851</v>
      </c>
    </row>
    <row r="145">
      <c r="A145" s="10" t="s">
        <v>335</v>
      </c>
      <c r="B145" s="10" t="s">
        <v>13</v>
      </c>
      <c r="C145" s="26">
        <v>45552.0</v>
      </c>
      <c r="D145" s="10" t="s">
        <v>19</v>
      </c>
      <c r="E145" s="10" t="s">
        <v>20</v>
      </c>
      <c r="F145" s="27">
        <v>571.0</v>
      </c>
      <c r="G145" s="27">
        <v>190.0</v>
      </c>
      <c r="H145" s="27">
        <v>352.0</v>
      </c>
      <c r="I145" s="27">
        <v>9707.0</v>
      </c>
      <c r="J145" s="27">
        <v>9418.0</v>
      </c>
      <c r="K145" s="27">
        <v>231.0</v>
      </c>
      <c r="L145" s="28" t="s">
        <v>21</v>
      </c>
      <c r="M145" s="10"/>
      <c r="N145" s="10"/>
      <c r="O145" s="29">
        <f t="shared" si="2"/>
        <v>0.1146595241</v>
      </c>
    </row>
    <row r="146">
      <c r="A146" s="10" t="s">
        <v>163</v>
      </c>
      <c r="B146" s="10" t="s">
        <v>13</v>
      </c>
      <c r="C146" s="26">
        <v>45567.0</v>
      </c>
      <c r="D146" s="10" t="s">
        <v>34</v>
      </c>
      <c r="E146" s="10" t="s">
        <v>37</v>
      </c>
      <c r="F146" s="27">
        <v>4419.0</v>
      </c>
      <c r="G146" s="27">
        <v>236.0</v>
      </c>
      <c r="H146" s="27">
        <v>369.0</v>
      </c>
      <c r="I146" s="27">
        <v>44190.0</v>
      </c>
      <c r="J146" s="27">
        <v>43582.0</v>
      </c>
      <c r="K146" s="27">
        <v>10.0</v>
      </c>
      <c r="L146" s="28" t="s">
        <v>30</v>
      </c>
      <c r="M146" s="10"/>
      <c r="N146" s="10"/>
      <c r="O146" s="29">
        <f t="shared" si="2"/>
        <v>0.1136908803</v>
      </c>
    </row>
    <row r="147">
      <c r="A147" s="10" t="s">
        <v>209</v>
      </c>
      <c r="B147" s="10" t="s">
        <v>27</v>
      </c>
      <c r="C147" s="26">
        <v>45515.0</v>
      </c>
      <c r="D147" s="10" t="s">
        <v>28</v>
      </c>
      <c r="E147" s="10" t="s">
        <v>29</v>
      </c>
      <c r="F147" s="27">
        <v>1762.0</v>
      </c>
      <c r="G147" s="27">
        <v>405.0</v>
      </c>
      <c r="H147" s="27">
        <v>423.0</v>
      </c>
      <c r="I147" s="27">
        <v>22906.0</v>
      </c>
      <c r="J147" s="27">
        <v>21925.0</v>
      </c>
      <c r="K147" s="27">
        <v>25.0</v>
      </c>
      <c r="L147" s="28" t="s">
        <v>21</v>
      </c>
      <c r="M147" s="10"/>
      <c r="N147" s="10"/>
      <c r="O147" s="29">
        <f t="shared" si="2"/>
        <v>0.1130708111</v>
      </c>
    </row>
    <row r="148">
      <c r="A148" s="10" t="s">
        <v>148</v>
      </c>
      <c r="B148" s="10" t="s">
        <v>13</v>
      </c>
      <c r="C148" s="26">
        <v>45453.0</v>
      </c>
      <c r="D148" s="10" t="s">
        <v>28</v>
      </c>
      <c r="E148" s="10" t="s">
        <v>95</v>
      </c>
      <c r="F148" s="27">
        <v>1575.0</v>
      </c>
      <c r="G148" s="27">
        <v>771.0</v>
      </c>
      <c r="H148" s="27">
        <v>486.0</v>
      </c>
      <c r="I148" s="27">
        <v>25200.0</v>
      </c>
      <c r="J148" s="27">
        <v>24826.0</v>
      </c>
      <c r="K148" s="27">
        <v>17.0</v>
      </c>
      <c r="L148" s="28" t="s">
        <v>16</v>
      </c>
      <c r="M148" s="10"/>
      <c r="N148" s="10"/>
      <c r="O148" s="29">
        <f t="shared" si="2"/>
        <v>0.1123809524</v>
      </c>
    </row>
    <row r="149">
      <c r="A149" s="10" t="s">
        <v>278</v>
      </c>
      <c r="B149" s="10" t="s">
        <v>27</v>
      </c>
      <c r="C149" s="26">
        <v>45455.0</v>
      </c>
      <c r="D149" s="10" t="s">
        <v>19</v>
      </c>
      <c r="E149" s="10" t="s">
        <v>75</v>
      </c>
      <c r="F149" s="27">
        <v>246.0</v>
      </c>
      <c r="G149" s="27">
        <v>149.0</v>
      </c>
      <c r="H149" s="27">
        <v>130.0</v>
      </c>
      <c r="I149" s="27">
        <v>4674.0</v>
      </c>
      <c r="J149" s="27">
        <v>4390.0</v>
      </c>
      <c r="K149" s="27">
        <v>217.0</v>
      </c>
      <c r="L149" s="28" t="s">
        <v>16</v>
      </c>
      <c r="M149" s="10"/>
      <c r="N149" s="10"/>
      <c r="O149" s="29">
        <f t="shared" si="2"/>
        <v>0.1123234917</v>
      </c>
    </row>
    <row r="150">
      <c r="A150" s="10" t="s">
        <v>273</v>
      </c>
      <c r="B150" s="10" t="s">
        <v>33</v>
      </c>
      <c r="C150" s="26">
        <v>45573.0</v>
      </c>
      <c r="D150" s="10" t="s">
        <v>14</v>
      </c>
      <c r="E150" s="10" t="s">
        <v>47</v>
      </c>
      <c r="F150" s="27">
        <v>1814.0</v>
      </c>
      <c r="G150" s="27">
        <v>653.0</v>
      </c>
      <c r="H150" s="27">
        <v>363.0</v>
      </c>
      <c r="I150" s="27">
        <v>25396.0</v>
      </c>
      <c r="J150" s="27">
        <v>25286.0</v>
      </c>
      <c r="K150" s="27">
        <v>39.0</v>
      </c>
      <c r="L150" s="28" t="s">
        <v>16</v>
      </c>
      <c r="M150" s="28" t="s">
        <v>191</v>
      </c>
      <c r="N150" s="10"/>
      <c r="O150" s="29">
        <f t="shared" si="2"/>
        <v>0.1114348716</v>
      </c>
    </row>
    <row r="151">
      <c r="A151" s="10" t="s">
        <v>329</v>
      </c>
      <c r="B151" s="10" t="s">
        <v>13</v>
      </c>
      <c r="C151" s="26">
        <v>45622.0</v>
      </c>
      <c r="D151" s="10" t="s">
        <v>19</v>
      </c>
      <c r="E151" s="10" t="s">
        <v>20</v>
      </c>
      <c r="F151" s="27">
        <v>4516.0</v>
      </c>
      <c r="G151" s="27">
        <v>836.0</v>
      </c>
      <c r="H151" s="27">
        <v>169.0</v>
      </c>
      <c r="I151" s="27">
        <v>49676.0</v>
      </c>
      <c r="J151" s="27">
        <v>49257.0</v>
      </c>
      <c r="K151" s="27">
        <v>282.0</v>
      </c>
      <c r="L151" s="28" t="s">
        <v>30</v>
      </c>
      <c r="M151" s="10"/>
      <c r="N151" s="10"/>
      <c r="O151" s="29">
        <f t="shared" si="2"/>
        <v>0.1111401884</v>
      </c>
    </row>
    <row r="152">
      <c r="A152" s="10" t="s">
        <v>202</v>
      </c>
      <c r="B152" s="10" t="s">
        <v>27</v>
      </c>
      <c r="C152" s="26">
        <v>45499.0</v>
      </c>
      <c r="D152" s="10" t="s">
        <v>39</v>
      </c>
      <c r="E152" s="10" t="s">
        <v>131</v>
      </c>
      <c r="F152" s="27">
        <v>3559.0</v>
      </c>
      <c r="G152" s="27">
        <v>59.0</v>
      </c>
      <c r="H152" s="27">
        <v>289.0</v>
      </c>
      <c r="I152" s="27">
        <v>35590.0</v>
      </c>
      <c r="J152" s="27">
        <v>35105.0</v>
      </c>
      <c r="K152" s="27">
        <v>122.0</v>
      </c>
      <c r="L152" s="28" t="s">
        <v>30</v>
      </c>
      <c r="M152" s="10"/>
      <c r="N152" s="10"/>
      <c r="O152" s="29">
        <f t="shared" si="2"/>
        <v>0.1097780275</v>
      </c>
    </row>
    <row r="153">
      <c r="A153" s="10" t="s">
        <v>207</v>
      </c>
      <c r="B153" s="10" t="s">
        <v>33</v>
      </c>
      <c r="C153" s="26">
        <v>45587.0</v>
      </c>
      <c r="D153" s="10" t="s">
        <v>34</v>
      </c>
      <c r="E153" s="10" t="s">
        <v>35</v>
      </c>
      <c r="F153" s="27">
        <v>3352.0</v>
      </c>
      <c r="G153" s="27">
        <v>941.0</v>
      </c>
      <c r="H153" s="27">
        <v>482.0</v>
      </c>
      <c r="I153" s="27">
        <v>43576.0</v>
      </c>
      <c r="J153" s="27">
        <v>43338.0</v>
      </c>
      <c r="K153" s="27">
        <v>240.0</v>
      </c>
      <c r="L153" s="28" t="s">
        <v>16</v>
      </c>
      <c r="M153" s="10"/>
      <c r="N153" s="10"/>
      <c r="O153" s="29">
        <f t="shared" si="2"/>
        <v>0.1095786672</v>
      </c>
    </row>
    <row r="154">
      <c r="A154" s="10" t="s">
        <v>208</v>
      </c>
      <c r="B154" s="10" t="s">
        <v>24</v>
      </c>
      <c r="C154" s="26">
        <v>45496.0</v>
      </c>
      <c r="D154" s="10" t="s">
        <v>28</v>
      </c>
      <c r="E154" s="10" t="s">
        <v>98</v>
      </c>
      <c r="F154" s="27">
        <v>4775.0</v>
      </c>
      <c r="G154" s="27">
        <v>173.0</v>
      </c>
      <c r="H154" s="27">
        <v>206.0</v>
      </c>
      <c r="I154" s="27">
        <v>47750.0</v>
      </c>
      <c r="J154" s="27">
        <v>47544.0</v>
      </c>
      <c r="K154" s="27">
        <v>187.0</v>
      </c>
      <c r="L154" s="28" t="s">
        <v>16</v>
      </c>
      <c r="M154" s="10"/>
      <c r="N154" s="10"/>
      <c r="O154" s="29">
        <f t="shared" si="2"/>
        <v>0.1079371728</v>
      </c>
    </row>
    <row r="155">
      <c r="A155" s="10" t="s">
        <v>257</v>
      </c>
      <c r="B155" s="10" t="s">
        <v>13</v>
      </c>
      <c r="C155" s="26">
        <v>45467.0</v>
      </c>
      <c r="D155" s="10" t="s">
        <v>19</v>
      </c>
      <c r="E155" s="10" t="s">
        <v>20</v>
      </c>
      <c r="F155" s="27">
        <v>941.0</v>
      </c>
      <c r="G155" s="27">
        <v>121.0</v>
      </c>
      <c r="H155" s="27">
        <v>458.0</v>
      </c>
      <c r="I155" s="27">
        <v>14115.0</v>
      </c>
      <c r="J155" s="27">
        <v>13838.0</v>
      </c>
      <c r="K155" s="27">
        <v>87.0</v>
      </c>
      <c r="L155" s="28" t="s">
        <v>30</v>
      </c>
      <c r="M155" s="10"/>
      <c r="N155" s="10"/>
      <c r="O155" s="29">
        <f t="shared" si="2"/>
        <v>0.107686858</v>
      </c>
    </row>
    <row r="156">
      <c r="A156" s="10" t="s">
        <v>333</v>
      </c>
      <c r="B156" s="10" t="s">
        <v>27</v>
      </c>
      <c r="C156" s="26">
        <v>45568.0</v>
      </c>
      <c r="D156" s="10" t="s">
        <v>53</v>
      </c>
      <c r="E156" s="10" t="s">
        <v>60</v>
      </c>
      <c r="F156" s="27">
        <v>1488.0</v>
      </c>
      <c r="G156" s="27">
        <v>417.0</v>
      </c>
      <c r="H156" s="27">
        <v>168.0</v>
      </c>
      <c r="I156" s="27">
        <v>19344.0</v>
      </c>
      <c r="J156" s="27">
        <v>18395.0</v>
      </c>
      <c r="K156" s="27">
        <v>30.0</v>
      </c>
      <c r="L156" s="28" t="s">
        <v>16</v>
      </c>
      <c r="M156" s="10"/>
      <c r="N156" s="10"/>
      <c r="O156" s="29">
        <f t="shared" si="2"/>
        <v>0.1071650124</v>
      </c>
    </row>
    <row r="157">
      <c r="A157" s="10" t="s">
        <v>96</v>
      </c>
      <c r="B157" s="10" t="s">
        <v>13</v>
      </c>
      <c r="C157" s="26">
        <v>45453.0</v>
      </c>
      <c r="D157" s="10" t="s">
        <v>28</v>
      </c>
      <c r="E157" s="10" t="s">
        <v>95</v>
      </c>
      <c r="F157" s="27">
        <v>2164.0</v>
      </c>
      <c r="G157" s="27">
        <v>549.0</v>
      </c>
      <c r="H157" s="27">
        <v>274.0</v>
      </c>
      <c r="I157" s="27">
        <v>28132.0</v>
      </c>
      <c r="J157" s="27">
        <v>27361.0</v>
      </c>
      <c r="K157" s="27">
        <v>177.0</v>
      </c>
      <c r="L157" s="28" t="s">
        <v>21</v>
      </c>
      <c r="M157" s="10"/>
      <c r="N157" s="10"/>
      <c r="O157" s="29">
        <f t="shared" si="2"/>
        <v>0.1061780179</v>
      </c>
    </row>
    <row r="158">
      <c r="A158" s="10" t="s">
        <v>256</v>
      </c>
      <c r="B158" s="10" t="s">
        <v>13</v>
      </c>
      <c r="C158" s="26">
        <v>45771.0</v>
      </c>
      <c r="D158" s="10" t="s">
        <v>53</v>
      </c>
      <c r="E158" s="10" t="s">
        <v>92</v>
      </c>
      <c r="F158" s="27">
        <v>3820.0</v>
      </c>
      <c r="G158" s="27">
        <v>697.0</v>
      </c>
      <c r="H158" s="27">
        <v>268.0</v>
      </c>
      <c r="I158" s="27">
        <v>45840.0</v>
      </c>
      <c r="J158" s="27">
        <v>45631.0</v>
      </c>
      <c r="K158" s="27">
        <v>171.0</v>
      </c>
      <c r="L158" s="28" t="s">
        <v>21</v>
      </c>
      <c r="M158" s="28" t="s">
        <v>191</v>
      </c>
      <c r="N158" s="10"/>
      <c r="O158" s="29">
        <f t="shared" si="2"/>
        <v>0.1043848168</v>
      </c>
    </row>
    <row r="159">
      <c r="A159" s="10" t="s">
        <v>38</v>
      </c>
      <c r="B159" s="10" t="s">
        <v>24</v>
      </c>
      <c r="C159" s="26">
        <v>45486.0</v>
      </c>
      <c r="D159" s="10" t="s">
        <v>39</v>
      </c>
      <c r="E159" s="10" t="s">
        <v>40</v>
      </c>
      <c r="F159" s="27">
        <v>3929.0</v>
      </c>
      <c r="G159" s="27">
        <v>262.0</v>
      </c>
      <c r="H159" s="27">
        <v>278.0</v>
      </c>
      <c r="I159" s="27">
        <v>43219.0</v>
      </c>
      <c r="J159" s="27">
        <v>42841.0</v>
      </c>
      <c r="K159" s="27">
        <v>39.0</v>
      </c>
      <c r="L159" s="28" t="s">
        <v>30</v>
      </c>
      <c r="M159" s="10"/>
      <c r="N159" s="10"/>
      <c r="O159" s="29">
        <f t="shared" si="2"/>
        <v>0.1034035956</v>
      </c>
    </row>
    <row r="160">
      <c r="A160" s="10" t="s">
        <v>146</v>
      </c>
      <c r="B160" s="10" t="s">
        <v>13</v>
      </c>
      <c r="C160" s="26">
        <v>45545.0</v>
      </c>
      <c r="D160" s="10" t="s">
        <v>39</v>
      </c>
      <c r="E160" s="10" t="s">
        <v>85</v>
      </c>
      <c r="F160" s="27">
        <v>1238.0</v>
      </c>
      <c r="G160" s="27">
        <v>366.0</v>
      </c>
      <c r="H160" s="27">
        <v>444.0</v>
      </c>
      <c r="I160" s="27">
        <v>19808.0</v>
      </c>
      <c r="J160" s="27">
        <v>19334.0</v>
      </c>
      <c r="K160" s="27">
        <v>123.0</v>
      </c>
      <c r="L160" s="28" t="s">
        <v>16</v>
      </c>
      <c r="M160" s="10"/>
      <c r="N160" s="10"/>
      <c r="O160" s="29">
        <f t="shared" si="2"/>
        <v>0.1033925687</v>
      </c>
    </row>
    <row r="161">
      <c r="A161" s="10" t="s">
        <v>57</v>
      </c>
      <c r="B161" s="10" t="s">
        <v>27</v>
      </c>
      <c r="C161" s="26">
        <v>45523.0</v>
      </c>
      <c r="D161" s="10" t="s">
        <v>14</v>
      </c>
      <c r="E161" s="10" t="s">
        <v>58</v>
      </c>
      <c r="F161" s="27">
        <v>3000.0</v>
      </c>
      <c r="G161" s="27">
        <v>382.0</v>
      </c>
      <c r="H161" s="27">
        <v>325.0</v>
      </c>
      <c r="I161" s="27">
        <v>36000.0</v>
      </c>
      <c r="J161" s="27">
        <v>35819.0</v>
      </c>
      <c r="K161" s="27">
        <v>19.0</v>
      </c>
      <c r="L161" s="28" t="s">
        <v>16</v>
      </c>
      <c r="M161" s="10"/>
      <c r="N161" s="10"/>
      <c r="O161" s="29">
        <f t="shared" si="2"/>
        <v>0.1029722222</v>
      </c>
    </row>
    <row r="162">
      <c r="A162" s="10" t="s">
        <v>233</v>
      </c>
      <c r="B162" s="10" t="s">
        <v>33</v>
      </c>
      <c r="C162" s="26">
        <v>45504.0</v>
      </c>
      <c r="D162" s="10" t="s">
        <v>39</v>
      </c>
      <c r="E162" s="10" t="s">
        <v>44</v>
      </c>
      <c r="F162" s="27">
        <v>4689.0</v>
      </c>
      <c r="G162" s="27">
        <v>134.0</v>
      </c>
      <c r="H162" s="27">
        <v>403.0</v>
      </c>
      <c r="I162" s="27">
        <v>51579.0</v>
      </c>
      <c r="J162" s="27">
        <v>50924.0</v>
      </c>
      <c r="K162" s="27">
        <v>173.0</v>
      </c>
      <c r="L162" s="28" t="s">
        <v>21</v>
      </c>
      <c r="M162" s="10"/>
      <c r="N162" s="10"/>
      <c r="O162" s="29">
        <f t="shared" si="2"/>
        <v>0.1013203048</v>
      </c>
    </row>
    <row r="163">
      <c r="A163" s="10" t="s">
        <v>317</v>
      </c>
      <c r="B163" s="10" t="s">
        <v>33</v>
      </c>
      <c r="C163" s="26">
        <v>45621.0</v>
      </c>
      <c r="D163" s="10" t="s">
        <v>28</v>
      </c>
      <c r="E163" s="10" t="s">
        <v>51</v>
      </c>
      <c r="F163" s="27">
        <v>4182.0</v>
      </c>
      <c r="G163" s="27">
        <v>640.0</v>
      </c>
      <c r="H163" s="27">
        <v>240.0</v>
      </c>
      <c r="I163" s="27">
        <v>50184.0</v>
      </c>
      <c r="J163" s="27">
        <v>49351.0</v>
      </c>
      <c r="K163" s="27">
        <v>10.0</v>
      </c>
      <c r="L163" s="28" t="s">
        <v>21</v>
      </c>
      <c r="M163" s="10"/>
      <c r="N163" s="10"/>
      <c r="O163" s="29">
        <f t="shared" si="2"/>
        <v>0.1008688028</v>
      </c>
    </row>
    <row r="164">
      <c r="A164" s="10" t="s">
        <v>59</v>
      </c>
      <c r="B164" s="10" t="s">
        <v>27</v>
      </c>
      <c r="C164" s="26">
        <v>45466.0</v>
      </c>
      <c r="D164" s="10" t="s">
        <v>53</v>
      </c>
      <c r="E164" s="10" t="s">
        <v>60</v>
      </c>
      <c r="F164" s="27">
        <v>1071.0</v>
      </c>
      <c r="G164" s="27">
        <v>519.0</v>
      </c>
      <c r="H164" s="27">
        <v>22.0</v>
      </c>
      <c r="I164" s="27">
        <v>16065.0</v>
      </c>
      <c r="J164" s="27">
        <v>15865.0</v>
      </c>
      <c r="K164" s="27">
        <v>103.0</v>
      </c>
      <c r="L164" s="28" t="s">
        <v>21</v>
      </c>
      <c r="M164" s="10"/>
      <c r="N164" s="10"/>
      <c r="O164" s="29">
        <f t="shared" si="2"/>
        <v>0.1003423592</v>
      </c>
    </row>
    <row r="165">
      <c r="A165" s="10" t="s">
        <v>158</v>
      </c>
      <c r="B165" s="10" t="s">
        <v>13</v>
      </c>
      <c r="C165" s="26">
        <v>45741.0</v>
      </c>
      <c r="D165" s="10" t="s">
        <v>53</v>
      </c>
      <c r="E165" s="10" t="s">
        <v>92</v>
      </c>
      <c r="F165" s="27">
        <v>4050.0</v>
      </c>
      <c r="G165" s="27">
        <v>871.0</v>
      </c>
      <c r="H165" s="27">
        <v>347.0</v>
      </c>
      <c r="I165" s="27">
        <v>52650.0</v>
      </c>
      <c r="J165" s="27">
        <v>51755.0</v>
      </c>
      <c r="K165" s="27">
        <v>209.0</v>
      </c>
      <c r="L165" s="28" t="s">
        <v>21</v>
      </c>
      <c r="M165" s="10"/>
      <c r="N165" s="10"/>
      <c r="O165" s="29">
        <f t="shared" si="2"/>
        <v>0.1000569801</v>
      </c>
    </row>
    <row r="166">
      <c r="A166" s="10" t="s">
        <v>176</v>
      </c>
      <c r="B166" s="10" t="s">
        <v>27</v>
      </c>
      <c r="C166" s="26">
        <v>45744.0</v>
      </c>
      <c r="D166" s="10" t="s">
        <v>34</v>
      </c>
      <c r="E166" s="10" t="s">
        <v>62</v>
      </c>
      <c r="F166" s="27">
        <v>4158.0</v>
      </c>
      <c r="G166" s="27">
        <v>167.0</v>
      </c>
      <c r="H166" s="27">
        <v>241.0</v>
      </c>
      <c r="I166" s="27">
        <v>45738.0</v>
      </c>
      <c r="J166" s="27">
        <v>45183.0</v>
      </c>
      <c r="K166" s="27">
        <v>142.0</v>
      </c>
      <c r="L166" s="28" t="s">
        <v>16</v>
      </c>
      <c r="M166" s="10"/>
      <c r="N166" s="10"/>
      <c r="O166" s="29">
        <f t="shared" si="2"/>
        <v>0.09982946347</v>
      </c>
    </row>
    <row r="167">
      <c r="A167" s="10" t="s">
        <v>153</v>
      </c>
      <c r="B167" s="10" t="s">
        <v>33</v>
      </c>
      <c r="C167" s="26">
        <v>45454.0</v>
      </c>
      <c r="D167" s="10" t="s">
        <v>39</v>
      </c>
      <c r="E167" s="10" t="s">
        <v>44</v>
      </c>
      <c r="F167" s="27">
        <v>3689.0</v>
      </c>
      <c r="G167" s="27">
        <v>48.0</v>
      </c>
      <c r="H167" s="27">
        <v>306.0</v>
      </c>
      <c r="I167" s="27">
        <v>40579.0</v>
      </c>
      <c r="J167" s="27">
        <v>39588.0</v>
      </c>
      <c r="K167" s="27">
        <v>212.0</v>
      </c>
      <c r="L167" s="28" t="s">
        <v>30</v>
      </c>
      <c r="M167" s="10"/>
      <c r="N167" s="10"/>
      <c r="O167" s="29">
        <f t="shared" si="2"/>
        <v>0.099632815</v>
      </c>
    </row>
    <row r="168">
      <c r="A168" s="10" t="s">
        <v>242</v>
      </c>
      <c r="B168" s="10" t="s">
        <v>24</v>
      </c>
      <c r="C168" s="26">
        <v>45629.0</v>
      </c>
      <c r="D168" s="10" t="s">
        <v>28</v>
      </c>
      <c r="E168" s="10" t="s">
        <v>98</v>
      </c>
      <c r="F168" s="27">
        <v>4285.0</v>
      </c>
      <c r="G168" s="27">
        <v>886.0</v>
      </c>
      <c r="H168" s="27">
        <v>376.0</v>
      </c>
      <c r="I168" s="27">
        <v>55705.0</v>
      </c>
      <c r="J168" s="27">
        <v>55556.0</v>
      </c>
      <c r="K168" s="27">
        <v>51.0</v>
      </c>
      <c r="L168" s="28" t="s">
        <v>16</v>
      </c>
      <c r="M168" s="10"/>
      <c r="N168" s="10"/>
      <c r="O168" s="29">
        <f t="shared" si="2"/>
        <v>0.09957813482</v>
      </c>
    </row>
    <row r="169">
      <c r="A169" s="10" t="s">
        <v>244</v>
      </c>
      <c r="B169" s="10" t="s">
        <v>13</v>
      </c>
      <c r="C169" s="26">
        <v>45546.0</v>
      </c>
      <c r="D169" s="10" t="s">
        <v>39</v>
      </c>
      <c r="E169" s="10" t="s">
        <v>85</v>
      </c>
      <c r="F169" s="27">
        <v>4858.0</v>
      </c>
      <c r="G169" s="27">
        <v>317.0</v>
      </c>
      <c r="H169" s="27">
        <v>129.0</v>
      </c>
      <c r="I169" s="27">
        <v>53438.0</v>
      </c>
      <c r="J169" s="27">
        <v>52687.0</v>
      </c>
      <c r="K169" s="27">
        <v>223.0</v>
      </c>
      <c r="L169" s="28" t="s">
        <v>30</v>
      </c>
      <c r="M169" s="10"/>
      <c r="N169" s="10"/>
      <c r="O169" s="29">
        <f t="shared" si="2"/>
        <v>0.09925521165</v>
      </c>
    </row>
    <row r="170">
      <c r="A170" s="10" t="s">
        <v>218</v>
      </c>
      <c r="B170" s="10" t="s">
        <v>27</v>
      </c>
      <c r="C170" s="26">
        <v>45624.0</v>
      </c>
      <c r="D170" s="10" t="s">
        <v>19</v>
      </c>
      <c r="E170" s="10" t="s">
        <v>75</v>
      </c>
      <c r="F170" s="27">
        <v>4771.0</v>
      </c>
      <c r="G170" s="27">
        <v>818.0</v>
      </c>
      <c r="H170" s="27">
        <v>56.0</v>
      </c>
      <c r="I170" s="27">
        <v>57252.0</v>
      </c>
      <c r="J170" s="27">
        <v>56378.0</v>
      </c>
      <c r="K170" s="27">
        <v>150.0</v>
      </c>
      <c r="L170" s="28" t="s">
        <v>16</v>
      </c>
      <c r="M170" s="10"/>
      <c r="N170" s="10"/>
      <c r="O170" s="29">
        <f t="shared" si="2"/>
        <v>0.09859917557</v>
      </c>
    </row>
    <row r="171">
      <c r="A171" s="10" t="s">
        <v>89</v>
      </c>
      <c r="B171" s="10" t="s">
        <v>13</v>
      </c>
      <c r="C171" s="26">
        <v>45718.0</v>
      </c>
      <c r="D171" s="10" t="s">
        <v>39</v>
      </c>
      <c r="E171" s="10" t="s">
        <v>85</v>
      </c>
      <c r="F171" s="27">
        <v>2358.0</v>
      </c>
      <c r="G171" s="27">
        <v>784.0</v>
      </c>
      <c r="H171" s="27">
        <v>344.0</v>
      </c>
      <c r="I171" s="27">
        <v>35370.0</v>
      </c>
      <c r="J171" s="27">
        <v>34475.0</v>
      </c>
      <c r="K171" s="27">
        <v>216.0</v>
      </c>
      <c r="L171" s="28" t="s">
        <v>21</v>
      </c>
      <c r="M171" s="10"/>
      <c r="N171" s="10"/>
      <c r="O171" s="29">
        <f t="shared" si="2"/>
        <v>0.09855810008</v>
      </c>
    </row>
    <row r="172">
      <c r="A172" s="10" t="s">
        <v>222</v>
      </c>
      <c r="B172" s="10" t="s">
        <v>24</v>
      </c>
      <c r="C172" s="26">
        <v>45657.0</v>
      </c>
      <c r="D172" s="10" t="s">
        <v>53</v>
      </c>
      <c r="E172" s="10" t="s">
        <v>133</v>
      </c>
      <c r="F172" s="27">
        <v>1018.0</v>
      </c>
      <c r="G172" s="27">
        <v>447.0</v>
      </c>
      <c r="H172" s="27">
        <v>332.0</v>
      </c>
      <c r="I172" s="27">
        <v>18324.0</v>
      </c>
      <c r="J172" s="27">
        <v>18164.0</v>
      </c>
      <c r="K172" s="27">
        <v>38.0</v>
      </c>
      <c r="L172" s="28" t="s">
        <v>16</v>
      </c>
      <c r="M172" s="10"/>
      <c r="N172" s="10"/>
      <c r="O172" s="29">
        <f t="shared" si="2"/>
        <v>0.0980681074</v>
      </c>
    </row>
    <row r="173">
      <c r="A173" s="10" t="s">
        <v>324</v>
      </c>
      <c r="B173" s="10" t="s">
        <v>24</v>
      </c>
      <c r="C173" s="26">
        <v>45577.0</v>
      </c>
      <c r="D173" s="10" t="s">
        <v>28</v>
      </c>
      <c r="E173" s="10" t="s">
        <v>98</v>
      </c>
      <c r="F173" s="27">
        <v>3641.0</v>
      </c>
      <c r="G173" s="27">
        <v>226.0</v>
      </c>
      <c r="H173" s="27">
        <v>46.0</v>
      </c>
      <c r="I173" s="27">
        <v>40051.0</v>
      </c>
      <c r="J173" s="27">
        <v>39319.0</v>
      </c>
      <c r="K173" s="27">
        <v>296.0</v>
      </c>
      <c r="L173" s="28" t="s">
        <v>30</v>
      </c>
      <c r="M173" s="10"/>
      <c r="N173" s="10"/>
      <c r="O173" s="29">
        <f t="shared" si="2"/>
        <v>0.09770043195</v>
      </c>
    </row>
    <row r="174">
      <c r="A174" s="10" t="s">
        <v>294</v>
      </c>
      <c r="B174" s="10" t="s">
        <v>13</v>
      </c>
      <c r="C174" s="26">
        <v>45722.0</v>
      </c>
      <c r="D174" s="10" t="s">
        <v>39</v>
      </c>
      <c r="E174" s="10" t="s">
        <v>85</v>
      </c>
      <c r="F174" s="27">
        <v>3592.0</v>
      </c>
      <c r="G174" s="27">
        <v>911.0</v>
      </c>
      <c r="H174" s="27">
        <v>375.0</v>
      </c>
      <c r="I174" s="27">
        <v>50288.0</v>
      </c>
      <c r="J174" s="27">
        <v>49490.0</v>
      </c>
      <c r="K174" s="27">
        <v>32.0</v>
      </c>
      <c r="L174" s="28" t="s">
        <v>16</v>
      </c>
      <c r="M174" s="10"/>
      <c r="N174" s="10"/>
      <c r="O174" s="29">
        <f t="shared" si="2"/>
        <v>0.09700127267</v>
      </c>
    </row>
    <row r="175">
      <c r="A175" s="10" t="s">
        <v>236</v>
      </c>
      <c r="B175" s="10" t="s">
        <v>27</v>
      </c>
      <c r="C175" s="26">
        <v>45668.0</v>
      </c>
      <c r="D175" s="10" t="s">
        <v>34</v>
      </c>
      <c r="E175" s="10" t="s">
        <v>62</v>
      </c>
      <c r="F175" s="27">
        <v>4523.0</v>
      </c>
      <c r="G175" s="27">
        <v>61.0</v>
      </c>
      <c r="H175" s="27">
        <v>157.0</v>
      </c>
      <c r="I175" s="27">
        <v>49753.0</v>
      </c>
      <c r="J175" s="27">
        <v>49329.0</v>
      </c>
      <c r="K175" s="27">
        <v>71.0</v>
      </c>
      <c r="L175" s="28" t="s">
        <v>30</v>
      </c>
      <c r="M175" s="10"/>
      <c r="N175" s="10"/>
      <c r="O175" s="29">
        <f t="shared" si="2"/>
        <v>0.09529073624</v>
      </c>
    </row>
    <row r="176">
      <c r="A176" s="10" t="s">
        <v>129</v>
      </c>
      <c r="B176" s="10" t="s">
        <v>27</v>
      </c>
      <c r="C176" s="26">
        <v>45584.0</v>
      </c>
      <c r="D176" s="10" t="s">
        <v>28</v>
      </c>
      <c r="E176" s="10" t="s">
        <v>29</v>
      </c>
      <c r="F176" s="27">
        <v>1816.0</v>
      </c>
      <c r="G176" s="27">
        <v>29.0</v>
      </c>
      <c r="H176" s="27">
        <v>41.0</v>
      </c>
      <c r="I176" s="27">
        <v>19976.0</v>
      </c>
      <c r="J176" s="27">
        <v>19262.0</v>
      </c>
      <c r="K176" s="27">
        <v>283.0</v>
      </c>
      <c r="L176" s="28" t="s">
        <v>21</v>
      </c>
      <c r="M176" s="10"/>
      <c r="N176" s="10"/>
      <c r="O176" s="29">
        <f t="shared" si="2"/>
        <v>0.09441329596</v>
      </c>
    </row>
    <row r="177">
      <c r="A177" s="10" t="s">
        <v>56</v>
      </c>
      <c r="B177" s="10" t="s">
        <v>33</v>
      </c>
      <c r="C177" s="26">
        <v>45782.0</v>
      </c>
      <c r="D177" s="10" t="s">
        <v>19</v>
      </c>
      <c r="E177" s="10" t="s">
        <v>42</v>
      </c>
      <c r="F177" s="27">
        <v>4441.0</v>
      </c>
      <c r="G177" s="27">
        <v>511.0</v>
      </c>
      <c r="H177" s="27">
        <v>70.0</v>
      </c>
      <c r="I177" s="27">
        <v>53292.0</v>
      </c>
      <c r="J177" s="27">
        <v>53082.0</v>
      </c>
      <c r="K177" s="27">
        <v>159.0</v>
      </c>
      <c r="L177" s="28" t="s">
        <v>30</v>
      </c>
      <c r="M177" s="10"/>
      <c r="N177" s="10"/>
      <c r="O177" s="29">
        <f t="shared" si="2"/>
        <v>0.09423553254</v>
      </c>
    </row>
    <row r="178">
      <c r="A178" s="10" t="s">
        <v>189</v>
      </c>
      <c r="B178" s="10" t="s">
        <v>24</v>
      </c>
      <c r="C178" s="26">
        <v>45594.0</v>
      </c>
      <c r="D178" s="10" t="s">
        <v>19</v>
      </c>
      <c r="E178" s="10" t="s">
        <v>70</v>
      </c>
      <c r="F178" s="27">
        <v>2746.0</v>
      </c>
      <c r="G178" s="27">
        <v>156.0</v>
      </c>
      <c r="H178" s="27">
        <v>203.0</v>
      </c>
      <c r="I178" s="27">
        <v>32952.0</v>
      </c>
      <c r="J178" s="27">
        <v>32147.0</v>
      </c>
      <c r="K178" s="27">
        <v>147.0</v>
      </c>
      <c r="L178" s="28" t="s">
        <v>30</v>
      </c>
      <c r="M178" s="10"/>
      <c r="N178" s="10"/>
      <c r="O178" s="29">
        <f t="shared" si="2"/>
        <v>0.09422796795</v>
      </c>
    </row>
    <row r="179">
      <c r="A179" s="10" t="s">
        <v>117</v>
      </c>
      <c r="B179" s="10" t="s">
        <v>13</v>
      </c>
      <c r="C179" s="26">
        <v>45724.0</v>
      </c>
      <c r="D179" s="10" t="s">
        <v>19</v>
      </c>
      <c r="E179" s="10" t="s">
        <v>20</v>
      </c>
      <c r="F179" s="27">
        <v>1292.0</v>
      </c>
      <c r="G179" s="27">
        <v>626.0</v>
      </c>
      <c r="H179" s="27">
        <v>496.0</v>
      </c>
      <c r="I179" s="27">
        <v>25840.0</v>
      </c>
      <c r="J179" s="27">
        <v>24916.0</v>
      </c>
      <c r="K179" s="27">
        <v>149.0</v>
      </c>
      <c r="L179" s="28" t="s">
        <v>16</v>
      </c>
      <c r="M179" s="10"/>
      <c r="N179" s="10"/>
      <c r="O179" s="29">
        <f t="shared" si="2"/>
        <v>0.09342105263</v>
      </c>
    </row>
    <row r="180">
      <c r="A180" s="10" t="s">
        <v>107</v>
      </c>
      <c r="B180" s="10" t="s">
        <v>27</v>
      </c>
      <c r="C180" s="26">
        <v>45465.0</v>
      </c>
      <c r="D180" s="10" t="s">
        <v>19</v>
      </c>
      <c r="E180" s="10" t="s">
        <v>75</v>
      </c>
      <c r="F180" s="27">
        <v>2180.0</v>
      </c>
      <c r="G180" s="27">
        <v>263.0</v>
      </c>
      <c r="H180" s="27">
        <v>387.0</v>
      </c>
      <c r="I180" s="27">
        <v>30520.0</v>
      </c>
      <c r="J180" s="27">
        <v>30059.0</v>
      </c>
      <c r="K180" s="27">
        <v>174.0</v>
      </c>
      <c r="L180" s="28" t="s">
        <v>30</v>
      </c>
      <c r="M180" s="10"/>
      <c r="N180" s="10"/>
      <c r="O180" s="29">
        <f t="shared" si="2"/>
        <v>0.09272608126</v>
      </c>
    </row>
    <row r="181">
      <c r="A181" s="10" t="s">
        <v>150</v>
      </c>
      <c r="B181" s="10" t="s">
        <v>24</v>
      </c>
      <c r="C181" s="26">
        <v>45698.0</v>
      </c>
      <c r="D181" s="10" t="s">
        <v>53</v>
      </c>
      <c r="E181" s="10" t="s">
        <v>133</v>
      </c>
      <c r="F181" s="27">
        <v>1766.0</v>
      </c>
      <c r="G181" s="27">
        <v>92.0</v>
      </c>
      <c r="H181" s="27">
        <v>424.0</v>
      </c>
      <c r="I181" s="27">
        <v>24724.0</v>
      </c>
      <c r="J181" s="27">
        <v>24333.0</v>
      </c>
      <c r="K181" s="27">
        <v>52.0</v>
      </c>
      <c r="L181" s="28" t="s">
        <v>30</v>
      </c>
      <c r="M181" s="10"/>
      <c r="N181" s="10"/>
      <c r="O181" s="29">
        <f t="shared" si="2"/>
        <v>0.09229898075</v>
      </c>
    </row>
    <row r="182">
      <c r="A182" s="10" t="s">
        <v>103</v>
      </c>
      <c r="B182" s="10" t="s">
        <v>33</v>
      </c>
      <c r="C182" s="26">
        <v>45460.0</v>
      </c>
      <c r="D182" s="10" t="s">
        <v>39</v>
      </c>
      <c r="E182" s="10" t="s">
        <v>44</v>
      </c>
      <c r="F182" s="27">
        <v>1226.0</v>
      </c>
      <c r="G182" s="27">
        <v>119.0</v>
      </c>
      <c r="H182" s="27">
        <v>7.0</v>
      </c>
      <c r="I182" s="27">
        <v>14712.0</v>
      </c>
      <c r="J182" s="27">
        <v>14049.0</v>
      </c>
      <c r="K182" s="27">
        <v>123.0</v>
      </c>
      <c r="L182" s="28" t="s">
        <v>30</v>
      </c>
      <c r="M182" s="10"/>
      <c r="N182" s="10"/>
      <c r="O182" s="29">
        <f t="shared" si="2"/>
        <v>0.09189777053</v>
      </c>
    </row>
    <row r="183">
      <c r="A183" s="10" t="s">
        <v>228</v>
      </c>
      <c r="B183" s="10" t="s">
        <v>27</v>
      </c>
      <c r="C183" s="26">
        <v>45483.0</v>
      </c>
      <c r="D183" s="10" t="s">
        <v>34</v>
      </c>
      <c r="E183" s="10" t="s">
        <v>62</v>
      </c>
      <c r="F183" s="27">
        <v>3099.0</v>
      </c>
      <c r="G183" s="27">
        <v>694.0</v>
      </c>
      <c r="H183" s="27">
        <v>171.0</v>
      </c>
      <c r="I183" s="27">
        <v>43386.0</v>
      </c>
      <c r="J183" s="27">
        <v>42921.0</v>
      </c>
      <c r="K183" s="27">
        <v>52.0</v>
      </c>
      <c r="L183" s="28" t="s">
        <v>21</v>
      </c>
      <c r="M183" s="10"/>
      <c r="N183" s="10"/>
      <c r="O183" s="29">
        <f t="shared" si="2"/>
        <v>0.09136587839</v>
      </c>
    </row>
    <row r="184">
      <c r="A184" s="10" t="s">
        <v>211</v>
      </c>
      <c r="B184" s="10" t="s">
        <v>13</v>
      </c>
      <c r="C184" s="26">
        <v>45528.0</v>
      </c>
      <c r="D184" s="10" t="s">
        <v>53</v>
      </c>
      <c r="E184" s="10" t="s">
        <v>92</v>
      </c>
      <c r="F184" s="27">
        <v>1082.0</v>
      </c>
      <c r="G184" s="27">
        <v>209.0</v>
      </c>
      <c r="H184" s="27">
        <v>484.0</v>
      </c>
      <c r="I184" s="27">
        <v>19476.0</v>
      </c>
      <c r="J184" s="27">
        <v>18654.0</v>
      </c>
      <c r="K184" s="27">
        <v>20.0</v>
      </c>
      <c r="L184" s="28" t="s">
        <v>21</v>
      </c>
      <c r="M184" s="10"/>
      <c r="N184" s="10"/>
      <c r="O184" s="29">
        <f t="shared" si="2"/>
        <v>0.09113781064</v>
      </c>
    </row>
    <row r="185">
      <c r="A185" s="10" t="s">
        <v>12</v>
      </c>
      <c r="B185" s="10" t="s">
        <v>13</v>
      </c>
      <c r="C185" s="26">
        <v>45649.0</v>
      </c>
      <c r="D185" s="10" t="s">
        <v>14</v>
      </c>
      <c r="E185" s="10" t="s">
        <v>15</v>
      </c>
      <c r="F185" s="27">
        <v>1461.0</v>
      </c>
      <c r="G185" s="27">
        <v>184.0</v>
      </c>
      <c r="H185" s="27">
        <v>344.0</v>
      </c>
      <c r="I185" s="27">
        <v>21915.0</v>
      </c>
      <c r="J185" s="27">
        <v>21675.0</v>
      </c>
      <c r="K185" s="27">
        <v>15.0</v>
      </c>
      <c r="L185" s="28" t="s">
        <v>16</v>
      </c>
      <c r="M185" s="28" t="s">
        <v>17</v>
      </c>
      <c r="N185" s="10"/>
      <c r="O185" s="29">
        <f t="shared" si="2"/>
        <v>0.09075975359</v>
      </c>
    </row>
    <row r="186">
      <c r="A186" s="10" t="s">
        <v>252</v>
      </c>
      <c r="B186" s="10" t="s">
        <v>13</v>
      </c>
      <c r="C186" s="26">
        <v>45672.0</v>
      </c>
      <c r="D186" s="10" t="s">
        <v>14</v>
      </c>
      <c r="E186" s="10" t="s">
        <v>15</v>
      </c>
      <c r="F186" s="27">
        <v>802.0</v>
      </c>
      <c r="G186" s="27">
        <v>262.0</v>
      </c>
      <c r="H186" s="27">
        <v>244.0</v>
      </c>
      <c r="I186" s="27">
        <v>14436.0</v>
      </c>
      <c r="J186" s="27">
        <v>14280.0</v>
      </c>
      <c r="K186" s="27">
        <v>49.0</v>
      </c>
      <c r="L186" s="28" t="s">
        <v>30</v>
      </c>
      <c r="M186" s="10"/>
      <c r="N186" s="10"/>
      <c r="O186" s="29">
        <f t="shared" si="2"/>
        <v>0.09060681629</v>
      </c>
    </row>
    <row r="187">
      <c r="A187" s="10" t="s">
        <v>231</v>
      </c>
      <c r="B187" s="10" t="s">
        <v>24</v>
      </c>
      <c r="C187" s="26">
        <v>45629.0</v>
      </c>
      <c r="D187" s="10" t="s">
        <v>19</v>
      </c>
      <c r="E187" s="10" t="s">
        <v>70</v>
      </c>
      <c r="F187" s="27">
        <v>3711.0</v>
      </c>
      <c r="G187" s="27">
        <v>352.0</v>
      </c>
      <c r="H187" s="27">
        <v>290.0</v>
      </c>
      <c r="I187" s="27">
        <v>48243.0</v>
      </c>
      <c r="J187" s="27">
        <v>47579.0</v>
      </c>
      <c r="K187" s="27">
        <v>11.0</v>
      </c>
      <c r="L187" s="28" t="s">
        <v>21</v>
      </c>
      <c r="M187" s="10"/>
      <c r="N187" s="10"/>
      <c r="O187" s="29">
        <f t="shared" si="2"/>
        <v>0.09023070705</v>
      </c>
    </row>
    <row r="188">
      <c r="A188" s="10" t="s">
        <v>68</v>
      </c>
      <c r="B188" s="10" t="s">
        <v>24</v>
      </c>
      <c r="C188" s="26">
        <v>45752.0</v>
      </c>
      <c r="D188" s="10" t="s">
        <v>14</v>
      </c>
      <c r="E188" s="10" t="s">
        <v>25</v>
      </c>
      <c r="F188" s="27">
        <v>3009.0</v>
      </c>
      <c r="G188" s="27">
        <v>413.0</v>
      </c>
      <c r="H188" s="27">
        <v>358.0</v>
      </c>
      <c r="I188" s="27">
        <v>42126.0</v>
      </c>
      <c r="J188" s="27">
        <v>41309.0</v>
      </c>
      <c r="K188" s="27">
        <v>211.0</v>
      </c>
      <c r="L188" s="28" t="s">
        <v>16</v>
      </c>
      <c r="M188" s="10"/>
      <c r="N188" s="10"/>
      <c r="O188" s="29">
        <f t="shared" si="2"/>
        <v>0.08973080758</v>
      </c>
    </row>
    <row r="189">
      <c r="A189" s="10" t="s">
        <v>180</v>
      </c>
      <c r="B189" s="10" t="s">
        <v>24</v>
      </c>
      <c r="C189" s="26">
        <v>45564.0</v>
      </c>
      <c r="D189" s="10" t="s">
        <v>14</v>
      </c>
      <c r="E189" s="10" t="s">
        <v>25</v>
      </c>
      <c r="F189" s="27">
        <v>2936.0</v>
      </c>
      <c r="G189" s="27">
        <v>439.0</v>
      </c>
      <c r="H189" s="27">
        <v>44.0</v>
      </c>
      <c r="I189" s="27">
        <v>38168.0</v>
      </c>
      <c r="J189" s="27">
        <v>37571.0</v>
      </c>
      <c r="K189" s="27">
        <v>22.0</v>
      </c>
      <c r="L189" s="28" t="s">
        <v>30</v>
      </c>
      <c r="M189" s="10"/>
      <c r="N189" s="10"/>
      <c r="O189" s="29">
        <f t="shared" si="2"/>
        <v>0.08957765668</v>
      </c>
    </row>
    <row r="190">
      <c r="A190" s="10" t="s">
        <v>127</v>
      </c>
      <c r="B190" s="10" t="s">
        <v>27</v>
      </c>
      <c r="C190" s="26">
        <v>45574.0</v>
      </c>
      <c r="D190" s="10" t="s">
        <v>34</v>
      </c>
      <c r="E190" s="10" t="s">
        <v>62</v>
      </c>
      <c r="F190" s="27">
        <v>3068.0</v>
      </c>
      <c r="G190" s="27">
        <v>137.0</v>
      </c>
      <c r="H190" s="27">
        <v>329.0</v>
      </c>
      <c r="I190" s="27">
        <v>39884.0</v>
      </c>
      <c r="J190" s="27">
        <v>39404.0</v>
      </c>
      <c r="K190" s="27">
        <v>266.0</v>
      </c>
      <c r="L190" s="28" t="s">
        <v>30</v>
      </c>
      <c r="M190" s="10"/>
      <c r="N190" s="10"/>
      <c r="O190" s="29">
        <f t="shared" si="2"/>
        <v>0.08860696018</v>
      </c>
    </row>
    <row r="191">
      <c r="A191" s="10" t="s">
        <v>120</v>
      </c>
      <c r="B191" s="10" t="s">
        <v>24</v>
      </c>
      <c r="C191" s="26">
        <v>45719.0</v>
      </c>
      <c r="D191" s="10" t="s">
        <v>14</v>
      </c>
      <c r="E191" s="10" t="s">
        <v>25</v>
      </c>
      <c r="F191" s="27">
        <v>296.0</v>
      </c>
      <c r="G191" s="27">
        <v>60.0</v>
      </c>
      <c r="H191" s="27">
        <v>141.0</v>
      </c>
      <c r="I191" s="27">
        <v>5624.0</v>
      </c>
      <c r="J191" s="27">
        <v>5239.0</v>
      </c>
      <c r="K191" s="27">
        <v>88.0</v>
      </c>
      <c r="L191" s="28" t="s">
        <v>30</v>
      </c>
      <c r="M191" s="10"/>
      <c r="N191" s="10"/>
      <c r="O191" s="29">
        <f t="shared" si="2"/>
        <v>0.088371266</v>
      </c>
    </row>
    <row r="192">
      <c r="A192" s="10" t="s">
        <v>41</v>
      </c>
      <c r="B192" s="10" t="s">
        <v>33</v>
      </c>
      <c r="C192" s="26">
        <v>45534.0</v>
      </c>
      <c r="D192" s="10" t="s">
        <v>19</v>
      </c>
      <c r="E192" s="10" t="s">
        <v>42</v>
      </c>
      <c r="F192" s="27">
        <v>3784.0</v>
      </c>
      <c r="G192" s="27">
        <v>808.0</v>
      </c>
      <c r="H192" s="27">
        <v>404.0</v>
      </c>
      <c r="I192" s="27">
        <v>56760.0</v>
      </c>
      <c r="J192" s="27">
        <v>56343.0</v>
      </c>
      <c r="K192" s="27">
        <v>131.0</v>
      </c>
      <c r="L192" s="28" t="s">
        <v>21</v>
      </c>
      <c r="M192" s="10"/>
      <c r="N192" s="10"/>
      <c r="O192" s="29">
        <f t="shared" si="2"/>
        <v>0.08801973221</v>
      </c>
    </row>
    <row r="193">
      <c r="A193" s="10" t="s">
        <v>311</v>
      </c>
      <c r="B193" s="10" t="s">
        <v>27</v>
      </c>
      <c r="C193" s="26">
        <v>45700.0</v>
      </c>
      <c r="D193" s="10" t="s">
        <v>28</v>
      </c>
      <c r="E193" s="10" t="s">
        <v>29</v>
      </c>
      <c r="F193" s="27">
        <v>4332.0</v>
      </c>
      <c r="G193" s="27">
        <v>771.0</v>
      </c>
      <c r="H193" s="27">
        <v>219.0</v>
      </c>
      <c r="I193" s="27">
        <v>60648.0</v>
      </c>
      <c r="J193" s="27">
        <v>60397.0</v>
      </c>
      <c r="K193" s="27">
        <v>10.0</v>
      </c>
      <c r="L193" s="28" t="s">
        <v>21</v>
      </c>
      <c r="M193" s="28" t="s">
        <v>30</v>
      </c>
      <c r="N193" s="28" t="s">
        <v>22</v>
      </c>
      <c r="O193" s="29">
        <f t="shared" si="2"/>
        <v>0.08775227543</v>
      </c>
    </row>
    <row r="194">
      <c r="A194" s="10" t="s">
        <v>300</v>
      </c>
      <c r="B194" s="10" t="s">
        <v>13</v>
      </c>
      <c r="C194" s="26">
        <v>45491.0</v>
      </c>
      <c r="D194" s="10" t="s">
        <v>39</v>
      </c>
      <c r="E194" s="10" t="s">
        <v>85</v>
      </c>
      <c r="F194" s="27">
        <v>827.0</v>
      </c>
      <c r="G194" s="27">
        <v>77.0</v>
      </c>
      <c r="H194" s="27">
        <v>402.0</v>
      </c>
      <c r="I194" s="27">
        <v>14886.0</v>
      </c>
      <c r="J194" s="27">
        <v>14129.0</v>
      </c>
      <c r="K194" s="27">
        <v>254.0</v>
      </c>
      <c r="L194" s="28" t="s">
        <v>30</v>
      </c>
      <c r="M194" s="10"/>
      <c r="N194" s="10"/>
      <c r="O194" s="29">
        <f t="shared" si="2"/>
        <v>0.08773344082</v>
      </c>
    </row>
    <row r="195">
      <c r="A195" s="10" t="s">
        <v>147</v>
      </c>
      <c r="B195" s="10" t="s">
        <v>27</v>
      </c>
      <c r="C195" s="26">
        <v>45517.0</v>
      </c>
      <c r="D195" s="10" t="s">
        <v>39</v>
      </c>
      <c r="E195" s="10" t="s">
        <v>131</v>
      </c>
      <c r="F195" s="27">
        <v>4739.0</v>
      </c>
      <c r="G195" s="27">
        <v>527.0</v>
      </c>
      <c r="H195" s="27">
        <v>135.0</v>
      </c>
      <c r="I195" s="27">
        <v>61607.0</v>
      </c>
      <c r="J195" s="27">
        <v>61333.0</v>
      </c>
      <c r="K195" s="27">
        <v>36.0</v>
      </c>
      <c r="L195" s="28" t="s">
        <v>21</v>
      </c>
      <c r="M195" s="28" t="s">
        <v>17</v>
      </c>
      <c r="N195" s="10"/>
      <c r="O195" s="29">
        <f t="shared" si="2"/>
        <v>0.08766860909</v>
      </c>
    </row>
    <row r="196">
      <c r="A196" s="10" t="s">
        <v>304</v>
      </c>
      <c r="B196" s="10" t="s">
        <v>13</v>
      </c>
      <c r="C196" s="26">
        <v>45507.0</v>
      </c>
      <c r="D196" s="10" t="s">
        <v>14</v>
      </c>
      <c r="E196" s="10" t="s">
        <v>15</v>
      </c>
      <c r="F196" s="27">
        <v>3791.0</v>
      </c>
      <c r="G196" s="27">
        <v>593.0</v>
      </c>
      <c r="H196" s="27">
        <v>228.0</v>
      </c>
      <c r="I196" s="27">
        <v>53074.0</v>
      </c>
      <c r="J196" s="27">
        <v>52613.0</v>
      </c>
      <c r="K196" s="27">
        <v>205.0</v>
      </c>
      <c r="L196" s="28" t="s">
        <v>30</v>
      </c>
      <c r="M196" s="10"/>
      <c r="N196" s="10"/>
      <c r="O196" s="29">
        <f t="shared" si="2"/>
        <v>0.08689753928</v>
      </c>
    </row>
    <row r="197">
      <c r="A197" s="10" t="s">
        <v>134</v>
      </c>
      <c r="B197" s="10" t="s">
        <v>33</v>
      </c>
      <c r="C197" s="26">
        <v>45635.0</v>
      </c>
      <c r="D197" s="10" t="s">
        <v>39</v>
      </c>
      <c r="E197" s="10" t="s">
        <v>44</v>
      </c>
      <c r="F197" s="27">
        <v>1841.0</v>
      </c>
      <c r="G197" s="27">
        <v>851.0</v>
      </c>
      <c r="H197" s="27">
        <v>342.0</v>
      </c>
      <c r="I197" s="27">
        <v>34979.0</v>
      </c>
      <c r="J197" s="27">
        <v>34154.0</v>
      </c>
      <c r="K197" s="27">
        <v>255.0</v>
      </c>
      <c r="L197" s="28" t="s">
        <v>16</v>
      </c>
      <c r="M197" s="10"/>
      <c r="N197" s="10"/>
      <c r="O197" s="29">
        <f t="shared" si="2"/>
        <v>0.08673775694</v>
      </c>
    </row>
    <row r="198">
      <c r="A198" s="10" t="s">
        <v>213</v>
      </c>
      <c r="B198" s="10" t="s">
        <v>33</v>
      </c>
      <c r="C198" s="26">
        <v>45748.0</v>
      </c>
      <c r="D198" s="10" t="s">
        <v>28</v>
      </c>
      <c r="E198" s="10" t="s">
        <v>51</v>
      </c>
      <c r="F198" s="27">
        <v>3430.0</v>
      </c>
      <c r="G198" s="27">
        <v>566.0</v>
      </c>
      <c r="H198" s="27">
        <v>164.0</v>
      </c>
      <c r="I198" s="27">
        <v>48020.0</v>
      </c>
      <c r="J198" s="27">
        <v>47305.0</v>
      </c>
      <c r="K198" s="27">
        <v>120.0</v>
      </c>
      <c r="L198" s="28" t="s">
        <v>16</v>
      </c>
      <c r="M198" s="10"/>
      <c r="N198" s="10"/>
      <c r="O198" s="29">
        <f t="shared" si="2"/>
        <v>0.0866305706</v>
      </c>
    </row>
    <row r="199">
      <c r="A199" s="10" t="s">
        <v>259</v>
      </c>
      <c r="B199" s="10" t="s">
        <v>24</v>
      </c>
      <c r="C199" s="26">
        <v>45467.0</v>
      </c>
      <c r="D199" s="10" t="s">
        <v>53</v>
      </c>
      <c r="E199" s="10" t="s">
        <v>133</v>
      </c>
      <c r="F199" s="27">
        <v>2949.0</v>
      </c>
      <c r="G199" s="27">
        <v>476.0</v>
      </c>
      <c r="H199" s="27">
        <v>403.0</v>
      </c>
      <c r="I199" s="27">
        <v>44235.0</v>
      </c>
      <c r="J199" s="27">
        <v>43705.0</v>
      </c>
      <c r="K199" s="27">
        <v>135.0</v>
      </c>
      <c r="L199" s="28" t="s">
        <v>21</v>
      </c>
      <c r="M199" s="10"/>
      <c r="N199" s="10"/>
      <c r="O199" s="29">
        <f t="shared" si="2"/>
        <v>0.08653780943</v>
      </c>
    </row>
    <row r="200">
      <c r="A200" s="10" t="s">
        <v>291</v>
      </c>
      <c r="B200" s="10" t="s">
        <v>13</v>
      </c>
      <c r="C200" s="26">
        <v>45530.0</v>
      </c>
      <c r="D200" s="10" t="s">
        <v>34</v>
      </c>
      <c r="E200" s="10" t="s">
        <v>37</v>
      </c>
      <c r="F200" s="27">
        <v>929.0</v>
      </c>
      <c r="G200" s="27">
        <v>192.0</v>
      </c>
      <c r="H200" s="27">
        <v>322.0</v>
      </c>
      <c r="I200" s="27">
        <v>16722.0</v>
      </c>
      <c r="J200" s="27">
        <v>15996.0</v>
      </c>
      <c r="K200" s="27">
        <v>145.0</v>
      </c>
      <c r="L200" s="28" t="s">
        <v>30</v>
      </c>
      <c r="M200" s="28" t="s">
        <v>21</v>
      </c>
      <c r="N200" s="28" t="s">
        <v>17</v>
      </c>
      <c r="O200" s="29">
        <f t="shared" si="2"/>
        <v>0.08629350556</v>
      </c>
    </row>
    <row r="201">
      <c r="A201" s="10" t="s">
        <v>282</v>
      </c>
      <c r="B201" s="10" t="s">
        <v>27</v>
      </c>
      <c r="C201" s="26">
        <v>45778.0</v>
      </c>
      <c r="D201" s="10" t="s">
        <v>19</v>
      </c>
      <c r="E201" s="10" t="s">
        <v>75</v>
      </c>
      <c r="F201" s="27">
        <v>1430.0</v>
      </c>
      <c r="G201" s="27">
        <v>376.0</v>
      </c>
      <c r="H201" s="27">
        <v>33.0</v>
      </c>
      <c r="I201" s="27">
        <v>21450.0</v>
      </c>
      <c r="J201" s="27">
        <v>20509.0</v>
      </c>
      <c r="K201" s="27">
        <v>251.0</v>
      </c>
      <c r="L201" s="28" t="s">
        <v>16</v>
      </c>
      <c r="M201" s="10"/>
      <c r="N201" s="10"/>
      <c r="O201" s="29">
        <f t="shared" si="2"/>
        <v>0.08573426573</v>
      </c>
    </row>
    <row r="202">
      <c r="A202" s="10" t="s">
        <v>156</v>
      </c>
      <c r="B202" s="10" t="s">
        <v>27</v>
      </c>
      <c r="C202" s="26">
        <v>45692.0</v>
      </c>
      <c r="D202" s="10" t="s">
        <v>39</v>
      </c>
      <c r="E202" s="10" t="s">
        <v>131</v>
      </c>
      <c r="F202" s="27">
        <v>4619.0</v>
      </c>
      <c r="G202" s="27">
        <v>821.0</v>
      </c>
      <c r="H202" s="27">
        <v>499.0</v>
      </c>
      <c r="I202" s="27">
        <v>69285.0</v>
      </c>
      <c r="J202" s="27">
        <v>69141.0</v>
      </c>
      <c r="K202" s="27">
        <v>298.0</v>
      </c>
      <c r="L202" s="28" t="s">
        <v>21</v>
      </c>
      <c r="M202" s="10"/>
      <c r="N202" s="10"/>
      <c r="O202" s="29">
        <f t="shared" si="2"/>
        <v>0.08571840947</v>
      </c>
    </row>
    <row r="203">
      <c r="A203" s="10" t="s">
        <v>130</v>
      </c>
      <c r="B203" s="10" t="s">
        <v>27</v>
      </c>
      <c r="C203" s="26">
        <v>45497.0</v>
      </c>
      <c r="D203" s="10" t="s">
        <v>39</v>
      </c>
      <c r="E203" s="10" t="s">
        <v>131</v>
      </c>
      <c r="F203" s="27">
        <v>725.0</v>
      </c>
      <c r="G203" s="27">
        <v>88.0</v>
      </c>
      <c r="H203" s="27">
        <v>428.0</v>
      </c>
      <c r="I203" s="27">
        <v>14500.0</v>
      </c>
      <c r="J203" s="27">
        <v>13637.0</v>
      </c>
      <c r="K203" s="27">
        <v>200.0</v>
      </c>
      <c r="L203" s="28" t="s">
        <v>16</v>
      </c>
      <c r="M203" s="28" t="s">
        <v>21</v>
      </c>
      <c r="N203" s="28" t="s">
        <v>17</v>
      </c>
      <c r="O203" s="29">
        <f t="shared" si="2"/>
        <v>0.0855862069</v>
      </c>
    </row>
    <row r="204">
      <c r="A204" s="10" t="s">
        <v>250</v>
      </c>
      <c r="B204" s="10" t="s">
        <v>24</v>
      </c>
      <c r="C204" s="26">
        <v>45626.0</v>
      </c>
      <c r="D204" s="10" t="s">
        <v>34</v>
      </c>
      <c r="E204" s="10" t="s">
        <v>49</v>
      </c>
      <c r="F204" s="27">
        <v>2509.0</v>
      </c>
      <c r="G204" s="27">
        <v>324.0</v>
      </c>
      <c r="H204" s="27">
        <v>171.0</v>
      </c>
      <c r="I204" s="27">
        <v>35126.0</v>
      </c>
      <c r="J204" s="27">
        <v>34685.0</v>
      </c>
      <c r="K204" s="27">
        <v>277.0</v>
      </c>
      <c r="L204" s="28" t="s">
        <v>21</v>
      </c>
      <c r="M204" s="10"/>
      <c r="N204" s="10"/>
      <c r="O204" s="29">
        <f t="shared" si="2"/>
        <v>0.08552069692</v>
      </c>
    </row>
    <row r="205">
      <c r="A205" s="10" t="s">
        <v>239</v>
      </c>
      <c r="B205" s="10" t="s">
        <v>24</v>
      </c>
      <c r="C205" s="26">
        <v>45449.0</v>
      </c>
      <c r="D205" s="10" t="s">
        <v>14</v>
      </c>
      <c r="E205" s="10" t="s">
        <v>25</v>
      </c>
      <c r="F205" s="27">
        <v>2728.0</v>
      </c>
      <c r="G205" s="27">
        <v>533.0</v>
      </c>
      <c r="H205" s="27">
        <v>215.0</v>
      </c>
      <c r="I205" s="27">
        <v>40920.0</v>
      </c>
      <c r="J205" s="27">
        <v>40816.0</v>
      </c>
      <c r="K205" s="27">
        <v>137.0</v>
      </c>
      <c r="L205" s="28" t="s">
        <v>16</v>
      </c>
      <c r="M205" s="10"/>
      <c r="N205" s="10"/>
      <c r="O205" s="29">
        <f t="shared" si="2"/>
        <v>0.08494623656</v>
      </c>
    </row>
    <row r="206">
      <c r="A206" s="10" t="s">
        <v>237</v>
      </c>
      <c r="B206" s="10" t="s">
        <v>33</v>
      </c>
      <c r="C206" s="26">
        <v>45528.0</v>
      </c>
      <c r="D206" s="10" t="s">
        <v>34</v>
      </c>
      <c r="E206" s="10" t="s">
        <v>35</v>
      </c>
      <c r="F206" s="27">
        <v>4292.0</v>
      </c>
      <c r="G206" s="27">
        <v>51.0</v>
      </c>
      <c r="H206" s="27">
        <v>392.0</v>
      </c>
      <c r="I206" s="27">
        <v>55796.0</v>
      </c>
      <c r="J206" s="27">
        <v>54826.0</v>
      </c>
      <c r="K206" s="27">
        <v>264.0</v>
      </c>
      <c r="L206" s="28" t="s">
        <v>30</v>
      </c>
      <c r="M206" s="10"/>
      <c r="N206" s="10"/>
      <c r="O206" s="29">
        <f t="shared" si="2"/>
        <v>0.08486271417</v>
      </c>
    </row>
    <row r="207">
      <c r="A207" s="10" t="s">
        <v>245</v>
      </c>
      <c r="B207" s="10" t="s">
        <v>24</v>
      </c>
      <c r="C207" s="26">
        <v>45567.0</v>
      </c>
      <c r="D207" s="10" t="s">
        <v>28</v>
      </c>
      <c r="E207" s="10" t="s">
        <v>98</v>
      </c>
      <c r="F207" s="27">
        <v>4350.0</v>
      </c>
      <c r="G207" s="27">
        <v>771.0</v>
      </c>
      <c r="H207" s="27">
        <v>7.0</v>
      </c>
      <c r="I207" s="27">
        <v>60900.0</v>
      </c>
      <c r="J207" s="27">
        <v>60592.0</v>
      </c>
      <c r="K207" s="27">
        <v>195.0</v>
      </c>
      <c r="L207" s="28" t="s">
        <v>30</v>
      </c>
      <c r="M207" s="10"/>
      <c r="N207" s="10"/>
      <c r="O207" s="29">
        <f t="shared" si="2"/>
        <v>0.08420361248</v>
      </c>
    </row>
    <row r="208">
      <c r="A208" s="10" t="s">
        <v>319</v>
      </c>
      <c r="B208" s="10" t="s">
        <v>27</v>
      </c>
      <c r="C208" s="26">
        <v>45760.0</v>
      </c>
      <c r="D208" s="10" t="s">
        <v>14</v>
      </c>
      <c r="E208" s="10" t="s">
        <v>58</v>
      </c>
      <c r="F208" s="27">
        <v>4579.0</v>
      </c>
      <c r="G208" s="27">
        <v>125.0</v>
      </c>
      <c r="H208" s="27">
        <v>300.0</v>
      </c>
      <c r="I208" s="27">
        <v>59527.0</v>
      </c>
      <c r="J208" s="27">
        <v>59400.0</v>
      </c>
      <c r="K208" s="27">
        <v>269.0</v>
      </c>
      <c r="L208" s="28" t="s">
        <v>30</v>
      </c>
      <c r="M208" s="10"/>
      <c r="N208" s="10"/>
      <c r="O208" s="29">
        <f t="shared" si="2"/>
        <v>0.08406269424</v>
      </c>
    </row>
    <row r="209">
      <c r="A209" s="10" t="s">
        <v>341</v>
      </c>
      <c r="B209" s="10" t="s">
        <v>27</v>
      </c>
      <c r="C209" s="26">
        <v>45646.0</v>
      </c>
      <c r="D209" s="10" t="s">
        <v>34</v>
      </c>
      <c r="E209" s="10" t="s">
        <v>62</v>
      </c>
      <c r="F209" s="27">
        <v>2107.0</v>
      </c>
      <c r="G209" s="27">
        <v>550.0</v>
      </c>
      <c r="H209" s="27">
        <v>349.0</v>
      </c>
      <c r="I209" s="27">
        <v>35819.0</v>
      </c>
      <c r="J209" s="27">
        <v>35340.0</v>
      </c>
      <c r="K209" s="27">
        <v>191.0</v>
      </c>
      <c r="L209" s="28" t="s">
        <v>30</v>
      </c>
      <c r="M209" s="10"/>
      <c r="N209" s="10"/>
      <c r="O209" s="29">
        <f t="shared" si="2"/>
        <v>0.08392194087</v>
      </c>
    </row>
    <row r="210">
      <c r="A210" s="10" t="s">
        <v>238</v>
      </c>
      <c r="B210" s="10" t="s">
        <v>13</v>
      </c>
      <c r="C210" s="26">
        <v>45648.0</v>
      </c>
      <c r="D210" s="10" t="s">
        <v>14</v>
      </c>
      <c r="E210" s="10" t="s">
        <v>15</v>
      </c>
      <c r="F210" s="27">
        <v>1644.0</v>
      </c>
      <c r="G210" s="27">
        <v>546.0</v>
      </c>
      <c r="H210" s="27">
        <v>150.0</v>
      </c>
      <c r="I210" s="27">
        <v>27948.0</v>
      </c>
      <c r="J210" s="27">
        <v>27184.0</v>
      </c>
      <c r="K210" s="27">
        <v>300.0</v>
      </c>
      <c r="L210" s="28" t="s">
        <v>30</v>
      </c>
      <c r="M210" s="10"/>
      <c r="N210" s="10"/>
      <c r="O210" s="29">
        <f t="shared" si="2"/>
        <v>0.08372692143</v>
      </c>
    </row>
    <row r="211">
      <c r="A211" s="10" t="s">
        <v>351</v>
      </c>
      <c r="B211" s="10" t="s">
        <v>13</v>
      </c>
      <c r="C211" s="26">
        <v>45535.0</v>
      </c>
      <c r="D211" s="10" t="s">
        <v>34</v>
      </c>
      <c r="E211" s="10" t="s">
        <v>37</v>
      </c>
      <c r="F211" s="27">
        <v>4494.0</v>
      </c>
      <c r="G211" s="27">
        <v>717.0</v>
      </c>
      <c r="H211" s="27">
        <v>45.0</v>
      </c>
      <c r="I211" s="27">
        <v>62916.0</v>
      </c>
      <c r="J211" s="27">
        <v>62688.0</v>
      </c>
      <c r="K211" s="27">
        <v>191.0</v>
      </c>
      <c r="L211" s="28" t="s">
        <v>21</v>
      </c>
      <c r="M211" s="28" t="s">
        <v>30</v>
      </c>
      <c r="N211" s="28" t="s">
        <v>22</v>
      </c>
      <c r="O211" s="29">
        <f t="shared" si="2"/>
        <v>0.08353995804</v>
      </c>
    </row>
    <row r="212">
      <c r="A212" s="10" t="s">
        <v>331</v>
      </c>
      <c r="B212" s="10" t="s">
        <v>24</v>
      </c>
      <c r="C212" s="26">
        <v>45586.0</v>
      </c>
      <c r="D212" s="10" t="s">
        <v>53</v>
      </c>
      <c r="E212" s="10" t="s">
        <v>133</v>
      </c>
      <c r="F212" s="27">
        <v>4275.0</v>
      </c>
      <c r="G212" s="27">
        <v>680.0</v>
      </c>
      <c r="H212" s="27">
        <v>385.0</v>
      </c>
      <c r="I212" s="27">
        <v>64125.0</v>
      </c>
      <c r="J212" s="27">
        <v>63650.0</v>
      </c>
      <c r="K212" s="27">
        <v>104.0</v>
      </c>
      <c r="L212" s="28" t="s">
        <v>30</v>
      </c>
      <c r="M212" s="28" t="s">
        <v>21</v>
      </c>
      <c r="N212" s="28" t="s">
        <v>17</v>
      </c>
      <c r="O212" s="29">
        <f t="shared" si="2"/>
        <v>0.0832748538</v>
      </c>
    </row>
    <row r="213">
      <c r="A213" s="10" t="s">
        <v>312</v>
      </c>
      <c r="B213" s="10" t="s">
        <v>27</v>
      </c>
      <c r="C213" s="26">
        <v>45592.0</v>
      </c>
      <c r="D213" s="10" t="s">
        <v>39</v>
      </c>
      <c r="E213" s="10" t="s">
        <v>131</v>
      </c>
      <c r="F213" s="27">
        <v>4853.0</v>
      </c>
      <c r="G213" s="27">
        <v>837.0</v>
      </c>
      <c r="H213" s="27">
        <v>340.0</v>
      </c>
      <c r="I213" s="27">
        <v>72795.0</v>
      </c>
      <c r="J213" s="27">
        <v>72237.0</v>
      </c>
      <c r="K213" s="27">
        <v>170.0</v>
      </c>
      <c r="L213" s="28" t="s">
        <v>30</v>
      </c>
      <c r="M213" s="10"/>
      <c r="N213" s="10"/>
      <c r="O213" s="29">
        <f t="shared" si="2"/>
        <v>0.08283535957</v>
      </c>
    </row>
    <row r="214">
      <c r="A214" s="10" t="s">
        <v>260</v>
      </c>
      <c r="B214" s="10" t="s">
        <v>13</v>
      </c>
      <c r="C214" s="26">
        <v>45735.0</v>
      </c>
      <c r="D214" s="10" t="s">
        <v>53</v>
      </c>
      <c r="E214" s="10" t="s">
        <v>92</v>
      </c>
      <c r="F214" s="27">
        <v>3160.0</v>
      </c>
      <c r="G214" s="27">
        <v>204.0</v>
      </c>
      <c r="H214" s="27">
        <v>297.0</v>
      </c>
      <c r="I214" s="27">
        <v>44240.0</v>
      </c>
      <c r="J214" s="27">
        <v>43666.0</v>
      </c>
      <c r="K214" s="27">
        <v>49.0</v>
      </c>
      <c r="L214" s="28" t="s">
        <v>16</v>
      </c>
      <c r="M214" s="28" t="s">
        <v>17</v>
      </c>
      <c r="N214" s="10"/>
      <c r="O214" s="29">
        <f t="shared" si="2"/>
        <v>0.08275316456</v>
      </c>
    </row>
    <row r="215">
      <c r="A215" s="10" t="s">
        <v>264</v>
      </c>
      <c r="B215" s="10" t="s">
        <v>33</v>
      </c>
      <c r="C215" s="26">
        <v>45778.0</v>
      </c>
      <c r="D215" s="10" t="s">
        <v>34</v>
      </c>
      <c r="E215" s="10" t="s">
        <v>35</v>
      </c>
      <c r="F215" s="27">
        <v>2696.0</v>
      </c>
      <c r="G215" s="27">
        <v>628.0</v>
      </c>
      <c r="H215" s="27">
        <v>443.0</v>
      </c>
      <c r="I215" s="27">
        <v>45832.0</v>
      </c>
      <c r="J215" s="27">
        <v>45632.0</v>
      </c>
      <c r="K215" s="27">
        <v>248.0</v>
      </c>
      <c r="L215" s="28" t="s">
        <v>30</v>
      </c>
      <c r="M215" s="10"/>
      <c r="N215" s="10"/>
      <c r="O215" s="29">
        <f t="shared" si="2"/>
        <v>0.08219148193</v>
      </c>
    </row>
    <row r="216">
      <c r="A216" s="10" t="s">
        <v>253</v>
      </c>
      <c r="B216" s="10" t="s">
        <v>33</v>
      </c>
      <c r="C216" s="26">
        <v>45445.0</v>
      </c>
      <c r="D216" s="10" t="s">
        <v>39</v>
      </c>
      <c r="E216" s="10" t="s">
        <v>44</v>
      </c>
      <c r="F216" s="27">
        <v>1871.0</v>
      </c>
      <c r="G216" s="27">
        <v>252.0</v>
      </c>
      <c r="H216" s="27">
        <v>335.0</v>
      </c>
      <c r="I216" s="27">
        <v>29936.0</v>
      </c>
      <c r="J216" s="27">
        <v>29576.0</v>
      </c>
      <c r="K216" s="27">
        <v>288.0</v>
      </c>
      <c r="L216" s="28" t="s">
        <v>30</v>
      </c>
      <c r="M216" s="10"/>
      <c r="N216" s="10"/>
      <c r="O216" s="29">
        <f t="shared" si="2"/>
        <v>0.08210849813</v>
      </c>
    </row>
    <row r="217">
      <c r="A217" s="10" t="s">
        <v>126</v>
      </c>
      <c r="B217" s="10" t="s">
        <v>13</v>
      </c>
      <c r="C217" s="26">
        <v>45460.0</v>
      </c>
      <c r="D217" s="10" t="s">
        <v>39</v>
      </c>
      <c r="E217" s="10" t="s">
        <v>85</v>
      </c>
      <c r="F217" s="27">
        <v>954.0</v>
      </c>
      <c r="G217" s="27">
        <v>324.0</v>
      </c>
      <c r="H217" s="27">
        <v>288.0</v>
      </c>
      <c r="I217" s="27">
        <v>19080.0</v>
      </c>
      <c r="J217" s="27">
        <v>18859.0</v>
      </c>
      <c r="K217" s="27">
        <v>21.0</v>
      </c>
      <c r="L217" s="28" t="s">
        <v>16</v>
      </c>
      <c r="M217" s="10"/>
      <c r="N217" s="10"/>
      <c r="O217" s="29">
        <f t="shared" si="2"/>
        <v>0.0820754717</v>
      </c>
    </row>
    <row r="218">
      <c r="A218" s="10" t="s">
        <v>112</v>
      </c>
      <c r="B218" s="10" t="s">
        <v>33</v>
      </c>
      <c r="C218" s="26">
        <v>45521.0</v>
      </c>
      <c r="D218" s="10" t="s">
        <v>39</v>
      </c>
      <c r="E218" s="10" t="s">
        <v>44</v>
      </c>
      <c r="F218" s="27">
        <v>2878.0</v>
      </c>
      <c r="G218" s="27">
        <v>248.0</v>
      </c>
      <c r="H218" s="27">
        <v>416.0</v>
      </c>
      <c r="I218" s="27">
        <v>43170.0</v>
      </c>
      <c r="J218" s="27">
        <v>42667.0</v>
      </c>
      <c r="K218" s="27">
        <v>75.0</v>
      </c>
      <c r="L218" s="28" t="s">
        <v>16</v>
      </c>
      <c r="M218" s="10"/>
      <c r="N218" s="10"/>
      <c r="O218" s="29">
        <f t="shared" si="2"/>
        <v>0.08204771832</v>
      </c>
    </row>
    <row r="219">
      <c r="A219" s="10" t="s">
        <v>279</v>
      </c>
      <c r="B219" s="10" t="s">
        <v>27</v>
      </c>
      <c r="C219" s="26">
        <v>45474.0</v>
      </c>
      <c r="D219" s="10" t="s">
        <v>28</v>
      </c>
      <c r="E219" s="10" t="s">
        <v>29</v>
      </c>
      <c r="F219" s="27">
        <v>4808.0</v>
      </c>
      <c r="G219" s="27">
        <v>772.0</v>
      </c>
      <c r="H219" s="27">
        <v>320.0</v>
      </c>
      <c r="I219" s="27">
        <v>72120.0</v>
      </c>
      <c r="J219" s="27">
        <v>71696.0</v>
      </c>
      <c r="K219" s="27">
        <v>195.0</v>
      </c>
      <c r="L219" s="28" t="s">
        <v>30</v>
      </c>
      <c r="M219" s="10"/>
      <c r="N219" s="10"/>
      <c r="O219" s="29">
        <f t="shared" si="2"/>
        <v>0.08180809762</v>
      </c>
    </row>
    <row r="220">
      <c r="A220" s="10" t="s">
        <v>124</v>
      </c>
      <c r="B220" s="10" t="s">
        <v>13</v>
      </c>
      <c r="C220" s="26">
        <v>45603.0</v>
      </c>
      <c r="D220" s="10" t="s">
        <v>28</v>
      </c>
      <c r="E220" s="10" t="s">
        <v>95</v>
      </c>
      <c r="F220" s="27">
        <v>1121.0</v>
      </c>
      <c r="G220" s="27">
        <v>135.0</v>
      </c>
      <c r="H220" s="27">
        <v>18.0</v>
      </c>
      <c r="I220" s="27">
        <v>15694.0</v>
      </c>
      <c r="J220" s="27">
        <v>14957.0</v>
      </c>
      <c r="K220" s="27">
        <v>99.0</v>
      </c>
      <c r="L220" s="28" t="s">
        <v>21</v>
      </c>
      <c r="M220" s="10"/>
      <c r="N220" s="10"/>
      <c r="O220" s="29">
        <f t="shared" si="2"/>
        <v>0.08117752007</v>
      </c>
    </row>
    <row r="221">
      <c r="A221" s="10" t="s">
        <v>105</v>
      </c>
      <c r="B221" s="10" t="s">
        <v>13</v>
      </c>
      <c r="C221" s="26">
        <v>45586.0</v>
      </c>
      <c r="D221" s="10" t="s">
        <v>53</v>
      </c>
      <c r="E221" s="10" t="s">
        <v>92</v>
      </c>
      <c r="F221" s="27">
        <v>2825.0</v>
      </c>
      <c r="G221" s="27">
        <v>535.0</v>
      </c>
      <c r="H221" s="27">
        <v>295.0</v>
      </c>
      <c r="I221" s="27">
        <v>45200.0</v>
      </c>
      <c r="J221" s="27">
        <v>44739.0</v>
      </c>
      <c r="K221" s="27">
        <v>169.0</v>
      </c>
      <c r="L221" s="28" t="s">
        <v>21</v>
      </c>
      <c r="M221" s="10"/>
      <c r="N221" s="10"/>
      <c r="O221" s="29">
        <f t="shared" si="2"/>
        <v>0.08086283186</v>
      </c>
    </row>
    <row r="222">
      <c r="A222" s="10" t="s">
        <v>172</v>
      </c>
      <c r="B222" s="10" t="s">
        <v>27</v>
      </c>
      <c r="C222" s="26">
        <v>45567.0</v>
      </c>
      <c r="D222" s="10" t="s">
        <v>19</v>
      </c>
      <c r="E222" s="10" t="s">
        <v>75</v>
      </c>
      <c r="F222" s="27">
        <v>3432.0</v>
      </c>
      <c r="G222" s="27">
        <v>869.0</v>
      </c>
      <c r="H222" s="27">
        <v>123.0</v>
      </c>
      <c r="I222" s="27">
        <v>54912.0</v>
      </c>
      <c r="J222" s="27">
        <v>53916.0</v>
      </c>
      <c r="K222" s="27">
        <v>264.0</v>
      </c>
      <c r="L222" s="28" t="s">
        <v>30</v>
      </c>
      <c r="M222" s="10"/>
      <c r="N222" s="10"/>
      <c r="O222" s="29">
        <f t="shared" si="2"/>
        <v>0.08056526807</v>
      </c>
    </row>
    <row r="223">
      <c r="A223" s="10" t="s">
        <v>64</v>
      </c>
      <c r="B223" s="10" t="s">
        <v>33</v>
      </c>
      <c r="C223" s="26">
        <v>45715.0</v>
      </c>
      <c r="D223" s="10" t="s">
        <v>19</v>
      </c>
      <c r="E223" s="10" t="s">
        <v>42</v>
      </c>
      <c r="F223" s="27">
        <v>1570.0</v>
      </c>
      <c r="G223" s="27">
        <v>187.0</v>
      </c>
      <c r="H223" s="27">
        <v>260.0</v>
      </c>
      <c r="I223" s="27">
        <v>25120.0</v>
      </c>
      <c r="J223" s="27">
        <v>24613.0</v>
      </c>
      <c r="K223" s="27">
        <v>133.0</v>
      </c>
      <c r="L223" s="28" t="s">
        <v>21</v>
      </c>
      <c r="M223" s="10"/>
      <c r="N223" s="10"/>
      <c r="O223" s="29">
        <f t="shared" si="2"/>
        <v>0.08029458599</v>
      </c>
    </row>
    <row r="224">
      <c r="A224" s="10" t="s">
        <v>168</v>
      </c>
      <c r="B224" s="10" t="s">
        <v>33</v>
      </c>
      <c r="C224" s="26">
        <v>45600.0</v>
      </c>
      <c r="D224" s="10" t="s">
        <v>39</v>
      </c>
      <c r="E224" s="10" t="s">
        <v>44</v>
      </c>
      <c r="F224" s="27">
        <v>4551.0</v>
      </c>
      <c r="G224" s="27">
        <v>714.0</v>
      </c>
      <c r="H224" s="27">
        <v>207.0</v>
      </c>
      <c r="I224" s="27">
        <v>68265.0</v>
      </c>
      <c r="J224" s="27">
        <v>67754.0</v>
      </c>
      <c r="K224" s="27">
        <v>57.0</v>
      </c>
      <c r="L224" s="28" t="s">
        <v>16</v>
      </c>
      <c r="M224" s="10"/>
      <c r="N224" s="10"/>
      <c r="O224" s="29">
        <f t="shared" si="2"/>
        <v>0.08015820699</v>
      </c>
    </row>
    <row r="225">
      <c r="A225" s="10" t="s">
        <v>308</v>
      </c>
      <c r="B225" s="10" t="s">
        <v>33</v>
      </c>
      <c r="C225" s="26">
        <v>45753.0</v>
      </c>
      <c r="D225" s="10" t="s">
        <v>39</v>
      </c>
      <c r="E225" s="10" t="s">
        <v>44</v>
      </c>
      <c r="F225" s="27">
        <v>3090.0</v>
      </c>
      <c r="G225" s="27">
        <v>697.0</v>
      </c>
      <c r="H225" s="27">
        <v>164.0</v>
      </c>
      <c r="I225" s="27">
        <v>49440.0</v>
      </c>
      <c r="J225" s="27">
        <v>48524.0</v>
      </c>
      <c r="K225" s="27">
        <v>25.0</v>
      </c>
      <c r="L225" s="28" t="s">
        <v>30</v>
      </c>
      <c r="M225" s="28" t="s">
        <v>30</v>
      </c>
      <c r="N225" s="28" t="s">
        <v>22</v>
      </c>
      <c r="O225" s="29">
        <f t="shared" si="2"/>
        <v>0.07991504854</v>
      </c>
    </row>
    <row r="226">
      <c r="A226" s="10" t="s">
        <v>141</v>
      </c>
      <c r="B226" s="10" t="s">
        <v>33</v>
      </c>
      <c r="C226" s="26">
        <v>45740.0</v>
      </c>
      <c r="D226" s="10" t="s">
        <v>39</v>
      </c>
      <c r="E226" s="10" t="s">
        <v>44</v>
      </c>
      <c r="F226" s="27">
        <v>1263.0</v>
      </c>
      <c r="G226" s="27">
        <v>397.0</v>
      </c>
      <c r="H226" s="27">
        <v>357.0</v>
      </c>
      <c r="I226" s="27">
        <v>25260.0</v>
      </c>
      <c r="J226" s="27">
        <v>24615.0</v>
      </c>
      <c r="K226" s="27">
        <v>137.0</v>
      </c>
      <c r="L226" s="28" t="s">
        <v>30</v>
      </c>
      <c r="M226" s="10"/>
      <c r="N226" s="10"/>
      <c r="O226" s="29">
        <f t="shared" si="2"/>
        <v>0.07984956453</v>
      </c>
    </row>
    <row r="227">
      <c r="A227" s="10" t="s">
        <v>325</v>
      </c>
      <c r="B227" s="10" t="s">
        <v>13</v>
      </c>
      <c r="C227" s="26">
        <v>45658.0</v>
      </c>
      <c r="D227" s="10" t="s">
        <v>34</v>
      </c>
      <c r="E227" s="10" t="s">
        <v>37</v>
      </c>
      <c r="F227" s="27">
        <v>3535.0</v>
      </c>
      <c r="G227" s="27">
        <v>494.0</v>
      </c>
      <c r="H227" s="27">
        <v>152.0</v>
      </c>
      <c r="I227" s="27">
        <v>53025.0</v>
      </c>
      <c r="J227" s="27">
        <v>52791.0</v>
      </c>
      <c r="K227" s="27">
        <v>44.0</v>
      </c>
      <c r="L227" s="28" t="s">
        <v>21</v>
      </c>
      <c r="M227" s="10"/>
      <c r="N227" s="10"/>
      <c r="O227" s="29">
        <f t="shared" si="2"/>
        <v>0.07884959925</v>
      </c>
    </row>
    <row r="228">
      <c r="A228" s="10" t="s">
        <v>99</v>
      </c>
      <c r="B228" s="10" t="s">
        <v>33</v>
      </c>
      <c r="C228" s="26">
        <v>45456.0</v>
      </c>
      <c r="D228" s="10" t="s">
        <v>34</v>
      </c>
      <c r="E228" s="10" t="s">
        <v>35</v>
      </c>
      <c r="F228" s="27">
        <v>2200.0</v>
      </c>
      <c r="G228" s="27">
        <v>504.0</v>
      </c>
      <c r="H228" s="27">
        <v>239.0</v>
      </c>
      <c r="I228" s="27">
        <v>37400.0</v>
      </c>
      <c r="J228" s="27">
        <v>36938.0</v>
      </c>
      <c r="K228" s="27">
        <v>225.0</v>
      </c>
      <c r="L228" s="28" t="s">
        <v>16</v>
      </c>
      <c r="M228" s="10"/>
      <c r="N228" s="10"/>
      <c r="O228" s="29">
        <f t="shared" si="2"/>
        <v>0.07868983957</v>
      </c>
    </row>
    <row r="229">
      <c r="A229" s="10" t="s">
        <v>128</v>
      </c>
      <c r="B229" s="10" t="s">
        <v>27</v>
      </c>
      <c r="C229" s="26">
        <v>45456.0</v>
      </c>
      <c r="D229" s="10" t="s">
        <v>28</v>
      </c>
      <c r="E229" s="10" t="s">
        <v>29</v>
      </c>
      <c r="F229" s="27">
        <v>2103.0</v>
      </c>
      <c r="G229" s="27">
        <v>892.0</v>
      </c>
      <c r="H229" s="27">
        <v>103.0</v>
      </c>
      <c r="I229" s="27">
        <v>39957.0</v>
      </c>
      <c r="J229" s="27">
        <v>39466.0</v>
      </c>
      <c r="K229" s="27">
        <v>28.0</v>
      </c>
      <c r="L229" s="28" t="s">
        <v>16</v>
      </c>
      <c r="M229" s="10"/>
      <c r="N229" s="10"/>
      <c r="O229" s="29">
        <f t="shared" si="2"/>
        <v>0.07753334835</v>
      </c>
    </row>
    <row r="230">
      <c r="A230" s="10" t="s">
        <v>281</v>
      </c>
      <c r="B230" s="10" t="s">
        <v>33</v>
      </c>
      <c r="C230" s="26">
        <v>45488.0</v>
      </c>
      <c r="D230" s="10" t="s">
        <v>14</v>
      </c>
      <c r="E230" s="10" t="s">
        <v>47</v>
      </c>
      <c r="F230" s="27">
        <v>3663.0</v>
      </c>
      <c r="G230" s="27">
        <v>17.0</v>
      </c>
      <c r="H230" s="27">
        <v>295.0</v>
      </c>
      <c r="I230" s="27">
        <v>51282.0</v>
      </c>
      <c r="J230" s="27">
        <v>50567.0</v>
      </c>
      <c r="K230" s="27">
        <v>84.0</v>
      </c>
      <c r="L230" s="28" t="s">
        <v>30</v>
      </c>
      <c r="M230" s="10"/>
      <c r="N230" s="10"/>
      <c r="O230" s="29">
        <f t="shared" si="2"/>
        <v>0.07751257751</v>
      </c>
    </row>
    <row r="231">
      <c r="A231" s="10" t="s">
        <v>200</v>
      </c>
      <c r="B231" s="10" t="s">
        <v>13</v>
      </c>
      <c r="C231" s="26">
        <v>45459.0</v>
      </c>
      <c r="D231" s="10" t="s">
        <v>53</v>
      </c>
      <c r="E231" s="10" t="s">
        <v>92</v>
      </c>
      <c r="F231" s="27">
        <v>1702.0</v>
      </c>
      <c r="G231" s="27">
        <v>750.0</v>
      </c>
      <c r="H231" s="27">
        <v>179.0</v>
      </c>
      <c r="I231" s="27">
        <v>34040.0</v>
      </c>
      <c r="J231" s="27">
        <v>33174.0</v>
      </c>
      <c r="K231" s="27">
        <v>76.0</v>
      </c>
      <c r="L231" s="28" t="s">
        <v>30</v>
      </c>
      <c r="M231" s="10"/>
      <c r="N231" s="10"/>
      <c r="O231" s="29">
        <f t="shared" si="2"/>
        <v>0.07729142186</v>
      </c>
    </row>
    <row r="232">
      <c r="A232" s="10" t="s">
        <v>63</v>
      </c>
      <c r="B232" s="10" t="s">
        <v>27</v>
      </c>
      <c r="C232" s="26">
        <v>45661.0</v>
      </c>
      <c r="D232" s="10" t="s">
        <v>14</v>
      </c>
      <c r="E232" s="10" t="s">
        <v>58</v>
      </c>
      <c r="F232" s="27">
        <v>4838.0</v>
      </c>
      <c r="G232" s="27">
        <v>640.0</v>
      </c>
      <c r="H232" s="27">
        <v>128.0</v>
      </c>
      <c r="I232" s="27">
        <v>72570.0</v>
      </c>
      <c r="J232" s="27">
        <v>72396.0</v>
      </c>
      <c r="K232" s="27">
        <v>83.0</v>
      </c>
      <c r="L232" s="28" t="s">
        <v>16</v>
      </c>
      <c r="M232" s="10"/>
      <c r="N232" s="10"/>
      <c r="O232" s="29">
        <f t="shared" si="2"/>
        <v>0.07724955216</v>
      </c>
    </row>
    <row r="233">
      <c r="A233" s="10" t="s">
        <v>65</v>
      </c>
      <c r="B233" s="10" t="s">
        <v>33</v>
      </c>
      <c r="C233" s="26">
        <v>45602.0</v>
      </c>
      <c r="D233" s="10" t="s">
        <v>53</v>
      </c>
      <c r="E233" s="10" t="s">
        <v>54</v>
      </c>
      <c r="F233" s="27">
        <v>1606.0</v>
      </c>
      <c r="G233" s="27">
        <v>547.0</v>
      </c>
      <c r="H233" s="27">
        <v>316.0</v>
      </c>
      <c r="I233" s="27">
        <v>32120.0</v>
      </c>
      <c r="J233" s="27">
        <v>31736.0</v>
      </c>
      <c r="K233" s="27">
        <v>225.0</v>
      </c>
      <c r="L233" s="28" t="s">
        <v>21</v>
      </c>
      <c r="M233" s="28" t="s">
        <v>17</v>
      </c>
      <c r="N233" s="10"/>
      <c r="O233" s="29">
        <f t="shared" si="2"/>
        <v>0.07686799502</v>
      </c>
    </row>
    <row r="234">
      <c r="A234" s="10" t="s">
        <v>80</v>
      </c>
      <c r="B234" s="10" t="s">
        <v>27</v>
      </c>
      <c r="C234" s="26">
        <v>45766.0</v>
      </c>
      <c r="D234" s="10" t="s">
        <v>28</v>
      </c>
      <c r="E234" s="10" t="s">
        <v>29</v>
      </c>
      <c r="F234" s="27">
        <v>4518.0</v>
      </c>
      <c r="G234" s="27">
        <v>285.0</v>
      </c>
      <c r="H234" s="27">
        <v>383.0</v>
      </c>
      <c r="I234" s="27">
        <v>67770.0</v>
      </c>
      <c r="J234" s="27">
        <v>67621.0</v>
      </c>
      <c r="K234" s="27">
        <v>31.0</v>
      </c>
      <c r="L234" s="28" t="s">
        <v>30</v>
      </c>
      <c r="M234" s="10"/>
      <c r="N234" s="10"/>
      <c r="O234" s="29">
        <f t="shared" si="2"/>
        <v>0.07652353549</v>
      </c>
    </row>
    <row r="235">
      <c r="A235" s="10" t="s">
        <v>18</v>
      </c>
      <c r="B235" s="10" t="s">
        <v>13</v>
      </c>
      <c r="C235" s="26">
        <v>45750.0</v>
      </c>
      <c r="D235" s="10" t="s">
        <v>19</v>
      </c>
      <c r="E235" s="10" t="s">
        <v>20</v>
      </c>
      <c r="F235" s="27">
        <v>4054.0</v>
      </c>
      <c r="G235" s="27">
        <v>389.0</v>
      </c>
      <c r="H235" s="27">
        <v>493.0</v>
      </c>
      <c r="I235" s="27">
        <v>64864.0</v>
      </c>
      <c r="J235" s="27">
        <v>64383.0</v>
      </c>
      <c r="K235" s="27">
        <v>117.0</v>
      </c>
      <c r="L235" s="28" t="s">
        <v>21</v>
      </c>
      <c r="M235" s="28" t="s">
        <v>22</v>
      </c>
      <c r="N235" s="10"/>
      <c r="O235" s="29">
        <f t="shared" si="2"/>
        <v>0.0760976813</v>
      </c>
    </row>
    <row r="236">
      <c r="A236" s="10" t="s">
        <v>285</v>
      </c>
      <c r="B236" s="10" t="s">
        <v>33</v>
      </c>
      <c r="C236" s="26">
        <v>45444.0</v>
      </c>
      <c r="D236" s="10" t="s">
        <v>19</v>
      </c>
      <c r="E236" s="10" t="s">
        <v>42</v>
      </c>
      <c r="F236" s="27">
        <v>1272.0</v>
      </c>
      <c r="G236" s="27">
        <v>465.0</v>
      </c>
      <c r="H236" s="27">
        <v>99.0</v>
      </c>
      <c r="I236" s="27">
        <v>24168.0</v>
      </c>
      <c r="J236" s="27">
        <v>23719.0</v>
      </c>
      <c r="K236" s="27">
        <v>42.0</v>
      </c>
      <c r="L236" s="28" t="s">
        <v>21</v>
      </c>
      <c r="M236" s="10"/>
      <c r="N236" s="10"/>
      <c r="O236" s="29">
        <f t="shared" si="2"/>
        <v>0.07596822244</v>
      </c>
    </row>
    <row r="237">
      <c r="A237" s="10" t="s">
        <v>48</v>
      </c>
      <c r="B237" s="10" t="s">
        <v>24</v>
      </c>
      <c r="C237" s="26">
        <v>45614.0</v>
      </c>
      <c r="D237" s="10" t="s">
        <v>34</v>
      </c>
      <c r="E237" s="10" t="s">
        <v>49</v>
      </c>
      <c r="F237" s="27">
        <v>1171.0</v>
      </c>
      <c r="G237" s="27">
        <v>286.0</v>
      </c>
      <c r="H237" s="27">
        <v>231.0</v>
      </c>
      <c r="I237" s="27">
        <v>22249.0</v>
      </c>
      <c r="J237" s="27">
        <v>21282.0</v>
      </c>
      <c r="K237" s="27">
        <v>114.0</v>
      </c>
      <c r="L237" s="28" t="s">
        <v>30</v>
      </c>
      <c r="M237" s="10"/>
      <c r="N237" s="10"/>
      <c r="O237" s="29">
        <f t="shared" si="2"/>
        <v>0.07586857836</v>
      </c>
    </row>
    <row r="238">
      <c r="A238" s="10" t="s">
        <v>55</v>
      </c>
      <c r="B238" s="10" t="s">
        <v>33</v>
      </c>
      <c r="C238" s="26">
        <v>45530.0</v>
      </c>
      <c r="D238" s="10" t="s">
        <v>19</v>
      </c>
      <c r="E238" s="10" t="s">
        <v>42</v>
      </c>
      <c r="F238" s="27">
        <v>3452.0</v>
      </c>
      <c r="G238" s="27">
        <v>377.0</v>
      </c>
      <c r="H238" s="27">
        <v>360.0</v>
      </c>
      <c r="I238" s="27">
        <v>55232.0</v>
      </c>
      <c r="J238" s="27">
        <v>55075.0</v>
      </c>
      <c r="K238" s="27">
        <v>87.0</v>
      </c>
      <c r="L238" s="28" t="s">
        <v>16</v>
      </c>
      <c r="M238" s="10"/>
      <c r="N238" s="10"/>
      <c r="O238" s="29">
        <f t="shared" si="2"/>
        <v>0.07584371379</v>
      </c>
    </row>
    <row r="239">
      <c r="A239" s="10" t="s">
        <v>230</v>
      </c>
      <c r="B239" s="10" t="s">
        <v>33</v>
      </c>
      <c r="C239" s="26">
        <v>45488.0</v>
      </c>
      <c r="D239" s="10" t="s">
        <v>34</v>
      </c>
      <c r="E239" s="10" t="s">
        <v>35</v>
      </c>
      <c r="F239" s="27">
        <v>3796.0</v>
      </c>
      <c r="G239" s="27">
        <v>667.0</v>
      </c>
      <c r="H239" s="27">
        <v>395.0</v>
      </c>
      <c r="I239" s="27">
        <v>64532.0</v>
      </c>
      <c r="J239" s="27">
        <v>63550.0</v>
      </c>
      <c r="K239" s="27">
        <v>292.0</v>
      </c>
      <c r="L239" s="28" t="s">
        <v>21</v>
      </c>
      <c r="M239" s="10"/>
      <c r="N239" s="10"/>
      <c r="O239" s="29">
        <f t="shared" si="2"/>
        <v>0.075280481</v>
      </c>
    </row>
    <row r="240">
      <c r="A240" s="10" t="s">
        <v>90</v>
      </c>
      <c r="B240" s="10" t="s">
        <v>33</v>
      </c>
      <c r="C240" s="26">
        <v>45597.0</v>
      </c>
      <c r="D240" s="10" t="s">
        <v>53</v>
      </c>
      <c r="E240" s="10" t="s">
        <v>54</v>
      </c>
      <c r="F240" s="27">
        <v>3371.0</v>
      </c>
      <c r="G240" s="27">
        <v>106.0</v>
      </c>
      <c r="H240" s="27">
        <v>327.0</v>
      </c>
      <c r="I240" s="27">
        <v>50565.0</v>
      </c>
      <c r="J240" s="27">
        <v>49816.0</v>
      </c>
      <c r="K240" s="27">
        <v>176.0</v>
      </c>
      <c r="L240" s="28" t="s">
        <v>16</v>
      </c>
      <c r="M240" s="10"/>
      <c r="N240" s="10"/>
      <c r="O240" s="29">
        <f t="shared" si="2"/>
        <v>0.07522990211</v>
      </c>
    </row>
    <row r="241">
      <c r="A241" s="10" t="s">
        <v>219</v>
      </c>
      <c r="B241" s="10" t="s">
        <v>33</v>
      </c>
      <c r="C241" s="26">
        <v>45608.0</v>
      </c>
      <c r="D241" s="10" t="s">
        <v>19</v>
      </c>
      <c r="E241" s="10" t="s">
        <v>42</v>
      </c>
      <c r="F241" s="27">
        <v>2418.0</v>
      </c>
      <c r="G241" s="27">
        <v>754.0</v>
      </c>
      <c r="H241" s="27">
        <v>54.0</v>
      </c>
      <c r="I241" s="27">
        <v>43524.0</v>
      </c>
      <c r="J241" s="27">
        <v>42743.0</v>
      </c>
      <c r="K241" s="27">
        <v>182.0</v>
      </c>
      <c r="L241" s="28" t="s">
        <v>30</v>
      </c>
      <c r="M241" s="10"/>
      <c r="N241" s="10"/>
      <c r="O241" s="29">
        <f t="shared" si="2"/>
        <v>0.07412002573</v>
      </c>
    </row>
    <row r="242">
      <c r="A242" s="10" t="s">
        <v>161</v>
      </c>
      <c r="B242" s="10" t="s">
        <v>24</v>
      </c>
      <c r="C242" s="26">
        <v>45619.0</v>
      </c>
      <c r="D242" s="10" t="s">
        <v>39</v>
      </c>
      <c r="E242" s="10" t="s">
        <v>40</v>
      </c>
      <c r="F242" s="27">
        <v>2719.0</v>
      </c>
      <c r="G242" s="27">
        <v>17.0</v>
      </c>
      <c r="H242" s="27">
        <v>285.0</v>
      </c>
      <c r="I242" s="27">
        <v>40785.0</v>
      </c>
      <c r="J242" s="27">
        <v>40281.0</v>
      </c>
      <c r="K242" s="27">
        <v>40.0</v>
      </c>
      <c r="L242" s="28" t="s">
        <v>21</v>
      </c>
      <c r="M242" s="10"/>
      <c r="N242" s="10"/>
      <c r="O242" s="29">
        <f t="shared" si="2"/>
        <v>0.07407134976</v>
      </c>
    </row>
    <row r="243">
      <c r="A243" s="10" t="s">
        <v>151</v>
      </c>
      <c r="B243" s="10" t="s">
        <v>24</v>
      </c>
      <c r="C243" s="26">
        <v>45583.0</v>
      </c>
      <c r="D243" s="10" t="s">
        <v>53</v>
      </c>
      <c r="E243" s="10" t="s">
        <v>133</v>
      </c>
      <c r="F243" s="27">
        <v>4450.0</v>
      </c>
      <c r="G243" s="27">
        <v>983.0</v>
      </c>
      <c r="H243" s="27">
        <v>143.0</v>
      </c>
      <c r="I243" s="27">
        <v>75650.0</v>
      </c>
      <c r="J243" s="27">
        <v>75008.0</v>
      </c>
      <c r="K243" s="27">
        <v>12.0</v>
      </c>
      <c r="L243" s="28" t="s">
        <v>16</v>
      </c>
      <c r="M243" s="10"/>
      <c r="N243" s="10"/>
      <c r="O243" s="29">
        <f t="shared" si="2"/>
        <v>0.07370786517</v>
      </c>
    </row>
    <row r="244">
      <c r="A244" s="10" t="s">
        <v>94</v>
      </c>
      <c r="B244" s="10" t="s">
        <v>13</v>
      </c>
      <c r="C244" s="26">
        <v>45727.0</v>
      </c>
      <c r="D244" s="10" t="s">
        <v>28</v>
      </c>
      <c r="E244" s="10" t="s">
        <v>95</v>
      </c>
      <c r="F244" s="27">
        <v>1950.0</v>
      </c>
      <c r="G244" s="27">
        <v>295.0</v>
      </c>
      <c r="H244" s="27">
        <v>478.0</v>
      </c>
      <c r="I244" s="27">
        <v>37050.0</v>
      </c>
      <c r="J244" s="27">
        <v>36272.0</v>
      </c>
      <c r="K244" s="27">
        <v>119.0</v>
      </c>
      <c r="L244" s="28" t="s">
        <v>21</v>
      </c>
      <c r="M244" s="10"/>
      <c r="N244" s="10"/>
      <c r="O244" s="29">
        <f t="shared" si="2"/>
        <v>0.07349527665</v>
      </c>
    </row>
    <row r="245">
      <c r="A245" s="10" t="s">
        <v>301</v>
      </c>
      <c r="B245" s="10" t="s">
        <v>33</v>
      </c>
      <c r="C245" s="26">
        <v>45465.0</v>
      </c>
      <c r="D245" s="10" t="s">
        <v>14</v>
      </c>
      <c r="E245" s="10" t="s">
        <v>47</v>
      </c>
      <c r="F245" s="27">
        <v>3813.0</v>
      </c>
      <c r="G245" s="27">
        <v>935.0</v>
      </c>
      <c r="H245" s="27">
        <v>274.0</v>
      </c>
      <c r="I245" s="27">
        <v>68634.0</v>
      </c>
      <c r="J245" s="27">
        <v>68488.0</v>
      </c>
      <c r="K245" s="27">
        <v>251.0</v>
      </c>
      <c r="L245" s="28" t="s">
        <v>16</v>
      </c>
      <c r="M245" s="10"/>
      <c r="N245" s="10"/>
      <c r="O245" s="29">
        <f t="shared" si="2"/>
        <v>0.07317073171</v>
      </c>
    </row>
    <row r="246">
      <c r="A246" s="10" t="s">
        <v>340</v>
      </c>
      <c r="B246" s="10" t="s">
        <v>33</v>
      </c>
      <c r="C246" s="26">
        <v>45624.0</v>
      </c>
      <c r="D246" s="10" t="s">
        <v>34</v>
      </c>
      <c r="E246" s="10" t="s">
        <v>35</v>
      </c>
      <c r="F246" s="27">
        <v>2751.0</v>
      </c>
      <c r="G246" s="27">
        <v>33.0</v>
      </c>
      <c r="H246" s="27">
        <v>430.0</v>
      </c>
      <c r="I246" s="27">
        <v>44016.0</v>
      </c>
      <c r="J246" s="27">
        <v>43415.0</v>
      </c>
      <c r="K246" s="27">
        <v>129.0</v>
      </c>
      <c r="L246" s="28" t="s">
        <v>16</v>
      </c>
      <c r="M246" s="10"/>
      <c r="N246" s="10"/>
      <c r="O246" s="29">
        <f t="shared" si="2"/>
        <v>0.07301890222</v>
      </c>
    </row>
    <row r="247">
      <c r="A247" s="10" t="s">
        <v>284</v>
      </c>
      <c r="B247" s="10" t="s">
        <v>33</v>
      </c>
      <c r="C247" s="26">
        <v>45724.0</v>
      </c>
      <c r="D247" s="10" t="s">
        <v>39</v>
      </c>
      <c r="E247" s="10" t="s">
        <v>44</v>
      </c>
      <c r="F247" s="27">
        <v>2382.0</v>
      </c>
      <c r="G247" s="27">
        <v>265.0</v>
      </c>
      <c r="H247" s="27">
        <v>134.0</v>
      </c>
      <c r="I247" s="27">
        <v>38112.0</v>
      </c>
      <c r="J247" s="27">
        <v>37437.0</v>
      </c>
      <c r="K247" s="27">
        <v>249.0</v>
      </c>
      <c r="L247" s="28" t="s">
        <v>16</v>
      </c>
      <c r="M247" s="10"/>
      <c r="N247" s="10"/>
      <c r="O247" s="29">
        <f t="shared" si="2"/>
        <v>0.07296914358</v>
      </c>
    </row>
    <row r="248">
      <c r="A248" s="10" t="s">
        <v>223</v>
      </c>
      <c r="B248" s="10" t="s">
        <v>33</v>
      </c>
      <c r="C248" s="26">
        <v>45518.0</v>
      </c>
      <c r="D248" s="10" t="s">
        <v>34</v>
      </c>
      <c r="E248" s="10" t="s">
        <v>35</v>
      </c>
      <c r="F248" s="27">
        <v>3073.0</v>
      </c>
      <c r="G248" s="27">
        <v>553.0</v>
      </c>
      <c r="H248" s="27">
        <v>174.0</v>
      </c>
      <c r="I248" s="27">
        <v>52241.0</v>
      </c>
      <c r="J248" s="27">
        <v>51605.0</v>
      </c>
      <c r="K248" s="27">
        <v>246.0</v>
      </c>
      <c r="L248" s="28" t="s">
        <v>30</v>
      </c>
      <c r="M248" s="10"/>
      <c r="N248" s="10"/>
      <c r="O248" s="29">
        <f t="shared" si="2"/>
        <v>0.07273980207</v>
      </c>
    </row>
    <row r="249">
      <c r="A249" s="10" t="s">
        <v>289</v>
      </c>
      <c r="B249" s="10" t="s">
        <v>13</v>
      </c>
      <c r="C249" s="26">
        <v>45489.0</v>
      </c>
      <c r="D249" s="10" t="s">
        <v>19</v>
      </c>
      <c r="E249" s="10" t="s">
        <v>20</v>
      </c>
      <c r="F249" s="27">
        <v>4725.0</v>
      </c>
      <c r="G249" s="27">
        <v>400.0</v>
      </c>
      <c r="H249" s="27">
        <v>362.0</v>
      </c>
      <c r="I249" s="27">
        <v>75600.0</v>
      </c>
      <c r="J249" s="27">
        <v>74927.0</v>
      </c>
      <c r="K249" s="27">
        <v>43.0</v>
      </c>
      <c r="L249" s="28" t="s">
        <v>16</v>
      </c>
      <c r="M249" s="10"/>
      <c r="N249" s="10"/>
      <c r="O249" s="29">
        <f t="shared" si="2"/>
        <v>0.07257936508</v>
      </c>
    </row>
    <row r="250">
      <c r="A250" s="10" t="s">
        <v>240</v>
      </c>
      <c r="B250" s="10" t="s">
        <v>33</v>
      </c>
      <c r="C250" s="26">
        <v>45740.0</v>
      </c>
      <c r="D250" s="10" t="s">
        <v>14</v>
      </c>
      <c r="E250" s="10" t="s">
        <v>47</v>
      </c>
      <c r="F250" s="27">
        <v>3360.0</v>
      </c>
      <c r="G250" s="27">
        <v>525.0</v>
      </c>
      <c r="H250" s="27">
        <v>500.0</v>
      </c>
      <c r="I250" s="27">
        <v>60480.0</v>
      </c>
      <c r="J250" s="27">
        <v>59610.0</v>
      </c>
      <c r="K250" s="27">
        <v>192.0</v>
      </c>
      <c r="L250" s="28" t="s">
        <v>21</v>
      </c>
      <c r="M250" s="10"/>
      <c r="N250" s="10"/>
      <c r="O250" s="29">
        <f t="shared" si="2"/>
        <v>0.07250330688</v>
      </c>
    </row>
    <row r="251">
      <c r="A251" s="10" t="s">
        <v>83</v>
      </c>
      <c r="B251" s="10" t="s">
        <v>33</v>
      </c>
      <c r="C251" s="26">
        <v>45621.0</v>
      </c>
      <c r="D251" s="10" t="s">
        <v>39</v>
      </c>
      <c r="E251" s="10" t="s">
        <v>44</v>
      </c>
      <c r="F251" s="27">
        <v>3564.0</v>
      </c>
      <c r="G251" s="27">
        <v>629.0</v>
      </c>
      <c r="H251" s="27">
        <v>177.0</v>
      </c>
      <c r="I251" s="27">
        <v>60588.0</v>
      </c>
      <c r="J251" s="27">
        <v>59627.0</v>
      </c>
      <c r="K251" s="27">
        <v>92.0</v>
      </c>
      <c r="L251" s="28" t="s">
        <v>21</v>
      </c>
      <c r="M251" s="10"/>
      <c r="N251" s="10"/>
      <c r="O251" s="29">
        <f t="shared" si="2"/>
        <v>0.0721264937</v>
      </c>
    </row>
    <row r="252">
      <c r="A252" s="10" t="s">
        <v>266</v>
      </c>
      <c r="B252" s="10" t="s">
        <v>33</v>
      </c>
      <c r="C252" s="26">
        <v>45783.0</v>
      </c>
      <c r="D252" s="10" t="s">
        <v>39</v>
      </c>
      <c r="E252" s="10" t="s">
        <v>44</v>
      </c>
      <c r="F252" s="27">
        <v>4872.0</v>
      </c>
      <c r="G252" s="27">
        <v>925.0</v>
      </c>
      <c r="H252" s="27">
        <v>176.0</v>
      </c>
      <c r="I252" s="27">
        <v>82824.0</v>
      </c>
      <c r="J252" s="27">
        <v>82543.0</v>
      </c>
      <c r="K252" s="27">
        <v>89.0</v>
      </c>
      <c r="L252" s="28" t="s">
        <v>30</v>
      </c>
      <c r="M252" s="10"/>
      <c r="N252" s="10"/>
      <c r="O252" s="29">
        <f t="shared" si="2"/>
        <v>0.07211677775</v>
      </c>
    </row>
    <row r="253">
      <c r="A253" s="10" t="s">
        <v>66</v>
      </c>
      <c r="B253" s="10" t="s">
        <v>33</v>
      </c>
      <c r="C253" s="26">
        <v>45680.0</v>
      </c>
      <c r="D253" s="10" t="s">
        <v>53</v>
      </c>
      <c r="E253" s="10" t="s">
        <v>54</v>
      </c>
      <c r="F253" s="27">
        <v>3961.0</v>
      </c>
      <c r="G253" s="27">
        <v>761.0</v>
      </c>
      <c r="H253" s="27">
        <v>131.0</v>
      </c>
      <c r="I253" s="27">
        <v>67337.0</v>
      </c>
      <c r="J253" s="27">
        <v>66615.0</v>
      </c>
      <c r="K253" s="27">
        <v>161.0</v>
      </c>
      <c r="L253" s="28" t="s">
        <v>16</v>
      </c>
      <c r="M253" s="10"/>
      <c r="N253" s="10"/>
      <c r="O253" s="29">
        <f t="shared" si="2"/>
        <v>0.0720703328</v>
      </c>
    </row>
    <row r="254">
      <c r="A254" s="10" t="s">
        <v>149</v>
      </c>
      <c r="B254" s="10" t="s">
        <v>24</v>
      </c>
      <c r="C254" s="26">
        <v>45475.0</v>
      </c>
      <c r="D254" s="10" t="s">
        <v>34</v>
      </c>
      <c r="E254" s="10" t="s">
        <v>49</v>
      </c>
      <c r="F254" s="27">
        <v>4171.0</v>
      </c>
      <c r="G254" s="27">
        <v>548.0</v>
      </c>
      <c r="H254" s="27">
        <v>86.0</v>
      </c>
      <c r="I254" s="27">
        <v>66736.0</v>
      </c>
      <c r="J254" s="27">
        <v>66634.0</v>
      </c>
      <c r="K254" s="27">
        <v>173.0</v>
      </c>
      <c r="L254" s="28" t="s">
        <v>16</v>
      </c>
      <c r="M254" s="10"/>
      <c r="N254" s="10"/>
      <c r="O254" s="29">
        <f t="shared" si="2"/>
        <v>0.07200011988</v>
      </c>
    </row>
    <row r="255">
      <c r="A255" s="10" t="s">
        <v>43</v>
      </c>
      <c r="B255" s="10" t="s">
        <v>33</v>
      </c>
      <c r="C255" s="26">
        <v>45727.0</v>
      </c>
      <c r="D255" s="10" t="s">
        <v>39</v>
      </c>
      <c r="E255" s="10" t="s">
        <v>44</v>
      </c>
      <c r="F255" s="27">
        <v>4241.0</v>
      </c>
      <c r="G255" s="27">
        <v>902.0</v>
      </c>
      <c r="H255" s="27">
        <v>47.0</v>
      </c>
      <c r="I255" s="27">
        <v>72097.0</v>
      </c>
      <c r="J255" s="27">
        <v>71598.0</v>
      </c>
      <c r="K255" s="27">
        <v>167.0</v>
      </c>
      <c r="L255" s="28" t="s">
        <v>21</v>
      </c>
      <c r="M255" s="10"/>
      <c r="N255" s="10"/>
      <c r="O255" s="29">
        <f t="shared" si="2"/>
        <v>0.07198635172</v>
      </c>
    </row>
    <row r="256">
      <c r="A256" s="10" t="s">
        <v>342</v>
      </c>
      <c r="B256" s="10" t="s">
        <v>33</v>
      </c>
      <c r="C256" s="26">
        <v>45602.0</v>
      </c>
      <c r="D256" s="10" t="s">
        <v>53</v>
      </c>
      <c r="E256" s="10" t="s">
        <v>54</v>
      </c>
      <c r="F256" s="27">
        <v>4663.0</v>
      </c>
      <c r="G256" s="27">
        <v>145.0</v>
      </c>
      <c r="H256" s="27">
        <v>225.0</v>
      </c>
      <c r="I256" s="27">
        <v>69945.0</v>
      </c>
      <c r="J256" s="27">
        <v>69596.0</v>
      </c>
      <c r="K256" s="27">
        <v>35.0</v>
      </c>
      <c r="L256" s="28" t="s">
        <v>30</v>
      </c>
      <c r="M256" s="10"/>
      <c r="N256" s="10"/>
      <c r="O256" s="29">
        <f t="shared" si="2"/>
        <v>0.07195653728</v>
      </c>
    </row>
    <row r="257">
      <c r="A257" s="10" t="s">
        <v>183</v>
      </c>
      <c r="B257" s="10" t="s">
        <v>33</v>
      </c>
      <c r="C257" s="26">
        <v>45694.0</v>
      </c>
      <c r="D257" s="10" t="s">
        <v>39</v>
      </c>
      <c r="E257" s="10" t="s">
        <v>44</v>
      </c>
      <c r="F257" s="27">
        <v>2072.0</v>
      </c>
      <c r="G257" s="27">
        <v>532.0</v>
      </c>
      <c r="H257" s="27">
        <v>71.0</v>
      </c>
      <c r="I257" s="27">
        <v>37296.0</v>
      </c>
      <c r="J257" s="27">
        <v>36467.0</v>
      </c>
      <c r="K257" s="27">
        <v>25.0</v>
      </c>
      <c r="L257" s="28" t="s">
        <v>21</v>
      </c>
      <c r="M257" s="10"/>
      <c r="N257" s="10"/>
      <c r="O257" s="29">
        <f t="shared" si="2"/>
        <v>0.07172350922</v>
      </c>
    </row>
    <row r="258">
      <c r="A258" s="10" t="s">
        <v>69</v>
      </c>
      <c r="B258" s="10" t="s">
        <v>24</v>
      </c>
      <c r="C258" s="26">
        <v>45552.0</v>
      </c>
      <c r="D258" s="10" t="s">
        <v>19</v>
      </c>
      <c r="E258" s="10" t="s">
        <v>70</v>
      </c>
      <c r="F258" s="27">
        <v>2076.0</v>
      </c>
      <c r="G258" s="27">
        <v>195.0</v>
      </c>
      <c r="H258" s="27">
        <v>104.0</v>
      </c>
      <c r="I258" s="27">
        <v>33216.0</v>
      </c>
      <c r="J258" s="27">
        <v>32244.0</v>
      </c>
      <c r="K258" s="27">
        <v>51.0</v>
      </c>
      <c r="L258" s="28" t="s">
        <v>16</v>
      </c>
      <c r="M258" s="10"/>
      <c r="N258" s="10"/>
      <c r="O258" s="29">
        <f t="shared" si="2"/>
        <v>0.07150168593</v>
      </c>
    </row>
    <row r="259">
      <c r="A259" s="10" t="s">
        <v>184</v>
      </c>
      <c r="B259" s="10" t="s">
        <v>13</v>
      </c>
      <c r="C259" s="26">
        <v>45771.0</v>
      </c>
      <c r="D259" s="10" t="s">
        <v>14</v>
      </c>
      <c r="E259" s="10" t="s">
        <v>15</v>
      </c>
      <c r="F259" s="27">
        <v>3731.0</v>
      </c>
      <c r="G259" s="27">
        <v>115.0</v>
      </c>
      <c r="H259" s="27">
        <v>135.0</v>
      </c>
      <c r="I259" s="27">
        <v>55965.0</v>
      </c>
      <c r="J259" s="27">
        <v>55436.0</v>
      </c>
      <c r="K259" s="27">
        <v>103.0</v>
      </c>
      <c r="L259" s="28" t="s">
        <v>21</v>
      </c>
      <c r="M259" s="10"/>
      <c r="N259" s="10"/>
      <c r="O259" s="29">
        <f t="shared" si="2"/>
        <v>0.0711337443</v>
      </c>
    </row>
    <row r="260">
      <c r="A260" s="10" t="s">
        <v>140</v>
      </c>
      <c r="B260" s="10" t="s">
        <v>27</v>
      </c>
      <c r="C260" s="26">
        <v>45446.0</v>
      </c>
      <c r="D260" s="10" t="s">
        <v>39</v>
      </c>
      <c r="E260" s="10" t="s">
        <v>131</v>
      </c>
      <c r="F260" s="27">
        <v>3861.0</v>
      </c>
      <c r="G260" s="27">
        <v>960.0</v>
      </c>
      <c r="H260" s="27">
        <v>101.0</v>
      </c>
      <c r="I260" s="27">
        <v>69498.0</v>
      </c>
      <c r="J260" s="27">
        <v>68817.0</v>
      </c>
      <c r="K260" s="27">
        <v>297.0</v>
      </c>
      <c r="L260" s="28" t="s">
        <v>21</v>
      </c>
      <c r="M260" s="10"/>
      <c r="N260" s="10"/>
      <c r="O260" s="29">
        <f t="shared" si="2"/>
        <v>0.07082218193</v>
      </c>
    </row>
    <row r="261">
      <c r="A261" s="10" t="s">
        <v>78</v>
      </c>
      <c r="B261" s="10" t="s">
        <v>33</v>
      </c>
      <c r="C261" s="26">
        <v>45742.0</v>
      </c>
      <c r="D261" s="10" t="s">
        <v>19</v>
      </c>
      <c r="E261" s="10" t="s">
        <v>42</v>
      </c>
      <c r="F261" s="27">
        <v>1652.0</v>
      </c>
      <c r="G261" s="27">
        <v>89.0</v>
      </c>
      <c r="H261" s="27">
        <v>357.0</v>
      </c>
      <c r="I261" s="27">
        <v>29736.0</v>
      </c>
      <c r="J261" s="27">
        <v>28771.0</v>
      </c>
      <c r="K261" s="27">
        <v>215.0</v>
      </c>
      <c r="L261" s="28" t="s">
        <v>21</v>
      </c>
      <c r="M261" s="10"/>
      <c r="N261" s="10"/>
      <c r="O261" s="29">
        <f t="shared" si="2"/>
        <v>0.07055421038</v>
      </c>
    </row>
    <row r="262">
      <c r="A262" s="10" t="s">
        <v>36</v>
      </c>
      <c r="B262" s="10" t="s">
        <v>13</v>
      </c>
      <c r="C262" s="26">
        <v>45467.0</v>
      </c>
      <c r="D262" s="10" t="s">
        <v>34</v>
      </c>
      <c r="E262" s="10" t="s">
        <v>37</v>
      </c>
      <c r="F262" s="27">
        <v>3860.0</v>
      </c>
      <c r="G262" s="27">
        <v>201.0</v>
      </c>
      <c r="H262" s="27">
        <v>279.0</v>
      </c>
      <c r="I262" s="27">
        <v>61760.0</v>
      </c>
      <c r="J262" s="27">
        <v>61660.0</v>
      </c>
      <c r="K262" s="27">
        <v>235.0</v>
      </c>
      <c r="L262" s="28" t="s">
        <v>21</v>
      </c>
      <c r="M262" s="10"/>
      <c r="N262" s="10"/>
      <c r="O262" s="29">
        <f t="shared" si="2"/>
        <v>0.07027202073</v>
      </c>
    </row>
    <row r="263">
      <c r="A263" s="10" t="s">
        <v>193</v>
      </c>
      <c r="B263" s="10" t="s">
        <v>24</v>
      </c>
      <c r="C263" s="26">
        <v>45741.0</v>
      </c>
      <c r="D263" s="10" t="s">
        <v>28</v>
      </c>
      <c r="E263" s="10" t="s">
        <v>98</v>
      </c>
      <c r="F263" s="27">
        <v>2070.0</v>
      </c>
      <c r="G263" s="27">
        <v>275.0</v>
      </c>
      <c r="H263" s="27">
        <v>386.0</v>
      </c>
      <c r="I263" s="27">
        <v>39330.0</v>
      </c>
      <c r="J263" s="27">
        <v>38627.0</v>
      </c>
      <c r="K263" s="27">
        <v>114.0</v>
      </c>
      <c r="L263" s="28" t="s">
        <v>16</v>
      </c>
      <c r="M263" s="10"/>
      <c r="N263" s="10"/>
      <c r="O263" s="29">
        <f t="shared" si="2"/>
        <v>0.06943808797</v>
      </c>
    </row>
    <row r="264">
      <c r="A264" s="10" t="s">
        <v>177</v>
      </c>
      <c r="B264" s="10" t="s">
        <v>33</v>
      </c>
      <c r="C264" s="26">
        <v>45684.0</v>
      </c>
      <c r="D264" s="10" t="s">
        <v>14</v>
      </c>
      <c r="E264" s="10" t="s">
        <v>47</v>
      </c>
      <c r="F264" s="27">
        <v>3452.0</v>
      </c>
      <c r="G264" s="27">
        <v>652.0</v>
      </c>
      <c r="H264" s="27">
        <v>442.0</v>
      </c>
      <c r="I264" s="27">
        <v>65588.0</v>
      </c>
      <c r="J264" s="27">
        <v>65049.0</v>
      </c>
      <c r="K264" s="27">
        <v>158.0</v>
      </c>
      <c r="L264" s="28" t="s">
        <v>16</v>
      </c>
      <c r="M264" s="10"/>
      <c r="N264" s="10"/>
      <c r="O264" s="29">
        <f t="shared" si="2"/>
        <v>0.06931145941</v>
      </c>
    </row>
    <row r="265">
      <c r="A265" s="10" t="s">
        <v>221</v>
      </c>
      <c r="B265" s="10" t="s">
        <v>13</v>
      </c>
      <c r="C265" s="26">
        <v>45775.0</v>
      </c>
      <c r="D265" s="10" t="s">
        <v>19</v>
      </c>
      <c r="E265" s="10" t="s">
        <v>20</v>
      </c>
      <c r="F265" s="27">
        <v>3577.0</v>
      </c>
      <c r="G265" s="27">
        <v>596.0</v>
      </c>
      <c r="H265" s="27">
        <v>493.0</v>
      </c>
      <c r="I265" s="27">
        <v>67963.0</v>
      </c>
      <c r="J265" s="27">
        <v>67839.0</v>
      </c>
      <c r="K265" s="27">
        <v>53.0</v>
      </c>
      <c r="L265" s="28" t="s">
        <v>21</v>
      </c>
      <c r="M265" s="10"/>
      <c r="N265" s="10"/>
      <c r="O265" s="29">
        <f t="shared" si="2"/>
        <v>0.06865500346</v>
      </c>
    </row>
    <row r="266">
      <c r="A266" s="10" t="s">
        <v>145</v>
      </c>
      <c r="B266" s="10" t="s">
        <v>27</v>
      </c>
      <c r="C266" s="26">
        <v>45604.0</v>
      </c>
      <c r="D266" s="10" t="s">
        <v>19</v>
      </c>
      <c r="E266" s="10" t="s">
        <v>75</v>
      </c>
      <c r="F266" s="27">
        <v>3182.0</v>
      </c>
      <c r="G266" s="27">
        <v>559.0</v>
      </c>
      <c r="H266" s="27">
        <v>160.0</v>
      </c>
      <c r="I266" s="27">
        <v>57276.0</v>
      </c>
      <c r="J266" s="27">
        <v>56890.0</v>
      </c>
      <c r="K266" s="27">
        <v>163.0</v>
      </c>
      <c r="L266" s="28" t="s">
        <v>16</v>
      </c>
      <c r="M266" s="10"/>
      <c r="N266" s="10"/>
      <c r="O266" s="29">
        <f t="shared" si="2"/>
        <v>0.06810880648</v>
      </c>
    </row>
    <row r="267">
      <c r="A267" s="10" t="s">
        <v>339</v>
      </c>
      <c r="B267" s="10" t="s">
        <v>24</v>
      </c>
      <c r="C267" s="26">
        <v>45764.0</v>
      </c>
      <c r="D267" s="10" t="s">
        <v>34</v>
      </c>
      <c r="E267" s="10" t="s">
        <v>49</v>
      </c>
      <c r="F267" s="27">
        <v>4780.0</v>
      </c>
      <c r="G267" s="27">
        <v>691.0</v>
      </c>
      <c r="H267" s="27">
        <v>380.0</v>
      </c>
      <c r="I267" s="27">
        <v>86040.0</v>
      </c>
      <c r="J267" s="27">
        <v>85743.0</v>
      </c>
      <c r="K267" s="27">
        <v>262.0</v>
      </c>
      <c r="L267" s="28" t="s">
        <v>16</v>
      </c>
      <c r="M267" s="10"/>
      <c r="N267" s="10"/>
      <c r="O267" s="29">
        <f t="shared" si="2"/>
        <v>0.0680032543</v>
      </c>
    </row>
    <row r="268">
      <c r="A268" s="10" t="s">
        <v>288</v>
      </c>
      <c r="B268" s="10" t="s">
        <v>27</v>
      </c>
      <c r="C268" s="26">
        <v>45587.0</v>
      </c>
      <c r="D268" s="10" t="s">
        <v>28</v>
      </c>
      <c r="E268" s="10" t="s">
        <v>29</v>
      </c>
      <c r="F268" s="27">
        <v>3770.0</v>
      </c>
      <c r="G268" s="27">
        <v>917.0</v>
      </c>
      <c r="H268" s="27">
        <v>129.0</v>
      </c>
      <c r="I268" s="27">
        <v>71630.0</v>
      </c>
      <c r="J268" s="27">
        <v>71322.0</v>
      </c>
      <c r="K268" s="27">
        <v>76.0</v>
      </c>
      <c r="L268" s="28" t="s">
        <v>16</v>
      </c>
      <c r="M268" s="10"/>
      <c r="N268" s="10"/>
      <c r="O268" s="29">
        <f t="shared" si="2"/>
        <v>0.06723439899</v>
      </c>
    </row>
    <row r="269">
      <c r="A269" s="10" t="s">
        <v>321</v>
      </c>
      <c r="B269" s="10" t="s">
        <v>24</v>
      </c>
      <c r="C269" s="26">
        <v>45672.0</v>
      </c>
      <c r="D269" s="10" t="s">
        <v>14</v>
      </c>
      <c r="E269" s="10" t="s">
        <v>25</v>
      </c>
      <c r="F269" s="27">
        <v>3774.0</v>
      </c>
      <c r="G269" s="27">
        <v>239.0</v>
      </c>
      <c r="H269" s="27">
        <v>39.0</v>
      </c>
      <c r="I269" s="27">
        <v>60384.0</v>
      </c>
      <c r="J269" s="27">
        <v>59490.0</v>
      </c>
      <c r="K269" s="27">
        <v>241.0</v>
      </c>
      <c r="L269" s="28" t="s">
        <v>21</v>
      </c>
      <c r="M269" s="10"/>
      <c r="N269" s="10"/>
      <c r="O269" s="29">
        <f t="shared" si="2"/>
        <v>0.06710386857</v>
      </c>
    </row>
    <row r="270">
      <c r="A270" s="10" t="s">
        <v>31</v>
      </c>
      <c r="B270" s="10" t="s">
        <v>24</v>
      </c>
      <c r="C270" s="26">
        <v>45469.0</v>
      </c>
      <c r="D270" s="10" t="s">
        <v>14</v>
      </c>
      <c r="E270" s="10" t="s">
        <v>25</v>
      </c>
      <c r="F270" s="27">
        <v>3557.0</v>
      </c>
      <c r="G270" s="27">
        <v>687.0</v>
      </c>
      <c r="H270" s="27">
        <v>424.0</v>
      </c>
      <c r="I270" s="27">
        <v>71140.0</v>
      </c>
      <c r="J270" s="27">
        <v>70701.0</v>
      </c>
      <c r="K270" s="27">
        <v>224.0</v>
      </c>
      <c r="L270" s="28" t="s">
        <v>30</v>
      </c>
      <c r="M270" s="28" t="s">
        <v>21</v>
      </c>
      <c r="N270" s="10"/>
      <c r="O270" s="29">
        <f t="shared" si="2"/>
        <v>0.06561709306</v>
      </c>
    </row>
    <row r="271">
      <c r="A271" s="10" t="s">
        <v>136</v>
      </c>
      <c r="B271" s="10" t="s">
        <v>24</v>
      </c>
      <c r="C271" s="26">
        <v>45684.0</v>
      </c>
      <c r="D271" s="10" t="s">
        <v>19</v>
      </c>
      <c r="E271" s="10" t="s">
        <v>70</v>
      </c>
      <c r="F271" s="27">
        <v>3428.0</v>
      </c>
      <c r="G271" s="27">
        <v>305.0</v>
      </c>
      <c r="H271" s="27">
        <v>85.0</v>
      </c>
      <c r="I271" s="27">
        <v>58276.0</v>
      </c>
      <c r="J271" s="27">
        <v>58052.0</v>
      </c>
      <c r="K271" s="27">
        <v>242.0</v>
      </c>
      <c r="L271" s="28" t="s">
        <v>30</v>
      </c>
      <c r="M271" s="28" t="s">
        <v>22</v>
      </c>
      <c r="N271" s="10"/>
      <c r="O271" s="29">
        <f t="shared" si="2"/>
        <v>0.06551582126</v>
      </c>
    </row>
    <row r="272">
      <c r="A272" s="10" t="s">
        <v>195</v>
      </c>
      <c r="B272" s="10" t="s">
        <v>24</v>
      </c>
      <c r="C272" s="26">
        <v>45593.0</v>
      </c>
      <c r="D272" s="10" t="s">
        <v>28</v>
      </c>
      <c r="E272" s="10" t="s">
        <v>98</v>
      </c>
      <c r="F272" s="27">
        <v>4929.0</v>
      </c>
      <c r="G272" s="27">
        <v>749.0</v>
      </c>
      <c r="H272" s="27">
        <v>452.0</v>
      </c>
      <c r="I272" s="27">
        <v>93651.0</v>
      </c>
      <c r="J272" s="27">
        <v>92810.0</v>
      </c>
      <c r="K272" s="27">
        <v>66.0</v>
      </c>
      <c r="L272" s="28" t="s">
        <v>30</v>
      </c>
      <c r="M272" s="10"/>
      <c r="N272" s="10"/>
      <c r="O272" s="29">
        <f t="shared" si="2"/>
        <v>0.06545578798</v>
      </c>
    </row>
    <row r="273">
      <c r="A273" s="10" t="s">
        <v>248</v>
      </c>
      <c r="B273" s="10" t="s">
        <v>13</v>
      </c>
      <c r="C273" s="26">
        <v>45587.0</v>
      </c>
      <c r="D273" s="10" t="s">
        <v>14</v>
      </c>
      <c r="E273" s="10" t="s">
        <v>15</v>
      </c>
      <c r="F273" s="27">
        <v>4782.0</v>
      </c>
      <c r="G273" s="27">
        <v>721.0</v>
      </c>
      <c r="H273" s="27">
        <v>82.0</v>
      </c>
      <c r="I273" s="27">
        <v>86076.0</v>
      </c>
      <c r="J273" s="27">
        <v>85339.0</v>
      </c>
      <c r="K273" s="27">
        <v>19.0</v>
      </c>
      <c r="L273" s="28" t="s">
        <v>30</v>
      </c>
      <c r="M273" s="10"/>
      <c r="N273" s="10"/>
      <c r="O273" s="29">
        <f t="shared" si="2"/>
        <v>0.06488452066</v>
      </c>
    </row>
    <row r="274">
      <c r="A274" s="10" t="s">
        <v>185</v>
      </c>
      <c r="B274" s="10" t="s">
        <v>33</v>
      </c>
      <c r="C274" s="26">
        <v>45624.0</v>
      </c>
      <c r="D274" s="10" t="s">
        <v>19</v>
      </c>
      <c r="E274" s="10" t="s">
        <v>42</v>
      </c>
      <c r="F274" s="27">
        <v>4213.0</v>
      </c>
      <c r="G274" s="27">
        <v>253.0</v>
      </c>
      <c r="H274" s="27">
        <v>434.0</v>
      </c>
      <c r="I274" s="27">
        <v>75834.0</v>
      </c>
      <c r="J274" s="27">
        <v>75437.0</v>
      </c>
      <c r="K274" s="27">
        <v>272.0</v>
      </c>
      <c r="L274" s="28" t="s">
        <v>16</v>
      </c>
      <c r="M274" s="10"/>
      <c r="N274" s="10"/>
      <c r="O274" s="29">
        <f t="shared" si="2"/>
        <v>0.06461481657</v>
      </c>
    </row>
    <row r="275">
      <c r="A275" s="10" t="s">
        <v>121</v>
      </c>
      <c r="B275" s="10" t="s">
        <v>33</v>
      </c>
      <c r="C275" s="26">
        <v>45583.0</v>
      </c>
      <c r="D275" s="10" t="s">
        <v>28</v>
      </c>
      <c r="E275" s="10" t="s">
        <v>51</v>
      </c>
      <c r="F275" s="27">
        <v>4126.0</v>
      </c>
      <c r="G275" s="27">
        <v>426.0</v>
      </c>
      <c r="H275" s="27">
        <v>486.0</v>
      </c>
      <c r="I275" s="27">
        <v>78394.0</v>
      </c>
      <c r="J275" s="27">
        <v>77798.0</v>
      </c>
      <c r="K275" s="27">
        <v>88.0</v>
      </c>
      <c r="L275" s="28" t="s">
        <v>16</v>
      </c>
      <c r="M275" s="10"/>
      <c r="N275" s="10"/>
      <c r="O275" s="29">
        <f t="shared" si="2"/>
        <v>0.06426512233</v>
      </c>
    </row>
    <row r="276">
      <c r="A276" s="10" t="s">
        <v>318</v>
      </c>
      <c r="B276" s="10" t="s">
        <v>13</v>
      </c>
      <c r="C276" s="26">
        <v>45569.0</v>
      </c>
      <c r="D276" s="10" t="s">
        <v>14</v>
      </c>
      <c r="E276" s="10" t="s">
        <v>15</v>
      </c>
      <c r="F276" s="27">
        <v>4187.0</v>
      </c>
      <c r="G276" s="27">
        <v>66.0</v>
      </c>
      <c r="H276" s="27">
        <v>31.0</v>
      </c>
      <c r="I276" s="27">
        <v>66992.0</v>
      </c>
      <c r="J276" s="27">
        <v>66614.0</v>
      </c>
      <c r="K276" s="27">
        <v>62.0</v>
      </c>
      <c r="L276" s="28" t="s">
        <v>16</v>
      </c>
      <c r="M276" s="10"/>
      <c r="N276" s="10"/>
      <c r="O276" s="29">
        <f t="shared" si="2"/>
        <v>0.06394793408</v>
      </c>
    </row>
    <row r="277">
      <c r="A277" s="10" t="s">
        <v>61</v>
      </c>
      <c r="B277" s="10" t="s">
        <v>27</v>
      </c>
      <c r="C277" s="26">
        <v>45544.0</v>
      </c>
      <c r="D277" s="10" t="s">
        <v>34</v>
      </c>
      <c r="E277" s="10" t="s">
        <v>62</v>
      </c>
      <c r="F277" s="27">
        <v>4054.0</v>
      </c>
      <c r="G277" s="27">
        <v>488.0</v>
      </c>
      <c r="H277" s="27">
        <v>373.0</v>
      </c>
      <c r="I277" s="27">
        <v>77026.0</v>
      </c>
      <c r="J277" s="27">
        <v>76881.0</v>
      </c>
      <c r="K277" s="27">
        <v>25.0</v>
      </c>
      <c r="L277" s="28" t="s">
        <v>21</v>
      </c>
      <c r="M277" s="10"/>
      <c r="N277" s="10"/>
      <c r="O277" s="29">
        <f t="shared" si="2"/>
        <v>0.06380962272</v>
      </c>
    </row>
    <row r="278">
      <c r="A278" s="10" t="s">
        <v>115</v>
      </c>
      <c r="B278" s="10" t="s">
        <v>33</v>
      </c>
      <c r="C278" s="26">
        <v>45745.0</v>
      </c>
      <c r="D278" s="10" t="s">
        <v>34</v>
      </c>
      <c r="E278" s="10" t="s">
        <v>35</v>
      </c>
      <c r="F278" s="27">
        <v>4712.0</v>
      </c>
      <c r="G278" s="27">
        <v>568.0</v>
      </c>
      <c r="H278" s="27">
        <v>127.0</v>
      </c>
      <c r="I278" s="27">
        <v>84816.0</v>
      </c>
      <c r="J278" s="27">
        <v>84691.0</v>
      </c>
      <c r="K278" s="27">
        <v>100.0</v>
      </c>
      <c r="L278" s="28" t="s">
        <v>30</v>
      </c>
      <c r="M278" s="10"/>
      <c r="N278" s="10"/>
      <c r="O278" s="29">
        <f t="shared" si="2"/>
        <v>0.0637497642</v>
      </c>
    </row>
    <row r="279">
      <c r="A279" s="10" t="s">
        <v>201</v>
      </c>
      <c r="B279" s="10" t="s">
        <v>24</v>
      </c>
      <c r="C279" s="26">
        <v>45526.0</v>
      </c>
      <c r="D279" s="10" t="s">
        <v>34</v>
      </c>
      <c r="E279" s="10" t="s">
        <v>49</v>
      </c>
      <c r="F279" s="27">
        <v>4295.0</v>
      </c>
      <c r="G279" s="27">
        <v>853.0</v>
      </c>
      <c r="H279" s="27">
        <v>325.0</v>
      </c>
      <c r="I279" s="27">
        <v>85900.0</v>
      </c>
      <c r="J279" s="27">
        <v>85788.0</v>
      </c>
      <c r="K279" s="27">
        <v>290.0</v>
      </c>
      <c r="L279" s="28" t="s">
        <v>21</v>
      </c>
      <c r="M279" s="10"/>
      <c r="N279" s="10"/>
      <c r="O279" s="29">
        <f t="shared" si="2"/>
        <v>0.06371362049</v>
      </c>
    </row>
    <row r="280">
      <c r="A280" s="10" t="s">
        <v>332</v>
      </c>
      <c r="B280" s="10" t="s">
        <v>24</v>
      </c>
      <c r="C280" s="26">
        <v>45738.0</v>
      </c>
      <c r="D280" s="10" t="s">
        <v>39</v>
      </c>
      <c r="E280" s="10" t="s">
        <v>40</v>
      </c>
      <c r="F280" s="27">
        <v>3166.0</v>
      </c>
      <c r="G280" s="27">
        <v>90.0</v>
      </c>
      <c r="H280" s="27">
        <v>341.0</v>
      </c>
      <c r="I280" s="27">
        <v>56988.0</v>
      </c>
      <c r="J280" s="27">
        <v>56125.0</v>
      </c>
      <c r="K280" s="27">
        <v>135.0</v>
      </c>
      <c r="L280" s="28" t="s">
        <v>30</v>
      </c>
      <c r="M280" s="10"/>
      <c r="N280" s="10"/>
      <c r="O280" s="29">
        <f t="shared" si="2"/>
        <v>0.06311855127</v>
      </c>
    </row>
    <row r="281">
      <c r="A281" s="10" t="s">
        <v>268</v>
      </c>
      <c r="B281" s="10" t="s">
        <v>33</v>
      </c>
      <c r="C281" s="26">
        <v>45629.0</v>
      </c>
      <c r="D281" s="10" t="s">
        <v>39</v>
      </c>
      <c r="E281" s="10" t="s">
        <v>44</v>
      </c>
      <c r="F281" s="27">
        <v>4606.0</v>
      </c>
      <c r="G281" s="27">
        <v>931.0</v>
      </c>
      <c r="H281" s="27">
        <v>230.0</v>
      </c>
      <c r="I281" s="27">
        <v>92120.0</v>
      </c>
      <c r="J281" s="27">
        <v>91440.0</v>
      </c>
      <c r="K281" s="27">
        <v>56.0</v>
      </c>
      <c r="L281" s="28" t="s">
        <v>21</v>
      </c>
      <c r="M281" s="10"/>
      <c r="N281" s="10"/>
      <c r="O281" s="29">
        <f t="shared" si="2"/>
        <v>0.06260312636</v>
      </c>
    </row>
    <row r="282">
      <c r="A282" s="10" t="s">
        <v>251</v>
      </c>
      <c r="B282" s="10" t="s">
        <v>33</v>
      </c>
      <c r="C282" s="26">
        <v>45754.0</v>
      </c>
      <c r="D282" s="10" t="s">
        <v>14</v>
      </c>
      <c r="E282" s="10" t="s">
        <v>47</v>
      </c>
      <c r="F282" s="27">
        <v>3718.0</v>
      </c>
      <c r="G282" s="27">
        <v>385.0</v>
      </c>
      <c r="H282" s="27">
        <v>310.0</v>
      </c>
      <c r="I282" s="27">
        <v>70642.0</v>
      </c>
      <c r="J282" s="27">
        <v>69749.0</v>
      </c>
      <c r="K282" s="27">
        <v>233.0</v>
      </c>
      <c r="L282" s="28" t="s">
        <v>21</v>
      </c>
      <c r="M282" s="10"/>
      <c r="N282" s="10"/>
      <c r="O282" s="29">
        <f t="shared" si="2"/>
        <v>0.06246991875</v>
      </c>
    </row>
    <row r="283">
      <c r="A283" s="10" t="s">
        <v>157</v>
      </c>
      <c r="B283" s="10" t="s">
        <v>24</v>
      </c>
      <c r="C283" s="26">
        <v>45464.0</v>
      </c>
      <c r="D283" s="10" t="s">
        <v>39</v>
      </c>
      <c r="E283" s="10" t="s">
        <v>40</v>
      </c>
      <c r="F283" s="27">
        <v>4832.0</v>
      </c>
      <c r="G283" s="27">
        <v>893.0</v>
      </c>
      <c r="H283" s="27">
        <v>10.0</v>
      </c>
      <c r="I283" s="27">
        <v>91808.0</v>
      </c>
      <c r="J283" s="27">
        <v>91296.0</v>
      </c>
      <c r="K283" s="27">
        <v>182.0</v>
      </c>
      <c r="L283" s="28" t="s">
        <v>21</v>
      </c>
      <c r="M283" s="10"/>
      <c r="N283" s="10"/>
      <c r="O283" s="29">
        <f t="shared" si="2"/>
        <v>0.06246732311</v>
      </c>
    </row>
    <row r="284">
      <c r="A284" s="10" t="s">
        <v>165</v>
      </c>
      <c r="B284" s="10" t="s">
        <v>13</v>
      </c>
      <c r="C284" s="26">
        <v>45788.0</v>
      </c>
      <c r="D284" s="10" t="s">
        <v>39</v>
      </c>
      <c r="E284" s="10" t="s">
        <v>85</v>
      </c>
      <c r="F284" s="27">
        <v>2493.0</v>
      </c>
      <c r="G284" s="27">
        <v>97.0</v>
      </c>
      <c r="H284" s="27">
        <v>44.0</v>
      </c>
      <c r="I284" s="27">
        <v>42381.0</v>
      </c>
      <c r="J284" s="27">
        <v>41991.0</v>
      </c>
      <c r="K284" s="27">
        <v>242.0</v>
      </c>
      <c r="L284" s="28" t="s">
        <v>21</v>
      </c>
      <c r="M284" s="28" t="s">
        <v>17</v>
      </c>
      <c r="N284" s="10"/>
      <c r="O284" s="29">
        <f t="shared" si="2"/>
        <v>0.06215049197</v>
      </c>
    </row>
    <row r="285">
      <c r="A285" s="10" t="s">
        <v>274</v>
      </c>
      <c r="B285" s="10" t="s">
        <v>13</v>
      </c>
      <c r="C285" s="26">
        <v>45608.0</v>
      </c>
      <c r="D285" s="10" t="s">
        <v>39</v>
      </c>
      <c r="E285" s="10" t="s">
        <v>85</v>
      </c>
      <c r="F285" s="27">
        <v>3338.0</v>
      </c>
      <c r="G285" s="27">
        <v>277.0</v>
      </c>
      <c r="H285" s="27">
        <v>118.0</v>
      </c>
      <c r="I285" s="27">
        <v>60084.0</v>
      </c>
      <c r="J285" s="27">
        <v>59842.0</v>
      </c>
      <c r="K285" s="27">
        <v>252.0</v>
      </c>
      <c r="L285" s="28" t="s">
        <v>21</v>
      </c>
      <c r="M285" s="10"/>
      <c r="N285" s="10"/>
      <c r="O285" s="29">
        <f t="shared" si="2"/>
        <v>0.06212968511</v>
      </c>
    </row>
    <row r="286">
      <c r="A286" s="10" t="s">
        <v>330</v>
      </c>
      <c r="B286" s="10" t="s">
        <v>24</v>
      </c>
      <c r="C286" s="26">
        <v>45537.0</v>
      </c>
      <c r="D286" s="10" t="s">
        <v>39</v>
      </c>
      <c r="E286" s="10" t="s">
        <v>40</v>
      </c>
      <c r="F286" s="27">
        <v>4905.0</v>
      </c>
      <c r="G286" s="27">
        <v>845.0</v>
      </c>
      <c r="H286" s="27">
        <v>129.0</v>
      </c>
      <c r="I286" s="27">
        <v>98100.0</v>
      </c>
      <c r="J286" s="27">
        <v>97772.0</v>
      </c>
      <c r="K286" s="27">
        <v>279.0</v>
      </c>
      <c r="L286" s="28" t="s">
        <v>21</v>
      </c>
      <c r="M286" s="10"/>
      <c r="N286" s="10"/>
      <c r="O286" s="29">
        <f t="shared" si="2"/>
        <v>0.05992864424</v>
      </c>
    </row>
    <row r="287">
      <c r="A287" s="10" t="s">
        <v>67</v>
      </c>
      <c r="B287" s="10" t="s">
        <v>13</v>
      </c>
      <c r="C287" s="26">
        <v>45757.0</v>
      </c>
      <c r="D287" s="10" t="s">
        <v>34</v>
      </c>
      <c r="E287" s="10" t="s">
        <v>37</v>
      </c>
      <c r="F287" s="27">
        <v>3128.0</v>
      </c>
      <c r="G287" s="27">
        <v>211.0</v>
      </c>
      <c r="H287" s="27">
        <v>197.0</v>
      </c>
      <c r="I287" s="27">
        <v>59432.0</v>
      </c>
      <c r="J287" s="27">
        <v>59182.0</v>
      </c>
      <c r="K287" s="27">
        <v>238.0</v>
      </c>
      <c r="L287" s="28" t="s">
        <v>30</v>
      </c>
      <c r="M287" s="10"/>
      <c r="N287" s="10"/>
      <c r="O287" s="29">
        <f t="shared" si="2"/>
        <v>0.05949656751</v>
      </c>
    </row>
    <row r="288">
      <c r="A288" s="10" t="s">
        <v>52</v>
      </c>
      <c r="B288" s="10" t="s">
        <v>33</v>
      </c>
      <c r="C288" s="26">
        <v>45589.0</v>
      </c>
      <c r="D288" s="10" t="s">
        <v>53</v>
      </c>
      <c r="E288" s="10" t="s">
        <v>54</v>
      </c>
      <c r="F288" s="27">
        <v>3888.0</v>
      </c>
      <c r="G288" s="27">
        <v>604.0</v>
      </c>
      <c r="H288" s="27">
        <v>128.0</v>
      </c>
      <c r="I288" s="27">
        <v>77760.0</v>
      </c>
      <c r="J288" s="27">
        <v>77167.0</v>
      </c>
      <c r="K288" s="27">
        <v>20.0</v>
      </c>
      <c r="L288" s="28" t="s">
        <v>16</v>
      </c>
      <c r="M288" s="10"/>
      <c r="N288" s="10"/>
      <c r="O288" s="29">
        <f t="shared" si="2"/>
        <v>0.05941358025</v>
      </c>
    </row>
    <row r="289">
      <c r="A289" s="10" t="s">
        <v>347</v>
      </c>
      <c r="B289" s="10" t="s">
        <v>13</v>
      </c>
      <c r="C289" s="26">
        <v>45699.0</v>
      </c>
      <c r="D289" s="10" t="s">
        <v>53</v>
      </c>
      <c r="E289" s="10" t="s">
        <v>92</v>
      </c>
      <c r="F289" s="27">
        <v>3440.0</v>
      </c>
      <c r="G289" s="27">
        <v>13.0</v>
      </c>
      <c r="H289" s="27">
        <v>20.0</v>
      </c>
      <c r="I289" s="27">
        <v>58480.0</v>
      </c>
      <c r="J289" s="27">
        <v>58146.0</v>
      </c>
      <c r="K289" s="27">
        <v>210.0</v>
      </c>
      <c r="L289" s="28" t="s">
        <v>21</v>
      </c>
      <c r="M289" s="28" t="s">
        <v>191</v>
      </c>
      <c r="N289" s="10"/>
      <c r="O289" s="29">
        <f t="shared" si="2"/>
        <v>0.0593878249</v>
      </c>
    </row>
    <row r="290">
      <c r="A290" s="10" t="s">
        <v>349</v>
      </c>
      <c r="B290" s="10" t="s">
        <v>33</v>
      </c>
      <c r="C290" s="26">
        <v>45589.0</v>
      </c>
      <c r="D290" s="10" t="s">
        <v>39</v>
      </c>
      <c r="E290" s="10" t="s">
        <v>44</v>
      </c>
      <c r="F290" s="27">
        <v>4303.0</v>
      </c>
      <c r="G290" s="27">
        <v>451.0</v>
      </c>
      <c r="H290" s="27">
        <v>286.0</v>
      </c>
      <c r="I290" s="27">
        <v>86060.0</v>
      </c>
      <c r="J290" s="27">
        <v>85823.0</v>
      </c>
      <c r="K290" s="27">
        <v>14.0</v>
      </c>
      <c r="L290" s="28" t="s">
        <v>21</v>
      </c>
      <c r="M290" s="10"/>
      <c r="N290" s="10"/>
      <c r="O290" s="29">
        <f t="shared" si="2"/>
        <v>0.0585637927</v>
      </c>
    </row>
    <row r="291">
      <c r="A291" s="10" t="s">
        <v>267</v>
      </c>
      <c r="B291" s="10" t="s">
        <v>24</v>
      </c>
      <c r="C291" s="26">
        <v>45502.0</v>
      </c>
      <c r="D291" s="10" t="s">
        <v>28</v>
      </c>
      <c r="E291" s="10" t="s">
        <v>98</v>
      </c>
      <c r="F291" s="27">
        <v>1509.0</v>
      </c>
      <c r="G291" s="27">
        <v>88.0</v>
      </c>
      <c r="H291" s="27">
        <v>163.0</v>
      </c>
      <c r="I291" s="27">
        <v>30180.0</v>
      </c>
      <c r="J291" s="27">
        <v>29689.0</v>
      </c>
      <c r="K291" s="27">
        <v>119.0</v>
      </c>
      <c r="L291" s="28" t="s">
        <v>30</v>
      </c>
      <c r="M291" s="10"/>
      <c r="N291" s="10"/>
      <c r="O291" s="29">
        <f t="shared" si="2"/>
        <v>0.05831676607</v>
      </c>
    </row>
    <row r="292">
      <c r="A292" s="10" t="s">
        <v>334</v>
      </c>
      <c r="B292" s="10" t="s">
        <v>13</v>
      </c>
      <c r="C292" s="26">
        <v>45786.0</v>
      </c>
      <c r="D292" s="10" t="s">
        <v>14</v>
      </c>
      <c r="E292" s="10" t="s">
        <v>15</v>
      </c>
      <c r="F292" s="27">
        <v>3367.0</v>
      </c>
      <c r="G292" s="27">
        <v>302.0</v>
      </c>
      <c r="H292" s="27">
        <v>57.0</v>
      </c>
      <c r="I292" s="27">
        <v>63973.0</v>
      </c>
      <c r="J292" s="27">
        <v>63789.0</v>
      </c>
      <c r="K292" s="27">
        <v>157.0</v>
      </c>
      <c r="L292" s="28" t="s">
        <v>16</v>
      </c>
      <c r="M292" s="10"/>
      <c r="N292" s="10"/>
      <c r="O292" s="29">
        <f t="shared" si="2"/>
        <v>0.0582433214</v>
      </c>
    </row>
    <row r="293">
      <c r="A293" s="10" t="s">
        <v>307</v>
      </c>
      <c r="B293" s="10" t="s">
        <v>24</v>
      </c>
      <c r="C293" s="26">
        <v>45553.0</v>
      </c>
      <c r="D293" s="10" t="s">
        <v>34</v>
      </c>
      <c r="E293" s="10" t="s">
        <v>49</v>
      </c>
      <c r="F293" s="27">
        <v>2143.0</v>
      </c>
      <c r="G293" s="27">
        <v>12.0</v>
      </c>
      <c r="H293" s="27">
        <v>204.0</v>
      </c>
      <c r="I293" s="27">
        <v>40717.0</v>
      </c>
      <c r="J293" s="27">
        <v>40125.0</v>
      </c>
      <c r="K293" s="27">
        <v>248.0</v>
      </c>
      <c r="L293" s="28" t="s">
        <v>30</v>
      </c>
      <c r="M293" s="10"/>
      <c r="N293" s="10"/>
      <c r="O293" s="29">
        <f t="shared" si="2"/>
        <v>0.05793648844</v>
      </c>
    </row>
    <row r="294">
      <c r="A294" s="10" t="s">
        <v>73</v>
      </c>
      <c r="B294" s="10" t="s">
        <v>27</v>
      </c>
      <c r="C294" s="26">
        <v>45713.0</v>
      </c>
      <c r="D294" s="10" t="s">
        <v>53</v>
      </c>
      <c r="E294" s="10" t="s">
        <v>60</v>
      </c>
      <c r="F294" s="27">
        <v>3095.0</v>
      </c>
      <c r="G294" s="27">
        <v>39.0</v>
      </c>
      <c r="H294" s="27">
        <v>78.0</v>
      </c>
      <c r="I294" s="27">
        <v>55710.0</v>
      </c>
      <c r="J294" s="27">
        <v>54808.0</v>
      </c>
      <c r="K294" s="27">
        <v>93.0</v>
      </c>
      <c r="L294" s="28" t="s">
        <v>30</v>
      </c>
      <c r="M294" s="10"/>
      <c r="N294" s="10"/>
      <c r="O294" s="29">
        <f t="shared" si="2"/>
        <v>0.05765571711</v>
      </c>
    </row>
    <row r="295">
      <c r="A295" s="10" t="s">
        <v>254</v>
      </c>
      <c r="B295" s="10" t="s">
        <v>27</v>
      </c>
      <c r="C295" s="26">
        <v>45617.0</v>
      </c>
      <c r="D295" s="10" t="s">
        <v>34</v>
      </c>
      <c r="E295" s="10" t="s">
        <v>62</v>
      </c>
      <c r="F295" s="27">
        <v>3773.0</v>
      </c>
      <c r="G295" s="27">
        <v>299.0</v>
      </c>
      <c r="H295" s="27">
        <v>38.0</v>
      </c>
      <c r="I295" s="27">
        <v>71687.0</v>
      </c>
      <c r="J295" s="27">
        <v>71447.0</v>
      </c>
      <c r="K295" s="27">
        <v>286.0</v>
      </c>
      <c r="L295" s="28" t="s">
        <v>16</v>
      </c>
      <c r="M295" s="10"/>
      <c r="N295" s="10"/>
      <c r="O295" s="29">
        <f t="shared" si="2"/>
        <v>0.05733257076</v>
      </c>
    </row>
    <row r="296">
      <c r="A296" s="10" t="s">
        <v>276</v>
      </c>
      <c r="B296" s="10" t="s">
        <v>13</v>
      </c>
      <c r="C296" s="26">
        <v>45463.0</v>
      </c>
      <c r="D296" s="10" t="s">
        <v>34</v>
      </c>
      <c r="E296" s="10" t="s">
        <v>37</v>
      </c>
      <c r="F296" s="27">
        <v>4672.0</v>
      </c>
      <c r="G296" s="27">
        <v>325.0</v>
      </c>
      <c r="H296" s="27">
        <v>32.0</v>
      </c>
      <c r="I296" s="27">
        <v>88768.0</v>
      </c>
      <c r="J296" s="27">
        <v>87833.0</v>
      </c>
      <c r="K296" s="27">
        <v>118.0</v>
      </c>
      <c r="L296" s="28" t="s">
        <v>30</v>
      </c>
      <c r="M296" s="10"/>
      <c r="N296" s="10"/>
      <c r="O296" s="29">
        <f t="shared" si="2"/>
        <v>0.05665329849</v>
      </c>
    </row>
    <row r="297">
      <c r="A297" s="10" t="s">
        <v>196</v>
      </c>
      <c r="B297" s="10" t="s">
        <v>27</v>
      </c>
      <c r="C297" s="26">
        <v>45516.0</v>
      </c>
      <c r="D297" s="10" t="s">
        <v>34</v>
      </c>
      <c r="E297" s="10" t="s">
        <v>62</v>
      </c>
      <c r="F297" s="27">
        <v>1878.0</v>
      </c>
      <c r="G297" s="27">
        <v>62.0</v>
      </c>
      <c r="H297" s="27">
        <v>179.0</v>
      </c>
      <c r="I297" s="27">
        <v>37560.0</v>
      </c>
      <c r="J297" s="27">
        <v>36874.0</v>
      </c>
      <c r="K297" s="27">
        <v>142.0</v>
      </c>
      <c r="L297" s="28" t="s">
        <v>21</v>
      </c>
      <c r="M297" s="10"/>
      <c r="N297" s="10"/>
      <c r="O297" s="29">
        <f t="shared" si="2"/>
        <v>0.05641640043</v>
      </c>
    </row>
    <row r="298">
      <c r="A298" s="10" t="s">
        <v>241</v>
      </c>
      <c r="B298" s="10" t="s">
        <v>24</v>
      </c>
      <c r="C298" s="26">
        <v>45569.0</v>
      </c>
      <c r="D298" s="10" t="s">
        <v>19</v>
      </c>
      <c r="E298" s="10" t="s">
        <v>70</v>
      </c>
      <c r="F298" s="27">
        <v>1963.0</v>
      </c>
      <c r="G298" s="27">
        <v>213.0</v>
      </c>
      <c r="H298" s="27">
        <v>19.0</v>
      </c>
      <c r="I298" s="27">
        <v>39260.0</v>
      </c>
      <c r="J298" s="27">
        <v>38771.0</v>
      </c>
      <c r="K298" s="27">
        <v>145.0</v>
      </c>
      <c r="L298" s="28" t="s">
        <v>16</v>
      </c>
      <c r="M298" s="10"/>
      <c r="N298" s="10"/>
      <c r="O298" s="29">
        <f t="shared" si="2"/>
        <v>0.05590932247</v>
      </c>
    </row>
    <row r="299">
      <c r="A299" s="10" t="s">
        <v>23</v>
      </c>
      <c r="B299" s="10" t="s">
        <v>24</v>
      </c>
      <c r="C299" s="26">
        <v>45789.0</v>
      </c>
      <c r="D299" s="10" t="s">
        <v>14</v>
      </c>
      <c r="E299" s="10" t="s">
        <v>25</v>
      </c>
      <c r="F299" s="27">
        <v>2795.0</v>
      </c>
      <c r="G299" s="27">
        <v>105.0</v>
      </c>
      <c r="H299" s="27">
        <v>49.0</v>
      </c>
      <c r="I299" s="27">
        <v>53105.0</v>
      </c>
      <c r="J299" s="27">
        <v>52307.0</v>
      </c>
      <c r="K299" s="27">
        <v>204.0</v>
      </c>
      <c r="L299" s="28" t="s">
        <v>21</v>
      </c>
      <c r="M299" s="10"/>
      <c r="N299" s="10"/>
      <c r="O299" s="29">
        <f t="shared" si="2"/>
        <v>0.05553149421</v>
      </c>
    </row>
    <row r="300">
      <c r="A300" s="10" t="s">
        <v>227</v>
      </c>
      <c r="B300" s="10" t="s">
        <v>33</v>
      </c>
      <c r="C300" s="26">
        <v>45463.0</v>
      </c>
      <c r="D300" s="10" t="s">
        <v>53</v>
      </c>
      <c r="E300" s="10" t="s">
        <v>54</v>
      </c>
      <c r="F300" s="27">
        <v>3798.0</v>
      </c>
      <c r="G300" s="27">
        <v>31.0</v>
      </c>
      <c r="H300" s="27">
        <v>279.0</v>
      </c>
      <c r="I300" s="27">
        <v>75960.0</v>
      </c>
      <c r="J300" s="27">
        <v>75813.0</v>
      </c>
      <c r="K300" s="27">
        <v>266.0</v>
      </c>
      <c r="L300" s="28" t="s">
        <v>21</v>
      </c>
      <c r="M300" s="10"/>
      <c r="N300" s="10"/>
      <c r="O300" s="29">
        <f t="shared" si="2"/>
        <v>0.05408109531</v>
      </c>
    </row>
    <row r="301">
      <c r="A301" s="10" t="s">
        <v>111</v>
      </c>
      <c r="B301" s="10" t="s">
        <v>13</v>
      </c>
      <c r="C301" s="26">
        <v>45504.0</v>
      </c>
      <c r="D301" s="10" t="s">
        <v>34</v>
      </c>
      <c r="E301" s="10" t="s">
        <v>37</v>
      </c>
      <c r="F301" s="27">
        <v>4507.0</v>
      </c>
      <c r="G301" s="27">
        <v>217.0</v>
      </c>
      <c r="H301" s="27">
        <v>13.0</v>
      </c>
      <c r="I301" s="27">
        <v>90140.0</v>
      </c>
      <c r="J301" s="27">
        <v>89591.0</v>
      </c>
      <c r="K301" s="27">
        <v>125.0</v>
      </c>
      <c r="L301" s="28" t="s">
        <v>16</v>
      </c>
      <c r="M301" s="10"/>
      <c r="N301" s="10"/>
      <c r="O301" s="29">
        <f t="shared" si="2"/>
        <v>0.05255158642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0" t="s">
        <v>1</v>
      </c>
      <c r="B1" s="30" t="s">
        <v>3</v>
      </c>
      <c r="C1" s="31" t="s">
        <v>380</v>
      </c>
      <c r="D1" s="31" t="s">
        <v>381</v>
      </c>
      <c r="E1" s="31" t="s">
        <v>382</v>
      </c>
    </row>
    <row r="2">
      <c r="A2" s="32" t="s">
        <v>33</v>
      </c>
      <c r="B2" s="33" t="s">
        <v>34</v>
      </c>
      <c r="C2" s="34">
        <v>44476.0</v>
      </c>
      <c r="D2" s="34">
        <v>7400.0</v>
      </c>
      <c r="E2" s="34">
        <v>4589.0</v>
      </c>
    </row>
    <row r="3">
      <c r="A3" s="35"/>
      <c r="B3" s="33" t="s">
        <v>39</v>
      </c>
      <c r="C3" s="34">
        <v>71602.0</v>
      </c>
      <c r="D3" s="34">
        <v>12904.0</v>
      </c>
      <c r="E3" s="34">
        <v>6495.0</v>
      </c>
    </row>
    <row r="4">
      <c r="A4" s="35"/>
      <c r="B4" s="33" t="s">
        <v>14</v>
      </c>
      <c r="C4" s="34">
        <v>36368.0</v>
      </c>
      <c r="D4" s="34">
        <v>5964.0</v>
      </c>
      <c r="E4" s="34">
        <v>3353.0</v>
      </c>
    </row>
    <row r="5">
      <c r="A5" s="35"/>
      <c r="B5" s="33" t="s">
        <v>28</v>
      </c>
      <c r="C5" s="34">
        <v>29405.0</v>
      </c>
      <c r="D5" s="34">
        <v>4950.0</v>
      </c>
      <c r="E5" s="34">
        <v>3223.0</v>
      </c>
    </row>
    <row r="6">
      <c r="A6" s="35"/>
      <c r="B6" s="33" t="s">
        <v>19</v>
      </c>
      <c r="C6" s="34">
        <v>31963.0</v>
      </c>
      <c r="D6" s="34">
        <v>4792.0</v>
      </c>
      <c r="E6" s="34">
        <v>3377.0</v>
      </c>
    </row>
    <row r="7">
      <c r="A7" s="35"/>
      <c r="B7" s="33" t="s">
        <v>53</v>
      </c>
      <c r="C7" s="34">
        <v>28947.0</v>
      </c>
      <c r="D7" s="34">
        <v>3171.0</v>
      </c>
      <c r="E7" s="34">
        <v>2263.0</v>
      </c>
    </row>
    <row r="8">
      <c r="A8" s="36" t="s">
        <v>383</v>
      </c>
      <c r="B8" s="36"/>
      <c r="C8" s="37">
        <v>242761.0</v>
      </c>
      <c r="D8" s="37">
        <v>39181.0</v>
      </c>
      <c r="E8" s="37">
        <v>23300.0</v>
      </c>
    </row>
    <row r="9">
      <c r="A9" s="32" t="s">
        <v>27</v>
      </c>
      <c r="B9" s="33" t="s">
        <v>34</v>
      </c>
      <c r="C9" s="34">
        <v>43948.0</v>
      </c>
      <c r="D9" s="34">
        <v>6975.0</v>
      </c>
      <c r="E9" s="34">
        <v>3890.0</v>
      </c>
    </row>
    <row r="10">
      <c r="A10" s="35"/>
      <c r="B10" s="33" t="s">
        <v>39</v>
      </c>
      <c r="C10" s="34">
        <v>34202.0</v>
      </c>
      <c r="D10" s="34">
        <v>5286.0</v>
      </c>
      <c r="E10" s="34">
        <v>2655.0</v>
      </c>
    </row>
    <row r="11">
      <c r="A11" s="35"/>
      <c r="B11" s="33" t="s">
        <v>14</v>
      </c>
      <c r="C11" s="34">
        <v>32148.0</v>
      </c>
      <c r="D11" s="34">
        <v>8110.0</v>
      </c>
      <c r="E11" s="34">
        <v>3386.0</v>
      </c>
    </row>
    <row r="12">
      <c r="A12" s="35"/>
      <c r="B12" s="33" t="s">
        <v>28</v>
      </c>
      <c r="C12" s="34">
        <v>42649.0</v>
      </c>
      <c r="D12" s="34">
        <v>10049.0</v>
      </c>
      <c r="E12" s="34">
        <v>3846.0</v>
      </c>
    </row>
    <row r="13">
      <c r="A13" s="35"/>
      <c r="B13" s="33" t="s">
        <v>19</v>
      </c>
      <c r="C13" s="34">
        <v>25567.0</v>
      </c>
      <c r="D13" s="34">
        <v>5112.0</v>
      </c>
      <c r="E13" s="34">
        <v>1946.0</v>
      </c>
    </row>
    <row r="14">
      <c r="A14" s="35"/>
      <c r="B14" s="33" t="s">
        <v>53</v>
      </c>
      <c r="C14" s="34">
        <v>25770.0</v>
      </c>
      <c r="D14" s="34">
        <v>5912.0</v>
      </c>
      <c r="E14" s="34">
        <v>2128.0</v>
      </c>
    </row>
    <row r="15">
      <c r="A15" s="36" t="s">
        <v>384</v>
      </c>
      <c r="B15" s="36"/>
      <c r="C15" s="37">
        <v>204284.0</v>
      </c>
      <c r="D15" s="37">
        <v>41444.0</v>
      </c>
      <c r="E15" s="37">
        <v>17851.0</v>
      </c>
    </row>
    <row r="16">
      <c r="A16" s="32" t="s">
        <v>13</v>
      </c>
      <c r="B16" s="33" t="s">
        <v>34</v>
      </c>
      <c r="C16" s="34">
        <v>48649.0</v>
      </c>
      <c r="D16" s="34">
        <v>5791.0</v>
      </c>
      <c r="E16" s="34">
        <v>3607.0</v>
      </c>
    </row>
    <row r="17">
      <c r="A17" s="35"/>
      <c r="B17" s="33" t="s">
        <v>39</v>
      </c>
      <c r="C17" s="34">
        <v>43761.0</v>
      </c>
      <c r="D17" s="34">
        <v>7110.0</v>
      </c>
      <c r="E17" s="34">
        <v>5125.0</v>
      </c>
    </row>
    <row r="18">
      <c r="A18" s="35"/>
      <c r="B18" s="33" t="s">
        <v>14</v>
      </c>
      <c r="C18" s="34">
        <v>27029.0</v>
      </c>
      <c r="D18" s="34">
        <v>4550.0</v>
      </c>
      <c r="E18" s="34">
        <v>1913.0</v>
      </c>
    </row>
    <row r="19">
      <c r="A19" s="35"/>
      <c r="B19" s="33" t="s">
        <v>28</v>
      </c>
      <c r="C19" s="34">
        <v>20466.0</v>
      </c>
      <c r="D19" s="34">
        <v>5090.0</v>
      </c>
      <c r="E19" s="34">
        <v>3026.0</v>
      </c>
    </row>
    <row r="20">
      <c r="A20" s="35"/>
      <c r="B20" s="33" t="s">
        <v>19</v>
      </c>
      <c r="C20" s="34">
        <v>31899.0</v>
      </c>
      <c r="D20" s="34">
        <v>4861.0</v>
      </c>
      <c r="E20" s="34">
        <v>3910.0</v>
      </c>
    </row>
    <row r="21">
      <c r="A21" s="35"/>
      <c r="B21" s="33" t="s">
        <v>53</v>
      </c>
      <c r="C21" s="34">
        <v>29593.0</v>
      </c>
      <c r="D21" s="34">
        <v>6326.0</v>
      </c>
      <c r="E21" s="34">
        <v>3299.0</v>
      </c>
    </row>
    <row r="22">
      <c r="A22" s="36" t="s">
        <v>385</v>
      </c>
      <c r="B22" s="36"/>
      <c r="C22" s="37">
        <v>201397.0</v>
      </c>
      <c r="D22" s="37">
        <v>33728.0</v>
      </c>
      <c r="E22" s="37">
        <v>20880.0</v>
      </c>
    </row>
    <row r="23">
      <c r="A23" s="32" t="s">
        <v>24</v>
      </c>
      <c r="B23" s="33" t="s">
        <v>34</v>
      </c>
      <c r="C23" s="34">
        <v>24926.0</v>
      </c>
      <c r="D23" s="34">
        <v>6305.0</v>
      </c>
      <c r="E23" s="34">
        <v>2422.0</v>
      </c>
    </row>
    <row r="24">
      <c r="A24" s="35"/>
      <c r="B24" s="33" t="s">
        <v>39</v>
      </c>
      <c r="C24" s="34">
        <v>23903.0</v>
      </c>
      <c r="D24" s="34">
        <v>4310.0</v>
      </c>
      <c r="E24" s="34">
        <v>2077.0</v>
      </c>
    </row>
    <row r="25">
      <c r="A25" s="35"/>
      <c r="B25" s="33" t="s">
        <v>14</v>
      </c>
      <c r="C25" s="34">
        <v>32400.0</v>
      </c>
      <c r="D25" s="34">
        <v>4577.0</v>
      </c>
      <c r="E25" s="34">
        <v>2668.0</v>
      </c>
    </row>
    <row r="26">
      <c r="A26" s="35"/>
      <c r="B26" s="33" t="s">
        <v>28</v>
      </c>
      <c r="C26" s="34">
        <v>31968.0</v>
      </c>
      <c r="D26" s="34">
        <v>3866.0</v>
      </c>
      <c r="E26" s="34">
        <v>2012.0</v>
      </c>
    </row>
    <row r="27">
      <c r="A27" s="35"/>
      <c r="B27" s="33" t="s">
        <v>19</v>
      </c>
      <c r="C27" s="34">
        <v>27067.0</v>
      </c>
      <c r="D27" s="34">
        <v>3928.0</v>
      </c>
      <c r="E27" s="34">
        <v>1052.0</v>
      </c>
    </row>
    <row r="28">
      <c r="A28" s="35"/>
      <c r="B28" s="33" t="s">
        <v>53</v>
      </c>
      <c r="C28" s="34">
        <v>31285.0</v>
      </c>
      <c r="D28" s="34">
        <v>5586.0</v>
      </c>
      <c r="E28" s="34">
        <v>2589.0</v>
      </c>
    </row>
    <row r="29">
      <c r="A29" s="36" t="s">
        <v>386</v>
      </c>
      <c r="B29" s="36"/>
      <c r="C29" s="37">
        <v>171549.0</v>
      </c>
      <c r="D29" s="37">
        <v>28572.0</v>
      </c>
      <c r="E29" s="37">
        <v>12820.0</v>
      </c>
    </row>
    <row r="30">
      <c r="A30" s="38" t="s">
        <v>387</v>
      </c>
      <c r="B30" s="39"/>
      <c r="C30" s="40">
        <v>819991.0</v>
      </c>
      <c r="D30" s="40">
        <v>142925.0</v>
      </c>
      <c r="E30" s="40">
        <v>74851.0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75"/>
    <col customWidth="1" min="2" max="2" width="19.38"/>
    <col customWidth="1" min="5" max="5" width="15.13"/>
    <col customWidth="1" min="6" max="6" width="21.38"/>
  </cols>
  <sheetData>
    <row r="1">
      <c r="A1" s="41" t="s">
        <v>11</v>
      </c>
      <c r="B1" s="31" t="s">
        <v>388</v>
      </c>
      <c r="C1" s="25" t="s">
        <v>389</v>
      </c>
      <c r="E1" s="30" t="s">
        <v>1</v>
      </c>
      <c r="F1" s="31" t="s">
        <v>390</v>
      </c>
    </row>
    <row r="2">
      <c r="A2" s="42" t="s">
        <v>16</v>
      </c>
      <c r="B2" s="34">
        <v>144.03883495145632</v>
      </c>
      <c r="C2" s="43">
        <f t="shared" ref="C2:C5" si="1">RANK(B2, B$2:B$50, FALSE)
</f>
        <v>4</v>
      </c>
      <c r="E2" s="44" t="s">
        <v>33</v>
      </c>
      <c r="F2" s="34">
        <v>9.741003594913304</v>
      </c>
    </row>
    <row r="3">
      <c r="A3" s="42" t="s">
        <v>21</v>
      </c>
      <c r="B3" s="34">
        <v>157.02</v>
      </c>
      <c r="C3" s="43">
        <f t="shared" si="1"/>
        <v>1</v>
      </c>
      <c r="E3" s="44" t="s">
        <v>27</v>
      </c>
      <c r="F3" s="45">
        <v>15.270113578199554</v>
      </c>
    </row>
    <row r="4">
      <c r="A4" s="42" t="s">
        <v>30</v>
      </c>
      <c r="B4" s="34">
        <v>152.8659793814433</v>
      </c>
      <c r="C4" s="43">
        <f t="shared" si="1"/>
        <v>2</v>
      </c>
      <c r="E4" s="44" t="s">
        <v>13</v>
      </c>
      <c r="F4" s="45">
        <v>11.351041873024235</v>
      </c>
    </row>
    <row r="5">
      <c r="A5" s="38" t="s">
        <v>387</v>
      </c>
      <c r="B5" s="40">
        <v>151.22</v>
      </c>
      <c r="C5" s="43">
        <f t="shared" si="1"/>
        <v>3</v>
      </c>
      <c r="E5" s="44" t="s">
        <v>24</v>
      </c>
      <c r="F5" s="45">
        <v>7.739911324744745</v>
      </c>
    </row>
    <row r="6">
      <c r="E6" s="38" t="s">
        <v>387</v>
      </c>
      <c r="F6" s="46">
        <v>44.102070370881826</v>
      </c>
    </row>
    <row r="10">
      <c r="A10" s="28" t="s">
        <v>391</v>
      </c>
    </row>
    <row r="11">
      <c r="A11" s="47">
        <v>1.81292517</v>
      </c>
    </row>
    <row r="12">
      <c r="A12" s="47">
        <v>0.8660194175</v>
      </c>
    </row>
    <row r="13">
      <c r="A13" s="47">
        <v>0.7168674699</v>
      </c>
    </row>
    <row r="14">
      <c r="A14" s="47">
        <v>0.703875969</v>
      </c>
    </row>
    <row r="15">
      <c r="A15" s="47">
        <v>0.6508215962</v>
      </c>
    </row>
    <row r="16">
      <c r="A16" s="47">
        <v>0.5377358491</v>
      </c>
    </row>
    <row r="17">
      <c r="A17" s="47">
        <v>0.5338983051</v>
      </c>
    </row>
    <row r="18">
      <c r="A18" s="47">
        <v>0.5019230769</v>
      </c>
    </row>
    <row r="19">
      <c r="A19" s="47">
        <v>0.4851840766</v>
      </c>
    </row>
    <row r="20">
      <c r="A20" s="47">
        <v>0.3827470687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1.88"/>
    <col customWidth="1" min="16" max="16" width="36.63"/>
  </cols>
  <sheetData>
    <row r="1">
      <c r="A1" s="1" t="s">
        <v>0</v>
      </c>
      <c r="B1" s="2" t="s">
        <v>1</v>
      </c>
      <c r="C1" s="3" t="s">
        <v>2</v>
      </c>
      <c r="D1" s="2" t="s">
        <v>3</v>
      </c>
      <c r="E1" s="2" t="s">
        <v>4</v>
      </c>
      <c r="F1" s="1" t="s">
        <v>5</v>
      </c>
      <c r="G1" s="1" t="s">
        <v>6</v>
      </c>
      <c r="H1" s="2" t="s">
        <v>7</v>
      </c>
      <c r="I1" s="2" t="s">
        <v>8</v>
      </c>
      <c r="J1" s="1" t="s">
        <v>9</v>
      </c>
      <c r="K1" s="1" t="s">
        <v>10</v>
      </c>
      <c r="L1" s="11" t="s">
        <v>11</v>
      </c>
      <c r="M1" s="17"/>
      <c r="N1" s="17"/>
      <c r="O1" s="25" t="s">
        <v>379</v>
      </c>
      <c r="P1" s="25" t="s">
        <v>392</v>
      </c>
    </row>
    <row r="2">
      <c r="A2" s="10" t="s">
        <v>271</v>
      </c>
      <c r="B2" s="10" t="s">
        <v>27</v>
      </c>
      <c r="C2" s="26">
        <v>45445.0</v>
      </c>
      <c r="D2" s="10" t="s">
        <v>28</v>
      </c>
      <c r="E2" s="10" t="s">
        <v>29</v>
      </c>
      <c r="F2" s="27">
        <v>84.0</v>
      </c>
      <c r="G2" s="27">
        <v>897.0</v>
      </c>
      <c r="H2" s="27">
        <v>85.0</v>
      </c>
      <c r="I2" s="27">
        <v>588.0</v>
      </c>
      <c r="J2" s="27">
        <v>8.0</v>
      </c>
      <c r="K2" s="27">
        <v>12.0</v>
      </c>
      <c r="L2" s="28" t="s">
        <v>30</v>
      </c>
      <c r="M2" s="10"/>
      <c r="N2" s="10"/>
      <c r="O2" s="29">
        <f t="shared" ref="O2:O10" si="1"> (F2 + G2 + H2) / I2</f>
        <v>1.81292517</v>
      </c>
      <c r="P2" s="27">
        <f t="shared" ref="P2:P301" si="2">F2 + G2 + H2
</f>
        <v>1066</v>
      </c>
    </row>
    <row r="3">
      <c r="A3" s="10" t="s">
        <v>106</v>
      </c>
      <c r="B3" s="10" t="s">
        <v>27</v>
      </c>
      <c r="C3" s="26">
        <v>45762.0</v>
      </c>
      <c r="D3" s="10" t="s">
        <v>14</v>
      </c>
      <c r="E3" s="10" t="s">
        <v>58</v>
      </c>
      <c r="F3" s="27">
        <v>103.0</v>
      </c>
      <c r="G3" s="27">
        <v>770.0</v>
      </c>
      <c r="H3" s="27">
        <v>19.0</v>
      </c>
      <c r="I3" s="27">
        <v>1030.0</v>
      </c>
      <c r="J3" s="27">
        <v>410.0</v>
      </c>
      <c r="K3" s="27">
        <v>262.0</v>
      </c>
      <c r="L3" s="28" t="s">
        <v>21</v>
      </c>
      <c r="M3" s="10"/>
      <c r="N3" s="10"/>
      <c r="O3" s="29">
        <f t="shared" si="1"/>
        <v>0.8660194175</v>
      </c>
      <c r="P3" s="27">
        <f t="shared" si="2"/>
        <v>892</v>
      </c>
    </row>
    <row r="4">
      <c r="A4" s="10" t="s">
        <v>283</v>
      </c>
      <c r="B4" s="10" t="s">
        <v>13</v>
      </c>
      <c r="C4" s="26">
        <v>45776.0</v>
      </c>
      <c r="D4" s="10" t="s">
        <v>28</v>
      </c>
      <c r="E4" s="10" t="s">
        <v>95</v>
      </c>
      <c r="F4" s="27">
        <v>249.0</v>
      </c>
      <c r="G4" s="27">
        <v>592.0</v>
      </c>
      <c r="H4" s="27">
        <v>230.0</v>
      </c>
      <c r="I4" s="27">
        <v>1494.0</v>
      </c>
      <c r="J4" s="27">
        <v>1044.0</v>
      </c>
      <c r="K4" s="27">
        <v>201.0</v>
      </c>
      <c r="L4" s="28" t="s">
        <v>30</v>
      </c>
      <c r="M4" s="10"/>
      <c r="N4" s="10"/>
      <c r="O4" s="29">
        <f t="shared" si="1"/>
        <v>0.7168674699</v>
      </c>
      <c r="P4" s="27">
        <f t="shared" si="2"/>
        <v>1071</v>
      </c>
    </row>
    <row r="5">
      <c r="A5" s="10" t="s">
        <v>229</v>
      </c>
      <c r="B5" s="10" t="s">
        <v>27</v>
      </c>
      <c r="C5" s="26">
        <v>45603.0</v>
      </c>
      <c r="D5" s="10" t="s">
        <v>53</v>
      </c>
      <c r="E5" s="10" t="s">
        <v>60</v>
      </c>
      <c r="F5" s="27">
        <v>129.0</v>
      </c>
      <c r="G5" s="27">
        <v>643.0</v>
      </c>
      <c r="H5" s="27">
        <v>136.0</v>
      </c>
      <c r="I5" s="27">
        <v>1290.0</v>
      </c>
      <c r="J5" s="27">
        <v>839.0</v>
      </c>
      <c r="K5" s="27">
        <v>238.0</v>
      </c>
      <c r="L5" s="28" t="s">
        <v>21</v>
      </c>
      <c r="M5" s="10"/>
      <c r="N5" s="10"/>
      <c r="O5" s="29">
        <f t="shared" si="1"/>
        <v>0.703875969</v>
      </c>
      <c r="P5" s="27">
        <f t="shared" si="2"/>
        <v>908</v>
      </c>
    </row>
    <row r="6">
      <c r="A6" s="10" t="s">
        <v>226</v>
      </c>
      <c r="B6" s="10" t="s">
        <v>27</v>
      </c>
      <c r="C6" s="26">
        <v>45674.0</v>
      </c>
      <c r="D6" s="10" t="s">
        <v>14</v>
      </c>
      <c r="E6" s="10" t="s">
        <v>58</v>
      </c>
      <c r="F6" s="27">
        <v>142.0</v>
      </c>
      <c r="G6" s="27">
        <v>784.0</v>
      </c>
      <c r="H6" s="27">
        <v>183.0</v>
      </c>
      <c r="I6" s="27">
        <v>1704.0</v>
      </c>
      <c r="J6" s="27">
        <v>995.0</v>
      </c>
      <c r="K6" s="27">
        <v>154.0</v>
      </c>
      <c r="L6" s="28" t="s">
        <v>16</v>
      </c>
      <c r="M6" s="10"/>
      <c r="N6" s="10"/>
      <c r="O6" s="29">
        <f t="shared" si="1"/>
        <v>0.6508215962</v>
      </c>
      <c r="P6" s="27">
        <f t="shared" si="2"/>
        <v>1109</v>
      </c>
    </row>
    <row r="7">
      <c r="A7" s="10" t="s">
        <v>110</v>
      </c>
      <c r="B7" s="10" t="s">
        <v>13</v>
      </c>
      <c r="C7" s="26">
        <v>45618.0</v>
      </c>
      <c r="D7" s="10" t="s">
        <v>34</v>
      </c>
      <c r="E7" s="10" t="s">
        <v>37</v>
      </c>
      <c r="F7" s="27">
        <v>53.0</v>
      </c>
      <c r="G7" s="27">
        <v>81.0</v>
      </c>
      <c r="H7" s="27">
        <v>379.0</v>
      </c>
      <c r="I7" s="27">
        <v>954.0</v>
      </c>
      <c r="J7" s="27">
        <v>7.0</v>
      </c>
      <c r="K7" s="27">
        <v>148.0</v>
      </c>
      <c r="L7" s="28" t="s">
        <v>21</v>
      </c>
      <c r="M7" s="10"/>
      <c r="N7" s="10"/>
      <c r="O7" s="29">
        <f t="shared" si="1"/>
        <v>0.5377358491</v>
      </c>
      <c r="P7" s="27">
        <f t="shared" si="2"/>
        <v>513</v>
      </c>
    </row>
    <row r="8">
      <c r="A8" s="10" t="s">
        <v>315</v>
      </c>
      <c r="B8" s="10" t="s">
        <v>13</v>
      </c>
      <c r="C8" s="26">
        <v>45687.0</v>
      </c>
      <c r="D8" s="10" t="s">
        <v>39</v>
      </c>
      <c r="E8" s="10" t="s">
        <v>85</v>
      </c>
      <c r="F8" s="27">
        <v>59.0</v>
      </c>
      <c r="G8" s="27">
        <v>163.0</v>
      </c>
      <c r="H8" s="27">
        <v>93.0</v>
      </c>
      <c r="I8" s="27">
        <v>590.0</v>
      </c>
      <c r="J8" s="27">
        <v>475.0</v>
      </c>
      <c r="K8" s="27">
        <v>293.0</v>
      </c>
      <c r="L8" s="28" t="s">
        <v>21</v>
      </c>
      <c r="M8" s="10"/>
      <c r="N8" s="10"/>
      <c r="O8" s="29">
        <f t="shared" si="1"/>
        <v>0.5338983051</v>
      </c>
      <c r="P8" s="27">
        <f t="shared" si="2"/>
        <v>315</v>
      </c>
    </row>
    <row r="9">
      <c r="A9" s="10" t="s">
        <v>194</v>
      </c>
      <c r="B9" s="10" t="s">
        <v>24</v>
      </c>
      <c r="C9" s="26">
        <v>45567.0</v>
      </c>
      <c r="D9" s="10" t="s">
        <v>34</v>
      </c>
      <c r="E9" s="10" t="s">
        <v>49</v>
      </c>
      <c r="F9" s="27">
        <v>80.0</v>
      </c>
      <c r="G9" s="27">
        <v>362.0</v>
      </c>
      <c r="H9" s="27">
        <v>80.0</v>
      </c>
      <c r="I9" s="27">
        <v>1040.0</v>
      </c>
      <c r="J9" s="27">
        <v>349.0</v>
      </c>
      <c r="K9" s="27">
        <v>117.0</v>
      </c>
      <c r="L9" s="28" t="s">
        <v>21</v>
      </c>
      <c r="M9" s="10"/>
      <c r="N9" s="10"/>
      <c r="O9" s="29">
        <f t="shared" si="1"/>
        <v>0.5019230769</v>
      </c>
      <c r="P9" s="27">
        <f t="shared" si="2"/>
        <v>522</v>
      </c>
    </row>
    <row r="10">
      <c r="A10" s="10" t="s">
        <v>261</v>
      </c>
      <c r="B10" s="10" t="s">
        <v>24</v>
      </c>
      <c r="C10" s="26">
        <v>45707.0</v>
      </c>
      <c r="D10" s="10" t="s">
        <v>39</v>
      </c>
      <c r="E10" s="10" t="s">
        <v>40</v>
      </c>
      <c r="F10" s="27">
        <v>257.0</v>
      </c>
      <c r="G10" s="27">
        <v>966.0</v>
      </c>
      <c r="H10" s="27">
        <v>398.0</v>
      </c>
      <c r="I10" s="27">
        <v>3341.0</v>
      </c>
      <c r="J10" s="27">
        <v>2753.0</v>
      </c>
      <c r="K10" s="27">
        <v>287.0</v>
      </c>
      <c r="L10" s="28" t="s">
        <v>16</v>
      </c>
      <c r="M10" s="10"/>
      <c r="N10" s="10"/>
      <c r="O10" s="29">
        <f t="shared" si="1"/>
        <v>0.4851840766</v>
      </c>
      <c r="P10" s="27">
        <f t="shared" si="2"/>
        <v>1621</v>
      </c>
    </row>
    <row r="11">
      <c r="A11" s="10" t="s">
        <v>118</v>
      </c>
      <c r="B11" s="10" t="s">
        <v>33</v>
      </c>
      <c r="C11" s="26">
        <v>45749.0</v>
      </c>
      <c r="D11" s="10" t="s">
        <v>53</v>
      </c>
      <c r="E11" s="10" t="s">
        <v>54</v>
      </c>
      <c r="F11" s="27">
        <v>199.0</v>
      </c>
      <c r="G11" s="27">
        <v>772.0</v>
      </c>
      <c r="H11" s="27">
        <v>400.0</v>
      </c>
      <c r="I11" s="27">
        <v>3582.0</v>
      </c>
      <c r="J11" s="27">
        <v>2988.0</v>
      </c>
      <c r="K11" s="27">
        <v>43.0</v>
      </c>
      <c r="L11" s="28" t="s">
        <v>21</v>
      </c>
      <c r="M11" s="10"/>
      <c r="N11" s="10"/>
      <c r="O11" s="10"/>
      <c r="P11" s="27">
        <f t="shared" si="2"/>
        <v>1371</v>
      </c>
    </row>
    <row r="12">
      <c r="A12" s="10" t="s">
        <v>265</v>
      </c>
      <c r="B12" s="10" t="s">
        <v>27</v>
      </c>
      <c r="C12" s="26">
        <v>45649.0</v>
      </c>
      <c r="D12" s="10" t="s">
        <v>39</v>
      </c>
      <c r="E12" s="10" t="s">
        <v>131</v>
      </c>
      <c r="F12" s="27">
        <v>521.0</v>
      </c>
      <c r="G12" s="27">
        <v>746.0</v>
      </c>
      <c r="H12" s="27">
        <v>315.0</v>
      </c>
      <c r="I12" s="27">
        <v>4168.0</v>
      </c>
      <c r="J12" s="27">
        <v>3399.0</v>
      </c>
      <c r="K12" s="27">
        <v>282.0</v>
      </c>
      <c r="L12" s="28" t="s">
        <v>16</v>
      </c>
      <c r="M12" s="10"/>
      <c r="N12" s="10"/>
      <c r="O12" s="29">
        <f t="shared" ref="O12:O301" si="3"> (F12 + G12 + H12) / I12</f>
        <v>0.3795585413</v>
      </c>
      <c r="P12" s="27">
        <f t="shared" si="2"/>
        <v>1582</v>
      </c>
    </row>
    <row r="13">
      <c r="A13" s="10" t="s">
        <v>101</v>
      </c>
      <c r="B13" s="10" t="s">
        <v>24</v>
      </c>
      <c r="C13" s="26">
        <v>45712.0</v>
      </c>
      <c r="D13" s="10" t="s">
        <v>34</v>
      </c>
      <c r="E13" s="10" t="s">
        <v>49</v>
      </c>
      <c r="F13" s="27">
        <v>804.0</v>
      </c>
      <c r="G13" s="27">
        <v>639.0</v>
      </c>
      <c r="H13" s="27">
        <v>43.0</v>
      </c>
      <c r="I13" s="27">
        <v>4020.0</v>
      </c>
      <c r="J13" s="27">
        <v>3144.0</v>
      </c>
      <c r="K13" s="27">
        <v>11.0</v>
      </c>
      <c r="L13" s="28" t="s">
        <v>30</v>
      </c>
      <c r="M13" s="28" t="s">
        <v>22</v>
      </c>
      <c r="N13" s="10"/>
      <c r="O13" s="29">
        <f t="shared" si="3"/>
        <v>0.3696517413</v>
      </c>
      <c r="P13" s="27">
        <f t="shared" si="2"/>
        <v>1486</v>
      </c>
    </row>
    <row r="14">
      <c r="A14" s="10" t="s">
        <v>152</v>
      </c>
      <c r="B14" s="10" t="s">
        <v>13</v>
      </c>
      <c r="C14" s="26">
        <v>45553.0</v>
      </c>
      <c r="D14" s="10" t="s">
        <v>14</v>
      </c>
      <c r="E14" s="10" t="s">
        <v>15</v>
      </c>
      <c r="F14" s="27">
        <v>1000.0</v>
      </c>
      <c r="G14" s="27">
        <v>978.0</v>
      </c>
      <c r="H14" s="27">
        <v>162.0</v>
      </c>
      <c r="I14" s="27">
        <v>6000.0</v>
      </c>
      <c r="J14" s="27">
        <v>5221.0</v>
      </c>
      <c r="K14" s="27">
        <v>223.0</v>
      </c>
      <c r="L14" s="28" t="s">
        <v>30</v>
      </c>
      <c r="M14" s="10"/>
      <c r="N14" s="10"/>
      <c r="O14" s="29">
        <f t="shared" si="3"/>
        <v>0.3566666667</v>
      </c>
      <c r="P14" s="27">
        <f t="shared" si="2"/>
        <v>2140</v>
      </c>
    </row>
    <row r="15">
      <c r="A15" s="10" t="s">
        <v>174</v>
      </c>
      <c r="B15" s="10" t="s">
        <v>24</v>
      </c>
      <c r="C15" s="26">
        <v>45753.0</v>
      </c>
      <c r="D15" s="10" t="s">
        <v>34</v>
      </c>
      <c r="E15" s="10" t="s">
        <v>49</v>
      </c>
      <c r="F15" s="27">
        <v>736.0</v>
      </c>
      <c r="G15" s="27">
        <v>771.0</v>
      </c>
      <c r="H15" s="27">
        <v>225.0</v>
      </c>
      <c r="I15" s="27">
        <v>5152.0</v>
      </c>
      <c r="J15" s="27">
        <v>4706.0</v>
      </c>
      <c r="K15" s="27">
        <v>19.0</v>
      </c>
      <c r="L15" s="28" t="s">
        <v>30</v>
      </c>
      <c r="M15" s="10"/>
      <c r="N15" s="10"/>
      <c r="O15" s="29">
        <f t="shared" si="3"/>
        <v>0.3361801242</v>
      </c>
      <c r="P15" s="27">
        <f t="shared" si="2"/>
        <v>1732</v>
      </c>
    </row>
    <row r="16">
      <c r="A16" s="10" t="s">
        <v>171</v>
      </c>
      <c r="B16" s="10" t="s">
        <v>27</v>
      </c>
      <c r="C16" s="26">
        <v>45502.0</v>
      </c>
      <c r="D16" s="10" t="s">
        <v>28</v>
      </c>
      <c r="E16" s="10" t="s">
        <v>29</v>
      </c>
      <c r="F16" s="27">
        <v>498.0</v>
      </c>
      <c r="G16" s="27">
        <v>701.0</v>
      </c>
      <c r="H16" s="27">
        <v>412.0</v>
      </c>
      <c r="I16" s="27">
        <v>4980.0</v>
      </c>
      <c r="J16" s="27">
        <v>4185.0</v>
      </c>
      <c r="K16" s="27">
        <v>185.0</v>
      </c>
      <c r="L16" s="28" t="s">
        <v>16</v>
      </c>
      <c r="M16" s="10"/>
      <c r="N16" s="10"/>
      <c r="O16" s="29">
        <f t="shared" si="3"/>
        <v>0.3234939759</v>
      </c>
      <c r="P16" s="27">
        <f t="shared" si="2"/>
        <v>1611</v>
      </c>
    </row>
    <row r="17">
      <c r="A17" s="10" t="s">
        <v>275</v>
      </c>
      <c r="B17" s="10" t="s">
        <v>33</v>
      </c>
      <c r="C17" s="26">
        <v>45790.0</v>
      </c>
      <c r="D17" s="10" t="s">
        <v>39</v>
      </c>
      <c r="E17" s="10" t="s">
        <v>44</v>
      </c>
      <c r="F17" s="27">
        <v>602.0</v>
      </c>
      <c r="G17" s="27">
        <v>594.0</v>
      </c>
      <c r="H17" s="27">
        <v>156.0</v>
      </c>
      <c r="I17" s="27">
        <v>4214.0</v>
      </c>
      <c r="J17" s="27">
        <v>3363.0</v>
      </c>
      <c r="K17" s="27">
        <v>164.0</v>
      </c>
      <c r="L17" s="28" t="s">
        <v>21</v>
      </c>
      <c r="M17" s="10"/>
      <c r="N17" s="10"/>
      <c r="O17" s="29">
        <f t="shared" si="3"/>
        <v>0.3208353109</v>
      </c>
      <c r="P17" s="27">
        <f t="shared" si="2"/>
        <v>1352</v>
      </c>
    </row>
    <row r="18">
      <c r="A18" s="10" t="s">
        <v>205</v>
      </c>
      <c r="B18" s="10" t="s">
        <v>27</v>
      </c>
      <c r="C18" s="26">
        <v>45574.0</v>
      </c>
      <c r="D18" s="10" t="s">
        <v>34</v>
      </c>
      <c r="E18" s="10" t="s">
        <v>62</v>
      </c>
      <c r="F18" s="27">
        <v>985.0</v>
      </c>
      <c r="G18" s="27">
        <v>932.0</v>
      </c>
      <c r="H18" s="27">
        <v>287.0</v>
      </c>
      <c r="I18" s="27">
        <v>6895.0</v>
      </c>
      <c r="J18" s="27">
        <v>6757.0</v>
      </c>
      <c r="K18" s="27">
        <v>64.0</v>
      </c>
      <c r="L18" s="28" t="s">
        <v>16</v>
      </c>
      <c r="M18" s="10"/>
      <c r="N18" s="10"/>
      <c r="O18" s="29">
        <f t="shared" si="3"/>
        <v>0.3196519217</v>
      </c>
      <c r="P18" s="27">
        <f t="shared" si="2"/>
        <v>2204</v>
      </c>
    </row>
    <row r="19">
      <c r="A19" s="10" t="s">
        <v>169</v>
      </c>
      <c r="B19" s="10" t="s">
        <v>27</v>
      </c>
      <c r="C19" s="26">
        <v>45695.0</v>
      </c>
      <c r="D19" s="10" t="s">
        <v>14</v>
      </c>
      <c r="E19" s="10" t="s">
        <v>58</v>
      </c>
      <c r="F19" s="27">
        <v>1970.0</v>
      </c>
      <c r="G19" s="27">
        <v>675.0</v>
      </c>
      <c r="H19" s="27">
        <v>478.0</v>
      </c>
      <c r="I19" s="27">
        <v>9850.0</v>
      </c>
      <c r="J19" s="27">
        <v>8924.0</v>
      </c>
      <c r="K19" s="27">
        <v>117.0</v>
      </c>
      <c r="L19" s="28" t="s">
        <v>16</v>
      </c>
      <c r="M19" s="10"/>
      <c r="N19" s="10"/>
      <c r="O19" s="29">
        <f t="shared" si="3"/>
        <v>0.3170558376</v>
      </c>
      <c r="P19" s="27">
        <f t="shared" si="2"/>
        <v>3123</v>
      </c>
    </row>
    <row r="20">
      <c r="A20" s="10" t="s">
        <v>338</v>
      </c>
      <c r="B20" s="10" t="s">
        <v>27</v>
      </c>
      <c r="C20" s="26">
        <v>45519.0</v>
      </c>
      <c r="D20" s="10" t="s">
        <v>14</v>
      </c>
      <c r="E20" s="10" t="s">
        <v>58</v>
      </c>
      <c r="F20" s="27">
        <v>1164.0</v>
      </c>
      <c r="G20" s="27">
        <v>616.0</v>
      </c>
      <c r="H20" s="27">
        <v>324.0</v>
      </c>
      <c r="I20" s="27">
        <v>6984.0</v>
      </c>
      <c r="J20" s="27">
        <v>6636.0</v>
      </c>
      <c r="K20" s="27">
        <v>82.0</v>
      </c>
      <c r="L20" s="28" t="s">
        <v>30</v>
      </c>
      <c r="M20" s="10"/>
      <c r="N20" s="10"/>
      <c r="O20" s="29">
        <f t="shared" si="3"/>
        <v>0.3012600229</v>
      </c>
      <c r="P20" s="27">
        <f t="shared" si="2"/>
        <v>2104</v>
      </c>
    </row>
    <row r="21">
      <c r="A21" s="10" t="s">
        <v>255</v>
      </c>
      <c r="B21" s="10" t="s">
        <v>27</v>
      </c>
      <c r="C21" s="26">
        <v>45658.0</v>
      </c>
      <c r="D21" s="10" t="s">
        <v>34</v>
      </c>
      <c r="E21" s="10" t="s">
        <v>62</v>
      </c>
      <c r="F21" s="27">
        <v>2234.0</v>
      </c>
      <c r="G21" s="27">
        <v>653.0</v>
      </c>
      <c r="H21" s="27">
        <v>432.0</v>
      </c>
      <c r="I21" s="27">
        <v>11170.0</v>
      </c>
      <c r="J21" s="27">
        <v>10569.0</v>
      </c>
      <c r="K21" s="27">
        <v>198.0</v>
      </c>
      <c r="L21" s="28" t="s">
        <v>16</v>
      </c>
      <c r="M21" s="10"/>
      <c r="N21" s="10"/>
      <c r="O21" s="29">
        <f t="shared" si="3"/>
        <v>0.2971351835</v>
      </c>
      <c r="P21" s="27">
        <f t="shared" si="2"/>
        <v>3319</v>
      </c>
    </row>
    <row r="22">
      <c r="A22" s="10" t="s">
        <v>114</v>
      </c>
      <c r="B22" s="10" t="s">
        <v>13</v>
      </c>
      <c r="C22" s="26">
        <v>45499.0</v>
      </c>
      <c r="D22" s="10" t="s">
        <v>34</v>
      </c>
      <c r="E22" s="10" t="s">
        <v>37</v>
      </c>
      <c r="F22" s="27">
        <v>432.0</v>
      </c>
      <c r="G22" s="27">
        <v>171.0</v>
      </c>
      <c r="H22" s="27">
        <v>280.0</v>
      </c>
      <c r="I22" s="27">
        <v>3024.0</v>
      </c>
      <c r="J22" s="27">
        <v>2285.0</v>
      </c>
      <c r="K22" s="27">
        <v>184.0</v>
      </c>
      <c r="L22" s="28" t="s">
        <v>30</v>
      </c>
      <c r="M22" s="10"/>
      <c r="N22" s="10"/>
      <c r="O22" s="29">
        <f t="shared" si="3"/>
        <v>0.2919973545</v>
      </c>
      <c r="P22" s="27">
        <f t="shared" si="2"/>
        <v>883</v>
      </c>
    </row>
    <row r="23">
      <c r="A23" s="10" t="s">
        <v>234</v>
      </c>
      <c r="B23" s="10" t="s">
        <v>27</v>
      </c>
      <c r="C23" s="26">
        <v>45643.0</v>
      </c>
      <c r="D23" s="10" t="s">
        <v>28</v>
      </c>
      <c r="E23" s="10" t="s">
        <v>29</v>
      </c>
      <c r="F23" s="27">
        <v>360.0</v>
      </c>
      <c r="G23" s="27">
        <v>590.0</v>
      </c>
      <c r="H23" s="27">
        <v>393.0</v>
      </c>
      <c r="I23" s="27">
        <v>4680.0</v>
      </c>
      <c r="J23" s="27">
        <v>4322.0</v>
      </c>
      <c r="K23" s="27">
        <v>208.0</v>
      </c>
      <c r="L23" s="28" t="s">
        <v>16</v>
      </c>
      <c r="M23" s="10"/>
      <c r="N23" s="10"/>
      <c r="O23" s="29">
        <f t="shared" si="3"/>
        <v>0.286965812</v>
      </c>
      <c r="P23" s="27">
        <f t="shared" si="2"/>
        <v>1343</v>
      </c>
    </row>
    <row r="24">
      <c r="A24" s="10" t="s">
        <v>74</v>
      </c>
      <c r="B24" s="10" t="s">
        <v>27</v>
      </c>
      <c r="C24" s="26">
        <v>45642.0</v>
      </c>
      <c r="D24" s="10" t="s">
        <v>19</v>
      </c>
      <c r="E24" s="10" t="s">
        <v>75</v>
      </c>
      <c r="F24" s="27">
        <v>438.0</v>
      </c>
      <c r="G24" s="27">
        <v>153.0</v>
      </c>
      <c r="H24" s="27">
        <v>275.0</v>
      </c>
      <c r="I24" s="27">
        <v>3066.0</v>
      </c>
      <c r="J24" s="27">
        <v>2701.0</v>
      </c>
      <c r="K24" s="27">
        <v>282.0</v>
      </c>
      <c r="L24" s="28" t="s">
        <v>21</v>
      </c>
      <c r="M24" s="10"/>
      <c r="N24" s="10"/>
      <c r="O24" s="29">
        <f t="shared" si="3"/>
        <v>0.2824527071</v>
      </c>
      <c r="P24" s="27">
        <f t="shared" si="2"/>
        <v>866</v>
      </c>
    </row>
    <row r="25">
      <c r="A25" s="10" t="s">
        <v>143</v>
      </c>
      <c r="B25" s="10" t="s">
        <v>27</v>
      </c>
      <c r="C25" s="26">
        <v>45637.0</v>
      </c>
      <c r="D25" s="10" t="s">
        <v>53</v>
      </c>
      <c r="E25" s="10" t="s">
        <v>60</v>
      </c>
      <c r="F25" s="27">
        <v>1431.0</v>
      </c>
      <c r="G25" s="27">
        <v>951.0</v>
      </c>
      <c r="H25" s="27">
        <v>26.0</v>
      </c>
      <c r="I25" s="27">
        <v>8586.0</v>
      </c>
      <c r="J25" s="27">
        <v>8396.0</v>
      </c>
      <c r="K25" s="27">
        <v>150.0</v>
      </c>
      <c r="L25" s="28" t="s">
        <v>30</v>
      </c>
      <c r="M25" s="10"/>
      <c r="N25" s="10"/>
      <c r="O25" s="29">
        <f t="shared" si="3"/>
        <v>0.2804565572</v>
      </c>
      <c r="P25" s="27">
        <f t="shared" si="2"/>
        <v>2408</v>
      </c>
    </row>
    <row r="26">
      <c r="A26" s="10" t="s">
        <v>314</v>
      </c>
      <c r="B26" s="10" t="s">
        <v>27</v>
      </c>
      <c r="C26" s="26">
        <v>45524.0</v>
      </c>
      <c r="D26" s="10" t="s">
        <v>14</v>
      </c>
      <c r="E26" s="10" t="s">
        <v>58</v>
      </c>
      <c r="F26" s="27">
        <v>2603.0</v>
      </c>
      <c r="G26" s="27">
        <v>690.0</v>
      </c>
      <c r="H26" s="27">
        <v>205.0</v>
      </c>
      <c r="I26" s="27">
        <v>13015.0</v>
      </c>
      <c r="J26" s="27">
        <v>12130.0</v>
      </c>
      <c r="K26" s="27">
        <v>20.0</v>
      </c>
      <c r="L26" s="28" t="s">
        <v>16</v>
      </c>
      <c r="M26" s="10"/>
      <c r="N26" s="10"/>
      <c r="O26" s="29">
        <f t="shared" si="3"/>
        <v>0.2687668075</v>
      </c>
      <c r="P26" s="27">
        <f t="shared" si="2"/>
        <v>3498</v>
      </c>
    </row>
    <row r="27">
      <c r="A27" s="10" t="s">
        <v>299</v>
      </c>
      <c r="B27" s="10" t="s">
        <v>33</v>
      </c>
      <c r="C27" s="26">
        <v>45690.0</v>
      </c>
      <c r="D27" s="10" t="s">
        <v>28</v>
      </c>
      <c r="E27" s="10" t="s">
        <v>51</v>
      </c>
      <c r="F27" s="27">
        <v>886.0</v>
      </c>
      <c r="G27" s="27">
        <v>126.0</v>
      </c>
      <c r="H27" s="27">
        <v>153.0</v>
      </c>
      <c r="I27" s="27">
        <v>4430.0</v>
      </c>
      <c r="J27" s="27">
        <v>4037.0</v>
      </c>
      <c r="K27" s="27">
        <v>212.0</v>
      </c>
      <c r="L27" s="28" t="s">
        <v>30</v>
      </c>
      <c r="M27" s="10"/>
      <c r="N27" s="10"/>
      <c r="O27" s="29">
        <f t="shared" si="3"/>
        <v>0.262979684</v>
      </c>
      <c r="P27" s="27">
        <f t="shared" si="2"/>
        <v>1165</v>
      </c>
    </row>
    <row r="28">
      <c r="A28" s="10" t="s">
        <v>295</v>
      </c>
      <c r="B28" s="10" t="s">
        <v>24</v>
      </c>
      <c r="C28" s="26">
        <v>45590.0</v>
      </c>
      <c r="D28" s="10" t="s">
        <v>53</v>
      </c>
      <c r="E28" s="10" t="s">
        <v>133</v>
      </c>
      <c r="F28" s="27">
        <v>4661.0</v>
      </c>
      <c r="G28" s="27">
        <v>935.0</v>
      </c>
      <c r="H28" s="27">
        <v>433.0</v>
      </c>
      <c r="I28" s="27">
        <v>23305.0</v>
      </c>
      <c r="J28" s="27">
        <v>22583.0</v>
      </c>
      <c r="K28" s="27">
        <v>63.0</v>
      </c>
      <c r="L28" s="28" t="s">
        <v>16</v>
      </c>
      <c r="M28" s="10"/>
      <c r="N28" s="10"/>
      <c r="O28" s="29">
        <f t="shared" si="3"/>
        <v>0.2586998498</v>
      </c>
      <c r="P28" s="27">
        <f t="shared" si="2"/>
        <v>6029</v>
      </c>
    </row>
    <row r="29">
      <c r="A29" s="10" t="s">
        <v>310</v>
      </c>
      <c r="B29" s="10" t="s">
        <v>33</v>
      </c>
      <c r="C29" s="26">
        <v>45698.0</v>
      </c>
      <c r="D29" s="10" t="s">
        <v>19</v>
      </c>
      <c r="E29" s="10" t="s">
        <v>42</v>
      </c>
      <c r="F29" s="27">
        <v>562.0</v>
      </c>
      <c r="G29" s="27">
        <v>158.0</v>
      </c>
      <c r="H29" s="27">
        <v>149.0</v>
      </c>
      <c r="I29" s="27">
        <v>3372.0</v>
      </c>
      <c r="J29" s="27">
        <v>2940.0</v>
      </c>
      <c r="K29" s="27">
        <v>93.0</v>
      </c>
      <c r="L29" s="28" t="s">
        <v>21</v>
      </c>
      <c r="M29" s="10"/>
      <c r="N29" s="10"/>
      <c r="O29" s="29">
        <f t="shared" si="3"/>
        <v>0.2577105575</v>
      </c>
      <c r="P29" s="27">
        <f t="shared" si="2"/>
        <v>869</v>
      </c>
    </row>
    <row r="30">
      <c r="A30" s="10" t="s">
        <v>270</v>
      </c>
      <c r="B30" s="10" t="s">
        <v>13</v>
      </c>
      <c r="C30" s="26">
        <v>45685.0</v>
      </c>
      <c r="D30" s="10" t="s">
        <v>14</v>
      </c>
      <c r="E30" s="10" t="s">
        <v>15</v>
      </c>
      <c r="F30" s="27">
        <v>1188.0</v>
      </c>
      <c r="G30" s="27">
        <v>470.0</v>
      </c>
      <c r="H30" s="27">
        <v>174.0</v>
      </c>
      <c r="I30" s="27">
        <v>7128.0</v>
      </c>
      <c r="J30" s="27">
        <v>6145.0</v>
      </c>
      <c r="K30" s="27">
        <v>270.0</v>
      </c>
      <c r="L30" s="28" t="s">
        <v>21</v>
      </c>
      <c r="M30" s="10"/>
      <c r="N30" s="10"/>
      <c r="O30" s="29">
        <f t="shared" si="3"/>
        <v>0.2570145903</v>
      </c>
      <c r="P30" s="27">
        <f t="shared" si="2"/>
        <v>1832</v>
      </c>
    </row>
    <row r="31">
      <c r="A31" s="10" t="s">
        <v>277</v>
      </c>
      <c r="B31" s="10" t="s">
        <v>27</v>
      </c>
      <c r="C31" s="26">
        <v>45511.0</v>
      </c>
      <c r="D31" s="10" t="s">
        <v>34</v>
      </c>
      <c r="E31" s="10" t="s">
        <v>62</v>
      </c>
      <c r="F31" s="27">
        <v>1741.0</v>
      </c>
      <c r="G31" s="27">
        <v>164.0</v>
      </c>
      <c r="H31" s="27">
        <v>318.0</v>
      </c>
      <c r="I31" s="27">
        <v>8705.0</v>
      </c>
      <c r="J31" s="27">
        <v>8272.0</v>
      </c>
      <c r="K31" s="27">
        <v>121.0</v>
      </c>
      <c r="L31" s="28" t="s">
        <v>21</v>
      </c>
      <c r="M31" s="10"/>
      <c r="N31" s="10"/>
      <c r="O31" s="29">
        <f t="shared" si="3"/>
        <v>0.2553704767</v>
      </c>
      <c r="P31" s="27">
        <f t="shared" si="2"/>
        <v>2223</v>
      </c>
    </row>
    <row r="32">
      <c r="A32" s="10" t="s">
        <v>316</v>
      </c>
      <c r="B32" s="10" t="s">
        <v>13</v>
      </c>
      <c r="C32" s="26">
        <v>45708.0</v>
      </c>
      <c r="D32" s="10" t="s">
        <v>34</v>
      </c>
      <c r="E32" s="10" t="s">
        <v>37</v>
      </c>
      <c r="F32" s="27">
        <v>1877.0</v>
      </c>
      <c r="G32" s="27">
        <v>745.0</v>
      </c>
      <c r="H32" s="27">
        <v>225.0</v>
      </c>
      <c r="I32" s="27">
        <v>11262.0</v>
      </c>
      <c r="J32" s="27">
        <v>10967.0</v>
      </c>
      <c r="K32" s="27">
        <v>41.0</v>
      </c>
      <c r="L32" s="28" t="s">
        <v>30</v>
      </c>
      <c r="M32" s="10"/>
      <c r="N32" s="10"/>
      <c r="O32" s="29">
        <f t="shared" si="3"/>
        <v>0.2527970165</v>
      </c>
      <c r="P32" s="27">
        <f t="shared" si="2"/>
        <v>2847</v>
      </c>
    </row>
    <row r="33">
      <c r="A33" s="10" t="s">
        <v>290</v>
      </c>
      <c r="B33" s="10" t="s">
        <v>24</v>
      </c>
      <c r="C33" s="26">
        <v>45712.0</v>
      </c>
      <c r="D33" s="10" t="s">
        <v>19</v>
      </c>
      <c r="E33" s="10" t="s">
        <v>70</v>
      </c>
      <c r="F33" s="27">
        <v>4188.0</v>
      </c>
      <c r="G33" s="27">
        <v>942.0</v>
      </c>
      <c r="H33" s="27">
        <v>118.0</v>
      </c>
      <c r="I33" s="27">
        <v>20940.0</v>
      </c>
      <c r="J33" s="27">
        <v>20471.0</v>
      </c>
      <c r="K33" s="27">
        <v>102.0</v>
      </c>
      <c r="L33" s="28" t="s">
        <v>16</v>
      </c>
      <c r="M33" s="10"/>
      <c r="N33" s="10"/>
      <c r="O33" s="29">
        <f t="shared" si="3"/>
        <v>0.2506208214</v>
      </c>
      <c r="P33" s="27">
        <f t="shared" si="2"/>
        <v>5248</v>
      </c>
    </row>
    <row r="34">
      <c r="A34" s="10" t="s">
        <v>328</v>
      </c>
      <c r="B34" s="10" t="s">
        <v>33</v>
      </c>
      <c r="C34" s="26">
        <v>45753.0</v>
      </c>
      <c r="D34" s="10" t="s">
        <v>39</v>
      </c>
      <c r="E34" s="10" t="s">
        <v>44</v>
      </c>
      <c r="F34" s="27">
        <v>4236.0</v>
      </c>
      <c r="G34" s="27">
        <v>711.0</v>
      </c>
      <c r="H34" s="27">
        <v>298.0</v>
      </c>
      <c r="I34" s="27">
        <v>21180.0</v>
      </c>
      <c r="J34" s="27">
        <v>20516.0</v>
      </c>
      <c r="K34" s="27">
        <v>238.0</v>
      </c>
      <c r="L34" s="28" t="s">
        <v>16</v>
      </c>
      <c r="M34" s="10"/>
      <c r="N34" s="10"/>
      <c r="O34" s="29">
        <f t="shared" si="3"/>
        <v>0.2476392823</v>
      </c>
      <c r="P34" s="27">
        <f t="shared" si="2"/>
        <v>5245</v>
      </c>
    </row>
    <row r="35">
      <c r="A35" s="10" t="s">
        <v>348</v>
      </c>
      <c r="B35" s="10" t="s">
        <v>13</v>
      </c>
      <c r="C35" s="26">
        <v>45650.0</v>
      </c>
      <c r="D35" s="10" t="s">
        <v>19</v>
      </c>
      <c r="E35" s="10" t="s">
        <v>20</v>
      </c>
      <c r="F35" s="27">
        <v>2166.0</v>
      </c>
      <c r="G35" s="27">
        <v>354.0</v>
      </c>
      <c r="H35" s="27">
        <v>117.0</v>
      </c>
      <c r="I35" s="27">
        <v>10830.0</v>
      </c>
      <c r="J35" s="27">
        <v>10245.0</v>
      </c>
      <c r="K35" s="27">
        <v>24.0</v>
      </c>
      <c r="L35" s="28" t="s">
        <v>30</v>
      </c>
      <c r="M35" s="10"/>
      <c r="N35" s="10"/>
      <c r="O35" s="29">
        <f t="shared" si="3"/>
        <v>0.2434903047</v>
      </c>
      <c r="P35" s="27">
        <f t="shared" si="2"/>
        <v>2637</v>
      </c>
    </row>
    <row r="36">
      <c r="A36" s="10" t="s">
        <v>232</v>
      </c>
      <c r="B36" s="10" t="s">
        <v>24</v>
      </c>
      <c r="C36" s="26">
        <v>45737.0</v>
      </c>
      <c r="D36" s="10" t="s">
        <v>39</v>
      </c>
      <c r="E36" s="10" t="s">
        <v>40</v>
      </c>
      <c r="F36" s="27">
        <v>606.0</v>
      </c>
      <c r="G36" s="27">
        <v>789.0</v>
      </c>
      <c r="H36" s="27">
        <v>470.0</v>
      </c>
      <c r="I36" s="27">
        <v>7878.0</v>
      </c>
      <c r="J36" s="27">
        <v>7389.0</v>
      </c>
      <c r="K36" s="27">
        <v>239.0</v>
      </c>
      <c r="L36" s="28" t="s">
        <v>30</v>
      </c>
      <c r="M36" s="10"/>
      <c r="N36" s="10"/>
      <c r="O36" s="29">
        <f t="shared" si="3"/>
        <v>0.236735212</v>
      </c>
      <c r="P36" s="27">
        <f t="shared" si="2"/>
        <v>1865</v>
      </c>
    </row>
    <row r="37">
      <c r="A37" s="10" t="s">
        <v>297</v>
      </c>
      <c r="B37" s="10" t="s">
        <v>33</v>
      </c>
      <c r="C37" s="26">
        <v>45576.0</v>
      </c>
      <c r="D37" s="10" t="s">
        <v>39</v>
      </c>
      <c r="E37" s="10" t="s">
        <v>44</v>
      </c>
      <c r="F37" s="27">
        <v>400.0</v>
      </c>
      <c r="G37" s="27">
        <v>680.0</v>
      </c>
      <c r="H37" s="27">
        <v>434.0</v>
      </c>
      <c r="I37" s="27">
        <v>6400.0</v>
      </c>
      <c r="J37" s="27">
        <v>5472.0</v>
      </c>
      <c r="K37" s="27">
        <v>160.0</v>
      </c>
      <c r="L37" s="28" t="s">
        <v>16</v>
      </c>
      <c r="M37" s="10"/>
      <c r="N37" s="10"/>
      <c r="O37" s="29">
        <f t="shared" si="3"/>
        <v>0.2365625</v>
      </c>
      <c r="P37" s="27">
        <f t="shared" si="2"/>
        <v>1514</v>
      </c>
    </row>
    <row r="38">
      <c r="A38" s="10" t="s">
        <v>173</v>
      </c>
      <c r="B38" s="10" t="s">
        <v>27</v>
      </c>
      <c r="C38" s="26">
        <v>45457.0</v>
      </c>
      <c r="D38" s="10" t="s">
        <v>28</v>
      </c>
      <c r="E38" s="10" t="s">
        <v>29</v>
      </c>
      <c r="F38" s="27">
        <v>4363.0</v>
      </c>
      <c r="G38" s="27">
        <v>649.0</v>
      </c>
      <c r="H38" s="27">
        <v>140.0</v>
      </c>
      <c r="I38" s="27">
        <v>21815.0</v>
      </c>
      <c r="J38" s="27">
        <v>21481.0</v>
      </c>
      <c r="K38" s="27">
        <v>157.0</v>
      </c>
      <c r="L38" s="28" t="s">
        <v>30</v>
      </c>
      <c r="M38" s="10"/>
      <c r="N38" s="10"/>
      <c r="O38" s="29">
        <f t="shared" si="3"/>
        <v>0.2361677745</v>
      </c>
      <c r="P38" s="27">
        <f t="shared" si="2"/>
        <v>5152</v>
      </c>
    </row>
    <row r="39">
      <c r="A39" s="10" t="s">
        <v>170</v>
      </c>
      <c r="B39" s="10" t="s">
        <v>33</v>
      </c>
      <c r="C39" s="26">
        <v>45586.0</v>
      </c>
      <c r="D39" s="10" t="s">
        <v>28</v>
      </c>
      <c r="E39" s="10" t="s">
        <v>51</v>
      </c>
      <c r="F39" s="27">
        <v>780.0</v>
      </c>
      <c r="G39" s="27">
        <v>928.0</v>
      </c>
      <c r="H39" s="27">
        <v>301.0</v>
      </c>
      <c r="I39" s="27">
        <v>8580.0</v>
      </c>
      <c r="J39" s="27">
        <v>8081.0</v>
      </c>
      <c r="K39" s="27">
        <v>91.0</v>
      </c>
      <c r="L39" s="28" t="s">
        <v>30</v>
      </c>
      <c r="M39" s="10"/>
      <c r="N39" s="10"/>
      <c r="O39" s="29">
        <f t="shared" si="3"/>
        <v>0.2341491841</v>
      </c>
      <c r="P39" s="27">
        <f t="shared" si="2"/>
        <v>2009</v>
      </c>
    </row>
    <row r="40">
      <c r="A40" s="10" t="s">
        <v>192</v>
      </c>
      <c r="B40" s="10" t="s">
        <v>13</v>
      </c>
      <c r="C40" s="26">
        <v>45535.0</v>
      </c>
      <c r="D40" s="10" t="s">
        <v>39</v>
      </c>
      <c r="E40" s="10" t="s">
        <v>85</v>
      </c>
      <c r="F40" s="27">
        <v>3170.0</v>
      </c>
      <c r="G40" s="27">
        <v>857.0</v>
      </c>
      <c r="H40" s="27">
        <v>379.0</v>
      </c>
      <c r="I40" s="27">
        <v>19020.0</v>
      </c>
      <c r="J40" s="27">
        <v>18559.0</v>
      </c>
      <c r="K40" s="27">
        <v>240.0</v>
      </c>
      <c r="L40" s="28" t="s">
        <v>16</v>
      </c>
      <c r="M40" s="10"/>
      <c r="N40" s="10"/>
      <c r="O40" s="29">
        <f t="shared" si="3"/>
        <v>0.2316508938</v>
      </c>
      <c r="P40" s="27">
        <f t="shared" si="2"/>
        <v>4406</v>
      </c>
    </row>
    <row r="41">
      <c r="A41" s="10" t="s">
        <v>214</v>
      </c>
      <c r="B41" s="10" t="s">
        <v>27</v>
      </c>
      <c r="C41" s="26">
        <v>45755.0</v>
      </c>
      <c r="D41" s="10" t="s">
        <v>39</v>
      </c>
      <c r="E41" s="10" t="s">
        <v>131</v>
      </c>
      <c r="F41" s="27">
        <v>4501.0</v>
      </c>
      <c r="G41" s="27">
        <v>375.0</v>
      </c>
      <c r="H41" s="27">
        <v>323.0</v>
      </c>
      <c r="I41" s="27">
        <v>22505.0</v>
      </c>
      <c r="J41" s="27">
        <v>21836.0</v>
      </c>
      <c r="K41" s="27">
        <v>132.0</v>
      </c>
      <c r="L41" s="28" t="s">
        <v>21</v>
      </c>
      <c r="M41" s="10"/>
      <c r="N41" s="10"/>
      <c r="O41" s="29">
        <f t="shared" si="3"/>
        <v>0.2310153299</v>
      </c>
      <c r="P41" s="27">
        <f t="shared" si="2"/>
        <v>5199</v>
      </c>
    </row>
    <row r="42">
      <c r="A42" s="10" t="s">
        <v>320</v>
      </c>
      <c r="B42" s="10" t="s">
        <v>27</v>
      </c>
      <c r="C42" s="26">
        <v>45601.0</v>
      </c>
      <c r="D42" s="10" t="s">
        <v>53</v>
      </c>
      <c r="E42" s="10" t="s">
        <v>60</v>
      </c>
      <c r="F42" s="27">
        <v>4561.0</v>
      </c>
      <c r="G42" s="27">
        <v>51.0</v>
      </c>
      <c r="H42" s="27">
        <v>441.0</v>
      </c>
      <c r="I42" s="27">
        <v>22805.0</v>
      </c>
      <c r="J42" s="27">
        <v>21890.0</v>
      </c>
      <c r="K42" s="27">
        <v>45.0</v>
      </c>
      <c r="L42" s="28" t="s">
        <v>21</v>
      </c>
      <c r="M42" s="10"/>
      <c r="N42" s="10"/>
      <c r="O42" s="29">
        <f t="shared" si="3"/>
        <v>0.2215742162</v>
      </c>
      <c r="P42" s="27">
        <f t="shared" si="2"/>
        <v>5053</v>
      </c>
    </row>
    <row r="43">
      <c r="A43" s="10" t="s">
        <v>87</v>
      </c>
      <c r="B43" s="10" t="s">
        <v>24</v>
      </c>
      <c r="C43" s="26">
        <v>45721.0</v>
      </c>
      <c r="D43" s="10" t="s">
        <v>14</v>
      </c>
      <c r="E43" s="10" t="s">
        <v>25</v>
      </c>
      <c r="F43" s="27">
        <v>1543.0</v>
      </c>
      <c r="G43" s="27">
        <v>820.0</v>
      </c>
      <c r="H43" s="27">
        <v>333.0</v>
      </c>
      <c r="I43" s="27">
        <v>12344.0</v>
      </c>
      <c r="J43" s="27">
        <v>11496.0</v>
      </c>
      <c r="K43" s="27">
        <v>241.0</v>
      </c>
      <c r="L43" s="28" t="s">
        <v>30</v>
      </c>
      <c r="M43" s="10"/>
      <c r="N43" s="10"/>
      <c r="O43" s="29">
        <f t="shared" si="3"/>
        <v>0.2184057032</v>
      </c>
      <c r="P43" s="27">
        <f t="shared" si="2"/>
        <v>2696</v>
      </c>
    </row>
    <row r="44">
      <c r="A44" s="10" t="s">
        <v>88</v>
      </c>
      <c r="B44" s="10" t="s">
        <v>27</v>
      </c>
      <c r="C44" s="26">
        <v>45640.0</v>
      </c>
      <c r="D44" s="10" t="s">
        <v>34</v>
      </c>
      <c r="E44" s="10" t="s">
        <v>62</v>
      </c>
      <c r="F44" s="27">
        <v>2174.0</v>
      </c>
      <c r="G44" s="27">
        <v>658.0</v>
      </c>
      <c r="H44" s="27">
        <v>15.0</v>
      </c>
      <c r="I44" s="27">
        <v>13044.0</v>
      </c>
      <c r="J44" s="27">
        <v>12206.0</v>
      </c>
      <c r="K44" s="27">
        <v>137.0</v>
      </c>
      <c r="L44" s="28" t="s">
        <v>21</v>
      </c>
      <c r="M44" s="10"/>
      <c r="N44" s="10"/>
      <c r="O44" s="29">
        <f t="shared" si="3"/>
        <v>0.2182612695</v>
      </c>
      <c r="P44" s="27">
        <f t="shared" si="2"/>
        <v>2847</v>
      </c>
    </row>
    <row r="45">
      <c r="A45" s="10" t="s">
        <v>210</v>
      </c>
      <c r="B45" s="10" t="s">
        <v>33</v>
      </c>
      <c r="C45" s="26">
        <v>45621.0</v>
      </c>
      <c r="D45" s="10" t="s">
        <v>28</v>
      </c>
      <c r="E45" s="10" t="s">
        <v>51</v>
      </c>
      <c r="F45" s="27">
        <v>2120.0</v>
      </c>
      <c r="G45" s="27">
        <v>158.0</v>
      </c>
      <c r="H45" s="27">
        <v>488.0</v>
      </c>
      <c r="I45" s="27">
        <v>12720.0</v>
      </c>
      <c r="J45" s="27">
        <v>12085.0</v>
      </c>
      <c r="K45" s="27">
        <v>17.0</v>
      </c>
      <c r="L45" s="28" t="s">
        <v>16</v>
      </c>
      <c r="M45" s="10"/>
      <c r="N45" s="10"/>
      <c r="O45" s="29">
        <f t="shared" si="3"/>
        <v>0.2174528302</v>
      </c>
      <c r="P45" s="27">
        <f t="shared" si="2"/>
        <v>2766</v>
      </c>
    </row>
    <row r="46">
      <c r="A46" s="10" t="s">
        <v>197</v>
      </c>
      <c r="B46" s="10" t="s">
        <v>24</v>
      </c>
      <c r="C46" s="26">
        <v>45448.0</v>
      </c>
      <c r="D46" s="10" t="s">
        <v>14</v>
      </c>
      <c r="E46" s="10" t="s">
        <v>25</v>
      </c>
      <c r="F46" s="27">
        <v>3065.0</v>
      </c>
      <c r="G46" s="27">
        <v>772.0</v>
      </c>
      <c r="H46" s="27">
        <v>142.0</v>
      </c>
      <c r="I46" s="27">
        <v>18390.0</v>
      </c>
      <c r="J46" s="27">
        <v>17875.0</v>
      </c>
      <c r="K46" s="27">
        <v>200.0</v>
      </c>
      <c r="L46" s="28" t="s">
        <v>30</v>
      </c>
      <c r="M46" s="28" t="s">
        <v>17</v>
      </c>
      <c r="N46" s="10"/>
      <c r="O46" s="29">
        <f t="shared" si="3"/>
        <v>0.2163675911</v>
      </c>
      <c r="P46" s="27">
        <f t="shared" si="2"/>
        <v>3979</v>
      </c>
    </row>
    <row r="47">
      <c r="A47" s="10" t="s">
        <v>72</v>
      </c>
      <c r="B47" s="10" t="s">
        <v>27</v>
      </c>
      <c r="C47" s="26">
        <v>45688.0</v>
      </c>
      <c r="D47" s="10" t="s">
        <v>34</v>
      </c>
      <c r="E47" s="10" t="s">
        <v>62</v>
      </c>
      <c r="F47" s="27">
        <v>2566.0</v>
      </c>
      <c r="G47" s="27">
        <v>118.0</v>
      </c>
      <c r="H47" s="27">
        <v>37.0</v>
      </c>
      <c r="I47" s="27">
        <v>12830.0</v>
      </c>
      <c r="J47" s="27">
        <v>12264.0</v>
      </c>
      <c r="K47" s="27">
        <v>221.0</v>
      </c>
      <c r="L47" s="28" t="s">
        <v>16</v>
      </c>
      <c r="M47" s="10"/>
      <c r="N47" s="10"/>
      <c r="O47" s="29">
        <f t="shared" si="3"/>
        <v>0.21208106</v>
      </c>
      <c r="P47" s="27">
        <f t="shared" si="2"/>
        <v>2721</v>
      </c>
    </row>
    <row r="48">
      <c r="A48" s="10" t="s">
        <v>187</v>
      </c>
      <c r="B48" s="10" t="s">
        <v>33</v>
      </c>
      <c r="C48" s="26">
        <v>45504.0</v>
      </c>
      <c r="D48" s="10" t="s">
        <v>53</v>
      </c>
      <c r="E48" s="10" t="s">
        <v>54</v>
      </c>
      <c r="F48" s="27">
        <v>3008.0</v>
      </c>
      <c r="G48" s="27">
        <v>94.0</v>
      </c>
      <c r="H48" s="27">
        <v>37.0</v>
      </c>
      <c r="I48" s="27">
        <v>15040.0</v>
      </c>
      <c r="J48" s="27">
        <v>14639.0</v>
      </c>
      <c r="K48" s="27">
        <v>277.0</v>
      </c>
      <c r="L48" s="28" t="s">
        <v>16</v>
      </c>
      <c r="M48" s="10"/>
      <c r="N48" s="10"/>
      <c r="O48" s="29">
        <f t="shared" si="3"/>
        <v>0.2087101064</v>
      </c>
      <c r="P48" s="27">
        <f t="shared" si="2"/>
        <v>3139</v>
      </c>
    </row>
    <row r="49">
      <c r="A49" s="10" t="s">
        <v>137</v>
      </c>
      <c r="B49" s="10" t="s">
        <v>13</v>
      </c>
      <c r="C49" s="26">
        <v>45449.0</v>
      </c>
      <c r="D49" s="10" t="s">
        <v>53</v>
      </c>
      <c r="E49" s="10" t="s">
        <v>92</v>
      </c>
      <c r="F49" s="27">
        <v>1436.0</v>
      </c>
      <c r="G49" s="27">
        <v>765.0</v>
      </c>
      <c r="H49" s="27">
        <v>496.0</v>
      </c>
      <c r="I49" s="27">
        <v>12924.0</v>
      </c>
      <c r="J49" s="27">
        <v>12701.0</v>
      </c>
      <c r="K49" s="27">
        <v>197.0</v>
      </c>
      <c r="L49" s="28" t="s">
        <v>16</v>
      </c>
      <c r="M49" s="10"/>
      <c r="N49" s="10"/>
      <c r="O49" s="29">
        <f t="shared" si="3"/>
        <v>0.2086815227</v>
      </c>
      <c r="P49" s="27">
        <f t="shared" si="2"/>
        <v>2697</v>
      </c>
    </row>
    <row r="50">
      <c r="A50" s="10" t="s">
        <v>322</v>
      </c>
      <c r="B50" s="10" t="s">
        <v>27</v>
      </c>
      <c r="C50" s="26">
        <v>45582.0</v>
      </c>
      <c r="D50" s="10" t="s">
        <v>53</v>
      </c>
      <c r="E50" s="10" t="s">
        <v>60</v>
      </c>
      <c r="F50" s="27">
        <v>3575.0</v>
      </c>
      <c r="G50" s="27">
        <v>749.0</v>
      </c>
      <c r="H50" s="27">
        <v>111.0</v>
      </c>
      <c r="I50" s="27">
        <v>21450.0</v>
      </c>
      <c r="J50" s="27">
        <v>20785.0</v>
      </c>
      <c r="K50" s="27">
        <v>195.0</v>
      </c>
      <c r="L50" s="28" t="s">
        <v>30</v>
      </c>
      <c r="M50" s="10"/>
      <c r="N50" s="10"/>
      <c r="O50" s="29">
        <f t="shared" si="3"/>
        <v>0.2067599068</v>
      </c>
      <c r="P50" s="27">
        <f t="shared" si="2"/>
        <v>4435</v>
      </c>
    </row>
    <row r="51">
      <c r="A51" s="10" t="s">
        <v>125</v>
      </c>
      <c r="B51" s="10" t="s">
        <v>33</v>
      </c>
      <c r="C51" s="26">
        <v>45720.0</v>
      </c>
      <c r="D51" s="10" t="s">
        <v>28</v>
      </c>
      <c r="E51" s="10" t="s">
        <v>51</v>
      </c>
      <c r="F51" s="27">
        <v>1249.0</v>
      </c>
      <c r="G51" s="27">
        <v>116.0</v>
      </c>
      <c r="H51" s="27">
        <v>420.0</v>
      </c>
      <c r="I51" s="27">
        <v>8743.0</v>
      </c>
      <c r="J51" s="27">
        <v>8538.0</v>
      </c>
      <c r="K51" s="27">
        <v>63.0</v>
      </c>
      <c r="L51" s="28" t="s">
        <v>21</v>
      </c>
      <c r="M51" s="10"/>
      <c r="N51" s="10"/>
      <c r="O51" s="29">
        <f t="shared" si="3"/>
        <v>0.2041633307</v>
      </c>
      <c r="P51" s="27">
        <f t="shared" si="2"/>
        <v>1785</v>
      </c>
    </row>
    <row r="52">
      <c r="A52" s="10" t="s">
        <v>186</v>
      </c>
      <c r="B52" s="10" t="s">
        <v>27</v>
      </c>
      <c r="C52" s="26">
        <v>45484.0</v>
      </c>
      <c r="D52" s="10" t="s">
        <v>19</v>
      </c>
      <c r="E52" s="10" t="s">
        <v>75</v>
      </c>
      <c r="F52" s="27">
        <v>3134.0</v>
      </c>
      <c r="G52" s="27">
        <v>888.0</v>
      </c>
      <c r="H52" s="27">
        <v>444.0</v>
      </c>
      <c r="I52" s="27">
        <v>21938.0</v>
      </c>
      <c r="J52" s="27">
        <v>21337.0</v>
      </c>
      <c r="K52" s="27">
        <v>130.0</v>
      </c>
      <c r="L52" s="28" t="s">
        <v>30</v>
      </c>
      <c r="M52" s="10"/>
      <c r="N52" s="10"/>
      <c r="O52" s="29">
        <f t="shared" si="3"/>
        <v>0.2035737077</v>
      </c>
      <c r="P52" s="27">
        <f t="shared" si="2"/>
        <v>4466</v>
      </c>
    </row>
    <row r="53">
      <c r="A53" s="10" t="s">
        <v>309</v>
      </c>
      <c r="B53" s="10" t="s">
        <v>27</v>
      </c>
      <c r="C53" s="26">
        <v>45509.0</v>
      </c>
      <c r="D53" s="10" t="s">
        <v>28</v>
      </c>
      <c r="E53" s="10" t="s">
        <v>29</v>
      </c>
      <c r="F53" s="27">
        <v>3601.0</v>
      </c>
      <c r="G53" s="27">
        <v>695.0</v>
      </c>
      <c r="H53" s="27">
        <v>75.0</v>
      </c>
      <c r="I53" s="27">
        <v>21606.0</v>
      </c>
      <c r="J53" s="27">
        <v>21454.0</v>
      </c>
      <c r="K53" s="27">
        <v>172.0</v>
      </c>
      <c r="L53" s="28" t="s">
        <v>30</v>
      </c>
      <c r="M53" s="10"/>
      <c r="N53" s="10"/>
      <c r="O53" s="29">
        <f t="shared" si="3"/>
        <v>0.2023049153</v>
      </c>
      <c r="P53" s="27">
        <f t="shared" si="2"/>
        <v>4371</v>
      </c>
    </row>
    <row r="54">
      <c r="A54" s="10" t="s">
        <v>327</v>
      </c>
      <c r="B54" s="10" t="s">
        <v>13</v>
      </c>
      <c r="C54" s="26">
        <v>45450.0</v>
      </c>
      <c r="D54" s="10" t="s">
        <v>34</v>
      </c>
      <c r="E54" s="10" t="s">
        <v>37</v>
      </c>
      <c r="F54" s="27">
        <v>1556.0</v>
      </c>
      <c r="G54" s="27">
        <v>195.0</v>
      </c>
      <c r="H54" s="27">
        <v>131.0</v>
      </c>
      <c r="I54" s="27">
        <v>9336.0</v>
      </c>
      <c r="J54" s="27">
        <v>8875.0</v>
      </c>
      <c r="K54" s="27">
        <v>137.0</v>
      </c>
      <c r="L54" s="28" t="s">
        <v>21</v>
      </c>
      <c r="M54" s="10"/>
      <c r="N54" s="10"/>
      <c r="O54" s="29">
        <f t="shared" si="3"/>
        <v>0.2015852614</v>
      </c>
      <c r="P54" s="27">
        <f t="shared" si="2"/>
        <v>1882</v>
      </c>
    </row>
    <row r="55">
      <c r="A55" s="10" t="s">
        <v>199</v>
      </c>
      <c r="B55" s="10" t="s">
        <v>27</v>
      </c>
      <c r="C55" s="26">
        <v>45762.0</v>
      </c>
      <c r="D55" s="10" t="s">
        <v>53</v>
      </c>
      <c r="E55" s="10" t="s">
        <v>60</v>
      </c>
      <c r="F55" s="27">
        <v>4133.0</v>
      </c>
      <c r="G55" s="27">
        <v>466.0</v>
      </c>
      <c r="H55" s="27">
        <v>327.0</v>
      </c>
      <c r="I55" s="27">
        <v>24798.0</v>
      </c>
      <c r="J55" s="27">
        <v>24620.0</v>
      </c>
      <c r="K55" s="27">
        <v>176.0</v>
      </c>
      <c r="L55" s="28" t="s">
        <v>30</v>
      </c>
      <c r="M55" s="10"/>
      <c r="N55" s="10"/>
      <c r="O55" s="29">
        <f t="shared" si="3"/>
        <v>0.198645052</v>
      </c>
      <c r="P55" s="27">
        <f t="shared" si="2"/>
        <v>4926</v>
      </c>
    </row>
    <row r="56">
      <c r="A56" s="10" t="s">
        <v>249</v>
      </c>
      <c r="B56" s="10" t="s">
        <v>13</v>
      </c>
      <c r="C56" s="26">
        <v>45549.0</v>
      </c>
      <c r="D56" s="10" t="s">
        <v>39</v>
      </c>
      <c r="E56" s="10" t="s">
        <v>85</v>
      </c>
      <c r="F56" s="27">
        <v>1048.0</v>
      </c>
      <c r="G56" s="27">
        <v>374.0</v>
      </c>
      <c r="H56" s="27">
        <v>450.0</v>
      </c>
      <c r="I56" s="27">
        <v>9432.0</v>
      </c>
      <c r="J56" s="27">
        <v>8882.0</v>
      </c>
      <c r="K56" s="27">
        <v>158.0</v>
      </c>
      <c r="L56" s="28" t="s">
        <v>21</v>
      </c>
      <c r="M56" s="10"/>
      <c r="N56" s="10"/>
      <c r="O56" s="29">
        <f t="shared" si="3"/>
        <v>0.1984732824</v>
      </c>
      <c r="P56" s="27">
        <f t="shared" si="2"/>
        <v>1872</v>
      </c>
    </row>
    <row r="57">
      <c r="A57" s="10" t="s">
        <v>203</v>
      </c>
      <c r="B57" s="10" t="s">
        <v>33</v>
      </c>
      <c r="C57" s="26">
        <v>45769.0</v>
      </c>
      <c r="D57" s="10" t="s">
        <v>39</v>
      </c>
      <c r="E57" s="10" t="s">
        <v>44</v>
      </c>
      <c r="F57" s="27">
        <v>4804.0</v>
      </c>
      <c r="G57" s="27">
        <v>550.0</v>
      </c>
      <c r="H57" s="27">
        <v>270.0</v>
      </c>
      <c r="I57" s="27">
        <v>28824.0</v>
      </c>
      <c r="J57" s="27">
        <v>28370.0</v>
      </c>
      <c r="K57" s="27">
        <v>47.0</v>
      </c>
      <c r="L57" s="28" t="s">
        <v>30</v>
      </c>
      <c r="M57" s="10"/>
      <c r="N57" s="10"/>
      <c r="O57" s="29">
        <f t="shared" si="3"/>
        <v>0.1951151818</v>
      </c>
      <c r="P57" s="27">
        <f t="shared" si="2"/>
        <v>5624</v>
      </c>
    </row>
    <row r="58">
      <c r="A58" s="10" t="s">
        <v>337</v>
      </c>
      <c r="B58" s="10" t="s">
        <v>24</v>
      </c>
      <c r="C58" s="26">
        <v>45560.0</v>
      </c>
      <c r="D58" s="10" t="s">
        <v>53</v>
      </c>
      <c r="E58" s="10" t="s">
        <v>133</v>
      </c>
      <c r="F58" s="27">
        <v>3389.0</v>
      </c>
      <c r="G58" s="27">
        <v>344.0</v>
      </c>
      <c r="H58" s="27">
        <v>229.0</v>
      </c>
      <c r="I58" s="27">
        <v>20334.0</v>
      </c>
      <c r="J58" s="27">
        <v>19443.0</v>
      </c>
      <c r="K58" s="27">
        <v>228.0</v>
      </c>
      <c r="L58" s="28" t="s">
        <v>16</v>
      </c>
      <c r="M58" s="10"/>
      <c r="N58" s="10"/>
      <c r="O58" s="29">
        <f t="shared" si="3"/>
        <v>0.1948460706</v>
      </c>
      <c r="P58" s="27">
        <f t="shared" si="2"/>
        <v>3962</v>
      </c>
    </row>
    <row r="59">
      <c r="A59" s="10" t="s">
        <v>116</v>
      </c>
      <c r="B59" s="10" t="s">
        <v>27</v>
      </c>
      <c r="C59" s="26">
        <v>45634.0</v>
      </c>
      <c r="D59" s="10" t="s">
        <v>28</v>
      </c>
      <c r="E59" s="10" t="s">
        <v>29</v>
      </c>
      <c r="F59" s="27">
        <v>2610.0</v>
      </c>
      <c r="G59" s="27">
        <v>126.0</v>
      </c>
      <c r="H59" s="27">
        <v>288.0</v>
      </c>
      <c r="I59" s="27">
        <v>15660.0</v>
      </c>
      <c r="J59" s="27">
        <v>15145.0</v>
      </c>
      <c r="K59" s="27">
        <v>73.0</v>
      </c>
      <c r="L59" s="28" t="s">
        <v>30</v>
      </c>
      <c r="M59" s="10"/>
      <c r="N59" s="10"/>
      <c r="O59" s="29">
        <f t="shared" si="3"/>
        <v>0.1931034483</v>
      </c>
      <c r="P59" s="27">
        <f t="shared" si="2"/>
        <v>3024</v>
      </c>
    </row>
    <row r="60">
      <c r="A60" s="10" t="s">
        <v>135</v>
      </c>
      <c r="B60" s="10" t="s">
        <v>27</v>
      </c>
      <c r="C60" s="26">
        <v>45766.0</v>
      </c>
      <c r="D60" s="10" t="s">
        <v>39</v>
      </c>
      <c r="E60" s="10" t="s">
        <v>131</v>
      </c>
      <c r="F60" s="27">
        <v>4177.0</v>
      </c>
      <c r="G60" s="27">
        <v>569.0</v>
      </c>
      <c r="H60" s="27">
        <v>55.0</v>
      </c>
      <c r="I60" s="27">
        <v>25062.0</v>
      </c>
      <c r="J60" s="27">
        <v>24847.0</v>
      </c>
      <c r="K60" s="27">
        <v>230.0</v>
      </c>
      <c r="L60" s="28" t="s">
        <v>16</v>
      </c>
      <c r="M60" s="10"/>
      <c r="N60" s="10"/>
      <c r="O60" s="29">
        <f t="shared" si="3"/>
        <v>0.191564919</v>
      </c>
      <c r="P60" s="27">
        <f t="shared" si="2"/>
        <v>4801</v>
      </c>
    </row>
    <row r="61">
      <c r="A61" s="10" t="s">
        <v>76</v>
      </c>
      <c r="B61" s="10" t="s">
        <v>13</v>
      </c>
      <c r="C61" s="26">
        <v>45504.0</v>
      </c>
      <c r="D61" s="10" t="s">
        <v>34</v>
      </c>
      <c r="E61" s="10" t="s">
        <v>37</v>
      </c>
      <c r="F61" s="27">
        <v>2278.0</v>
      </c>
      <c r="G61" s="27">
        <v>10.0</v>
      </c>
      <c r="H61" s="27">
        <v>321.0</v>
      </c>
      <c r="I61" s="27">
        <v>13668.0</v>
      </c>
      <c r="J61" s="27">
        <v>12676.0</v>
      </c>
      <c r="K61" s="27">
        <v>275.0</v>
      </c>
      <c r="L61" s="28" t="s">
        <v>30</v>
      </c>
      <c r="M61" s="10"/>
      <c r="N61" s="10"/>
      <c r="O61" s="29">
        <f t="shared" si="3"/>
        <v>0.1908838162</v>
      </c>
      <c r="P61" s="27">
        <f t="shared" si="2"/>
        <v>2609</v>
      </c>
    </row>
    <row r="62">
      <c r="A62" s="10" t="s">
        <v>269</v>
      </c>
      <c r="B62" s="10" t="s">
        <v>33</v>
      </c>
      <c r="C62" s="26">
        <v>45454.0</v>
      </c>
      <c r="D62" s="10" t="s">
        <v>34</v>
      </c>
      <c r="E62" s="10" t="s">
        <v>35</v>
      </c>
      <c r="F62" s="27">
        <v>1869.0</v>
      </c>
      <c r="G62" s="27">
        <v>453.0</v>
      </c>
      <c r="H62" s="27">
        <v>490.0</v>
      </c>
      <c r="I62" s="27">
        <v>14952.0</v>
      </c>
      <c r="J62" s="27">
        <v>14309.0</v>
      </c>
      <c r="K62" s="27">
        <v>275.0</v>
      </c>
      <c r="L62" s="28" t="s">
        <v>21</v>
      </c>
      <c r="M62" s="10"/>
      <c r="N62" s="10"/>
      <c r="O62" s="29">
        <f t="shared" si="3"/>
        <v>0.1880684858</v>
      </c>
      <c r="P62" s="27">
        <f t="shared" si="2"/>
        <v>2812</v>
      </c>
    </row>
    <row r="63">
      <c r="A63" s="10" t="s">
        <v>262</v>
      </c>
      <c r="B63" s="10" t="s">
        <v>13</v>
      </c>
      <c r="C63" s="26">
        <v>45491.0</v>
      </c>
      <c r="D63" s="10" t="s">
        <v>34</v>
      </c>
      <c r="E63" s="10" t="s">
        <v>37</v>
      </c>
      <c r="F63" s="27">
        <v>2120.0</v>
      </c>
      <c r="G63" s="27">
        <v>38.0</v>
      </c>
      <c r="H63" s="27">
        <v>212.0</v>
      </c>
      <c r="I63" s="27">
        <v>12720.0</v>
      </c>
      <c r="J63" s="27">
        <v>12564.0</v>
      </c>
      <c r="K63" s="27">
        <v>21.0</v>
      </c>
      <c r="L63" s="28" t="s">
        <v>16</v>
      </c>
      <c r="M63" s="10"/>
      <c r="N63" s="10"/>
      <c r="O63" s="29">
        <f t="shared" si="3"/>
        <v>0.1863207547</v>
      </c>
      <c r="P63" s="27">
        <f t="shared" si="2"/>
        <v>2370</v>
      </c>
    </row>
    <row r="64">
      <c r="A64" s="10" t="s">
        <v>293</v>
      </c>
      <c r="B64" s="10" t="s">
        <v>33</v>
      </c>
      <c r="C64" s="26">
        <v>45480.0</v>
      </c>
      <c r="D64" s="10" t="s">
        <v>14</v>
      </c>
      <c r="E64" s="10" t="s">
        <v>47</v>
      </c>
      <c r="F64" s="27">
        <v>4767.0</v>
      </c>
      <c r="G64" s="27">
        <v>190.0</v>
      </c>
      <c r="H64" s="27">
        <v>340.0</v>
      </c>
      <c r="I64" s="27">
        <v>28602.0</v>
      </c>
      <c r="J64" s="27">
        <v>28044.0</v>
      </c>
      <c r="K64" s="27">
        <v>210.0</v>
      </c>
      <c r="L64" s="28" t="s">
        <v>30</v>
      </c>
      <c r="M64" s="10"/>
      <c r="N64" s="10"/>
      <c r="O64" s="29">
        <f t="shared" si="3"/>
        <v>0.1851968394</v>
      </c>
      <c r="P64" s="27">
        <f t="shared" si="2"/>
        <v>5297</v>
      </c>
    </row>
    <row r="65">
      <c r="A65" s="10" t="s">
        <v>86</v>
      </c>
      <c r="B65" s="10" t="s">
        <v>27</v>
      </c>
      <c r="C65" s="26">
        <v>45724.0</v>
      </c>
      <c r="D65" s="10" t="s">
        <v>14</v>
      </c>
      <c r="E65" s="10" t="s">
        <v>58</v>
      </c>
      <c r="F65" s="27">
        <v>456.0</v>
      </c>
      <c r="G65" s="27">
        <v>629.0</v>
      </c>
      <c r="H65" s="27">
        <v>428.0</v>
      </c>
      <c r="I65" s="27">
        <v>8208.0</v>
      </c>
      <c r="J65" s="27">
        <v>7377.0</v>
      </c>
      <c r="K65" s="27">
        <v>205.0</v>
      </c>
      <c r="L65" s="28" t="s">
        <v>16</v>
      </c>
      <c r="M65" s="10"/>
      <c r="N65" s="10"/>
      <c r="O65" s="29">
        <f t="shared" si="3"/>
        <v>0.1843323587</v>
      </c>
      <c r="P65" s="27">
        <f t="shared" si="2"/>
        <v>1513</v>
      </c>
    </row>
    <row r="66">
      <c r="A66" s="10" t="s">
        <v>345</v>
      </c>
      <c r="B66" s="10" t="s">
        <v>33</v>
      </c>
      <c r="C66" s="26">
        <v>45462.0</v>
      </c>
      <c r="D66" s="10" t="s">
        <v>34</v>
      </c>
      <c r="E66" s="10" t="s">
        <v>35</v>
      </c>
      <c r="F66" s="27">
        <v>4731.0</v>
      </c>
      <c r="G66" s="27">
        <v>173.0</v>
      </c>
      <c r="H66" s="27">
        <v>276.0</v>
      </c>
      <c r="I66" s="27">
        <v>28386.0</v>
      </c>
      <c r="J66" s="27">
        <v>28185.0</v>
      </c>
      <c r="K66" s="27">
        <v>89.0</v>
      </c>
      <c r="L66" s="28" t="s">
        <v>30</v>
      </c>
      <c r="M66" s="10"/>
      <c r="N66" s="10"/>
      <c r="O66" s="29">
        <f t="shared" si="3"/>
        <v>0.1824843233</v>
      </c>
      <c r="P66" s="27">
        <f t="shared" si="2"/>
        <v>5180</v>
      </c>
    </row>
    <row r="67">
      <c r="A67" s="10" t="s">
        <v>32</v>
      </c>
      <c r="B67" s="10" t="s">
        <v>33</v>
      </c>
      <c r="C67" s="26">
        <v>45596.0</v>
      </c>
      <c r="D67" s="10" t="s">
        <v>34</v>
      </c>
      <c r="E67" s="10" t="s">
        <v>35</v>
      </c>
      <c r="F67" s="27">
        <v>2945.0</v>
      </c>
      <c r="G67" s="27">
        <v>930.0</v>
      </c>
      <c r="H67" s="27">
        <v>355.0</v>
      </c>
      <c r="I67" s="27">
        <v>23560.0</v>
      </c>
      <c r="J67" s="27">
        <v>23275.0</v>
      </c>
      <c r="K67" s="27">
        <v>256.0</v>
      </c>
      <c r="L67" s="28" t="s">
        <v>21</v>
      </c>
      <c r="M67" s="10"/>
      <c r="N67" s="10"/>
      <c r="O67" s="29">
        <f t="shared" si="3"/>
        <v>0.1795415959</v>
      </c>
      <c r="P67" s="27">
        <f t="shared" si="2"/>
        <v>4230</v>
      </c>
    </row>
    <row r="68">
      <c r="A68" s="10" t="s">
        <v>204</v>
      </c>
      <c r="B68" s="10" t="s">
        <v>13</v>
      </c>
      <c r="C68" s="26">
        <v>45658.0</v>
      </c>
      <c r="D68" s="10" t="s">
        <v>53</v>
      </c>
      <c r="E68" s="10" t="s">
        <v>92</v>
      </c>
      <c r="F68" s="27">
        <v>754.0</v>
      </c>
      <c r="G68" s="27">
        <v>197.0</v>
      </c>
      <c r="H68" s="27">
        <v>257.0</v>
      </c>
      <c r="I68" s="27">
        <v>6786.0</v>
      </c>
      <c r="J68" s="27">
        <v>6221.0</v>
      </c>
      <c r="K68" s="27">
        <v>212.0</v>
      </c>
      <c r="L68" s="28" t="s">
        <v>21</v>
      </c>
      <c r="M68" s="10"/>
      <c r="N68" s="10"/>
      <c r="O68" s="29">
        <f t="shared" si="3"/>
        <v>0.1780135573</v>
      </c>
      <c r="P68" s="27">
        <f t="shared" si="2"/>
        <v>1208</v>
      </c>
    </row>
    <row r="69">
      <c r="A69" s="10" t="s">
        <v>81</v>
      </c>
      <c r="B69" s="10" t="s">
        <v>33</v>
      </c>
      <c r="C69" s="26">
        <v>45663.0</v>
      </c>
      <c r="D69" s="10" t="s">
        <v>34</v>
      </c>
      <c r="E69" s="10" t="s">
        <v>35</v>
      </c>
      <c r="F69" s="27">
        <v>3024.0</v>
      </c>
      <c r="G69" s="27">
        <v>925.0</v>
      </c>
      <c r="H69" s="27">
        <v>350.0</v>
      </c>
      <c r="I69" s="27">
        <v>24192.0</v>
      </c>
      <c r="J69" s="27">
        <v>23518.0</v>
      </c>
      <c r="K69" s="27">
        <v>36.0</v>
      </c>
      <c r="L69" s="28" t="s">
        <v>30</v>
      </c>
      <c r="M69" s="10"/>
      <c r="N69" s="10"/>
      <c r="O69" s="29">
        <f t="shared" si="3"/>
        <v>0.177703373</v>
      </c>
      <c r="P69" s="27">
        <f t="shared" si="2"/>
        <v>4299</v>
      </c>
    </row>
    <row r="70">
      <c r="A70" s="10" t="s">
        <v>292</v>
      </c>
      <c r="B70" s="10" t="s">
        <v>33</v>
      </c>
      <c r="C70" s="26">
        <v>45675.0</v>
      </c>
      <c r="D70" s="10" t="s">
        <v>28</v>
      </c>
      <c r="E70" s="10" t="s">
        <v>51</v>
      </c>
      <c r="F70" s="27">
        <v>4321.0</v>
      </c>
      <c r="G70" s="27">
        <v>874.0</v>
      </c>
      <c r="H70" s="27">
        <v>172.0</v>
      </c>
      <c r="I70" s="27">
        <v>30247.0</v>
      </c>
      <c r="J70" s="27">
        <v>29254.0</v>
      </c>
      <c r="K70" s="27">
        <v>122.0</v>
      </c>
      <c r="L70" s="28" t="s">
        <v>21</v>
      </c>
      <c r="M70" s="10"/>
      <c r="N70" s="10"/>
      <c r="O70" s="29">
        <f t="shared" si="3"/>
        <v>0.1774390849</v>
      </c>
      <c r="P70" s="27">
        <f t="shared" si="2"/>
        <v>5367</v>
      </c>
    </row>
    <row r="71">
      <c r="A71" s="10" t="s">
        <v>162</v>
      </c>
      <c r="B71" s="10" t="s">
        <v>13</v>
      </c>
      <c r="C71" s="26">
        <v>45570.0</v>
      </c>
      <c r="D71" s="10" t="s">
        <v>28</v>
      </c>
      <c r="E71" s="10" t="s">
        <v>95</v>
      </c>
      <c r="F71" s="27">
        <v>1957.0</v>
      </c>
      <c r="G71" s="27">
        <v>877.0</v>
      </c>
      <c r="H71" s="27">
        <v>238.0</v>
      </c>
      <c r="I71" s="27">
        <v>17613.0</v>
      </c>
      <c r="J71" s="27">
        <v>16865.0</v>
      </c>
      <c r="K71" s="27">
        <v>297.0</v>
      </c>
      <c r="L71" s="28" t="s">
        <v>16</v>
      </c>
      <c r="M71" s="10"/>
      <c r="N71" s="10"/>
      <c r="O71" s="29">
        <f t="shared" si="3"/>
        <v>0.1744166241</v>
      </c>
      <c r="P71" s="27">
        <f t="shared" si="2"/>
        <v>3072</v>
      </c>
    </row>
    <row r="72">
      <c r="A72" s="10" t="s">
        <v>179</v>
      </c>
      <c r="B72" s="10" t="s">
        <v>13</v>
      </c>
      <c r="C72" s="26">
        <v>45494.0</v>
      </c>
      <c r="D72" s="10" t="s">
        <v>19</v>
      </c>
      <c r="E72" s="10" t="s">
        <v>20</v>
      </c>
      <c r="F72" s="27">
        <v>2147.0</v>
      </c>
      <c r="G72" s="27">
        <v>430.0</v>
      </c>
      <c r="H72" s="27">
        <v>393.0</v>
      </c>
      <c r="I72" s="27">
        <v>17176.0</v>
      </c>
      <c r="J72" s="27">
        <v>16483.0</v>
      </c>
      <c r="K72" s="27">
        <v>170.0</v>
      </c>
      <c r="L72" s="28" t="s">
        <v>21</v>
      </c>
      <c r="M72" s="10"/>
      <c r="N72" s="10"/>
      <c r="O72" s="29">
        <f t="shared" si="3"/>
        <v>0.1729156963</v>
      </c>
      <c r="P72" s="27">
        <f t="shared" si="2"/>
        <v>2970</v>
      </c>
    </row>
    <row r="73">
      <c r="A73" s="10" t="s">
        <v>71</v>
      </c>
      <c r="B73" s="10" t="s">
        <v>27</v>
      </c>
      <c r="C73" s="26">
        <v>45720.0</v>
      </c>
      <c r="D73" s="10" t="s">
        <v>53</v>
      </c>
      <c r="E73" s="10" t="s">
        <v>60</v>
      </c>
      <c r="F73" s="27">
        <v>432.0</v>
      </c>
      <c r="G73" s="27">
        <v>624.0</v>
      </c>
      <c r="H73" s="27">
        <v>123.0</v>
      </c>
      <c r="I73" s="27">
        <v>6912.0</v>
      </c>
      <c r="J73" s="27">
        <v>6259.0</v>
      </c>
      <c r="K73" s="27">
        <v>79.0</v>
      </c>
      <c r="L73" s="28" t="s">
        <v>16</v>
      </c>
      <c r="M73" s="10"/>
      <c r="N73" s="10"/>
      <c r="O73" s="29">
        <f t="shared" si="3"/>
        <v>0.1705729167</v>
      </c>
      <c r="P73" s="27">
        <f t="shared" si="2"/>
        <v>1179</v>
      </c>
    </row>
    <row r="74">
      <c r="A74" s="10" t="s">
        <v>91</v>
      </c>
      <c r="B74" s="10" t="s">
        <v>13</v>
      </c>
      <c r="C74" s="26">
        <v>45779.0</v>
      </c>
      <c r="D74" s="10" t="s">
        <v>53</v>
      </c>
      <c r="E74" s="10" t="s">
        <v>92</v>
      </c>
      <c r="F74" s="27">
        <v>1108.0</v>
      </c>
      <c r="G74" s="27">
        <v>177.0</v>
      </c>
      <c r="H74" s="27">
        <v>212.0</v>
      </c>
      <c r="I74" s="27">
        <v>8864.0</v>
      </c>
      <c r="J74" s="27">
        <v>8710.0</v>
      </c>
      <c r="K74" s="27">
        <v>97.0</v>
      </c>
      <c r="L74" s="28" t="s">
        <v>21</v>
      </c>
      <c r="M74" s="10"/>
      <c r="N74" s="10"/>
      <c r="O74" s="29">
        <f t="shared" si="3"/>
        <v>0.1688853791</v>
      </c>
      <c r="P74" s="27">
        <f t="shared" si="2"/>
        <v>1497</v>
      </c>
    </row>
    <row r="75">
      <c r="A75" s="10" t="s">
        <v>139</v>
      </c>
      <c r="B75" s="10" t="s">
        <v>13</v>
      </c>
      <c r="C75" s="26">
        <v>45667.0</v>
      </c>
      <c r="D75" s="10" t="s">
        <v>39</v>
      </c>
      <c r="E75" s="10" t="s">
        <v>85</v>
      </c>
      <c r="F75" s="27">
        <v>2214.0</v>
      </c>
      <c r="G75" s="27">
        <v>249.0</v>
      </c>
      <c r="H75" s="27">
        <v>152.0</v>
      </c>
      <c r="I75" s="27">
        <v>15498.0</v>
      </c>
      <c r="J75" s="27">
        <v>14800.0</v>
      </c>
      <c r="K75" s="27">
        <v>180.0</v>
      </c>
      <c r="L75" s="28" t="s">
        <v>30</v>
      </c>
      <c r="M75" s="10"/>
      <c r="N75" s="10"/>
      <c r="O75" s="29">
        <f t="shared" si="3"/>
        <v>0.1687314492</v>
      </c>
      <c r="P75" s="27">
        <f t="shared" si="2"/>
        <v>2615</v>
      </c>
    </row>
    <row r="76">
      <c r="A76" s="10" t="s">
        <v>144</v>
      </c>
      <c r="B76" s="10" t="s">
        <v>27</v>
      </c>
      <c r="C76" s="26">
        <v>45603.0</v>
      </c>
      <c r="D76" s="10" t="s">
        <v>39</v>
      </c>
      <c r="E76" s="10" t="s">
        <v>131</v>
      </c>
      <c r="F76" s="27">
        <v>2647.0</v>
      </c>
      <c r="G76" s="27">
        <v>304.0</v>
      </c>
      <c r="H76" s="27">
        <v>170.0</v>
      </c>
      <c r="I76" s="27">
        <v>18529.0</v>
      </c>
      <c r="J76" s="27">
        <v>17841.0</v>
      </c>
      <c r="K76" s="27">
        <v>46.0</v>
      </c>
      <c r="L76" s="28" t="s">
        <v>16</v>
      </c>
      <c r="M76" s="10"/>
      <c r="N76" s="10"/>
      <c r="O76" s="29">
        <f t="shared" si="3"/>
        <v>0.1684386637</v>
      </c>
      <c r="P76" s="27">
        <f t="shared" si="2"/>
        <v>3121</v>
      </c>
    </row>
    <row r="77">
      <c r="A77" s="10" t="s">
        <v>166</v>
      </c>
      <c r="B77" s="10" t="s">
        <v>24</v>
      </c>
      <c r="C77" s="26">
        <v>45734.0</v>
      </c>
      <c r="D77" s="10" t="s">
        <v>14</v>
      </c>
      <c r="E77" s="10" t="s">
        <v>25</v>
      </c>
      <c r="F77" s="27">
        <v>3704.0</v>
      </c>
      <c r="G77" s="27">
        <v>186.0</v>
      </c>
      <c r="H77" s="27">
        <v>458.0</v>
      </c>
      <c r="I77" s="27">
        <v>25928.0</v>
      </c>
      <c r="J77" s="27">
        <v>25081.0</v>
      </c>
      <c r="K77" s="27">
        <v>131.0</v>
      </c>
      <c r="L77" s="28" t="s">
        <v>21</v>
      </c>
      <c r="M77" s="10"/>
      <c r="N77" s="10"/>
      <c r="O77" s="29">
        <f t="shared" si="3"/>
        <v>0.1676951558</v>
      </c>
      <c r="P77" s="27">
        <f t="shared" si="2"/>
        <v>4348</v>
      </c>
    </row>
    <row r="78">
      <c r="A78" s="10" t="s">
        <v>326</v>
      </c>
      <c r="B78" s="10" t="s">
        <v>33</v>
      </c>
      <c r="C78" s="26">
        <v>45509.0</v>
      </c>
      <c r="D78" s="10" t="s">
        <v>14</v>
      </c>
      <c r="E78" s="10" t="s">
        <v>47</v>
      </c>
      <c r="F78" s="27">
        <v>1741.0</v>
      </c>
      <c r="G78" s="27">
        <v>831.0</v>
      </c>
      <c r="H78" s="27">
        <v>345.0</v>
      </c>
      <c r="I78" s="27">
        <v>17410.0</v>
      </c>
      <c r="J78" s="27">
        <v>16844.0</v>
      </c>
      <c r="K78" s="27">
        <v>58.0</v>
      </c>
      <c r="L78" s="28" t="s">
        <v>30</v>
      </c>
      <c r="M78" s="10"/>
      <c r="N78" s="10"/>
      <c r="O78" s="29">
        <f t="shared" si="3"/>
        <v>0.1675473866</v>
      </c>
      <c r="P78" s="27">
        <f t="shared" si="2"/>
        <v>2917</v>
      </c>
    </row>
    <row r="79">
      <c r="A79" s="10" t="s">
        <v>159</v>
      </c>
      <c r="B79" s="10" t="s">
        <v>13</v>
      </c>
      <c r="C79" s="26">
        <v>45512.0</v>
      </c>
      <c r="D79" s="10" t="s">
        <v>28</v>
      </c>
      <c r="E79" s="10" t="s">
        <v>95</v>
      </c>
      <c r="F79" s="27">
        <v>3649.0</v>
      </c>
      <c r="G79" s="27">
        <v>215.0</v>
      </c>
      <c r="H79" s="27">
        <v>413.0</v>
      </c>
      <c r="I79" s="27">
        <v>25543.0</v>
      </c>
      <c r="J79" s="27">
        <v>24963.0</v>
      </c>
      <c r="K79" s="27">
        <v>167.0</v>
      </c>
      <c r="L79" s="28" t="s">
        <v>16</v>
      </c>
      <c r="M79" s="10"/>
      <c r="N79" s="10"/>
      <c r="O79" s="29">
        <f t="shared" si="3"/>
        <v>0.1674431351</v>
      </c>
      <c r="P79" s="27">
        <f t="shared" si="2"/>
        <v>4277</v>
      </c>
    </row>
    <row r="80">
      <c r="A80" s="10" t="s">
        <v>93</v>
      </c>
      <c r="B80" s="10" t="s">
        <v>13</v>
      </c>
      <c r="C80" s="26">
        <v>45712.0</v>
      </c>
      <c r="D80" s="10" t="s">
        <v>34</v>
      </c>
      <c r="E80" s="10" t="s">
        <v>37</v>
      </c>
      <c r="F80" s="27">
        <v>2704.0</v>
      </c>
      <c r="G80" s="27">
        <v>752.0</v>
      </c>
      <c r="H80" s="27">
        <v>153.0</v>
      </c>
      <c r="I80" s="27">
        <v>21632.0</v>
      </c>
      <c r="J80" s="27">
        <v>20792.0</v>
      </c>
      <c r="K80" s="27">
        <v>127.0</v>
      </c>
      <c r="L80" s="28" t="s">
        <v>16</v>
      </c>
      <c r="M80" s="10"/>
      <c r="N80" s="10"/>
      <c r="O80" s="29">
        <f t="shared" si="3"/>
        <v>0.1668361686</v>
      </c>
      <c r="P80" s="27">
        <f t="shared" si="2"/>
        <v>3609</v>
      </c>
    </row>
    <row r="81">
      <c r="A81" s="10" t="s">
        <v>346</v>
      </c>
      <c r="B81" s="10" t="s">
        <v>13</v>
      </c>
      <c r="C81" s="26">
        <v>45783.0</v>
      </c>
      <c r="D81" s="10" t="s">
        <v>39</v>
      </c>
      <c r="E81" s="10" t="s">
        <v>85</v>
      </c>
      <c r="F81" s="27">
        <v>1952.0</v>
      </c>
      <c r="G81" s="27">
        <v>344.0</v>
      </c>
      <c r="H81" s="27">
        <v>287.0</v>
      </c>
      <c r="I81" s="27">
        <v>15616.0</v>
      </c>
      <c r="J81" s="27">
        <v>15403.0</v>
      </c>
      <c r="K81" s="27">
        <v>235.0</v>
      </c>
      <c r="L81" s="28" t="s">
        <v>16</v>
      </c>
      <c r="M81" s="28" t="s">
        <v>21</v>
      </c>
      <c r="N81" s="28" t="s">
        <v>17</v>
      </c>
      <c r="O81" s="29">
        <f t="shared" si="3"/>
        <v>0.1654072746</v>
      </c>
      <c r="P81" s="27">
        <f t="shared" si="2"/>
        <v>2583</v>
      </c>
    </row>
    <row r="82">
      <c r="A82" s="10" t="s">
        <v>102</v>
      </c>
      <c r="B82" s="10" t="s">
        <v>24</v>
      </c>
      <c r="C82" s="26">
        <v>45729.0</v>
      </c>
      <c r="D82" s="10" t="s">
        <v>34</v>
      </c>
      <c r="E82" s="10" t="s">
        <v>49</v>
      </c>
      <c r="F82" s="27">
        <v>1686.0</v>
      </c>
      <c r="G82" s="27">
        <v>904.0</v>
      </c>
      <c r="H82" s="27">
        <v>472.0</v>
      </c>
      <c r="I82" s="27">
        <v>18546.0</v>
      </c>
      <c r="J82" s="27">
        <v>18171.0</v>
      </c>
      <c r="K82" s="27">
        <v>52.0</v>
      </c>
      <c r="L82" s="28" t="s">
        <v>16</v>
      </c>
      <c r="M82" s="10"/>
      <c r="N82" s="10"/>
      <c r="O82" s="29">
        <f t="shared" si="3"/>
        <v>0.1651029872</v>
      </c>
      <c r="P82" s="27">
        <f t="shared" si="2"/>
        <v>3062</v>
      </c>
    </row>
    <row r="83">
      <c r="A83" s="10" t="s">
        <v>108</v>
      </c>
      <c r="B83" s="10" t="s">
        <v>27</v>
      </c>
      <c r="C83" s="26">
        <v>45685.0</v>
      </c>
      <c r="D83" s="10" t="s">
        <v>53</v>
      </c>
      <c r="E83" s="10" t="s">
        <v>60</v>
      </c>
      <c r="F83" s="27">
        <v>904.0</v>
      </c>
      <c r="G83" s="27">
        <v>973.0</v>
      </c>
      <c r="H83" s="27">
        <v>63.0</v>
      </c>
      <c r="I83" s="27">
        <v>11752.0</v>
      </c>
      <c r="J83" s="27">
        <v>11580.0</v>
      </c>
      <c r="K83" s="27">
        <v>84.0</v>
      </c>
      <c r="L83" s="28" t="s">
        <v>30</v>
      </c>
      <c r="M83" s="28" t="s">
        <v>21</v>
      </c>
      <c r="N83" s="28" t="s">
        <v>17</v>
      </c>
      <c r="O83" s="29">
        <f t="shared" si="3"/>
        <v>0.1650782845</v>
      </c>
      <c r="P83" s="27">
        <f t="shared" si="2"/>
        <v>1940</v>
      </c>
    </row>
    <row r="84">
      <c r="A84" s="10" t="s">
        <v>132</v>
      </c>
      <c r="B84" s="10" t="s">
        <v>24</v>
      </c>
      <c r="C84" s="26">
        <v>45580.0</v>
      </c>
      <c r="D84" s="10" t="s">
        <v>53</v>
      </c>
      <c r="E84" s="10" t="s">
        <v>133</v>
      </c>
      <c r="F84" s="27">
        <v>1094.0</v>
      </c>
      <c r="G84" s="27">
        <v>472.0</v>
      </c>
      <c r="H84" s="27">
        <v>21.0</v>
      </c>
      <c r="I84" s="27">
        <v>9846.0</v>
      </c>
      <c r="J84" s="27">
        <v>9609.0</v>
      </c>
      <c r="K84" s="27">
        <v>112.0</v>
      </c>
      <c r="L84" s="28" t="s">
        <v>30</v>
      </c>
      <c r="M84" s="10"/>
      <c r="N84" s="10"/>
      <c r="O84" s="29">
        <f t="shared" si="3"/>
        <v>0.161182206</v>
      </c>
      <c r="P84" s="27">
        <f t="shared" si="2"/>
        <v>1587</v>
      </c>
    </row>
    <row r="85">
      <c r="A85" s="10" t="s">
        <v>188</v>
      </c>
      <c r="B85" s="10" t="s">
        <v>13</v>
      </c>
      <c r="C85" s="26">
        <v>45745.0</v>
      </c>
      <c r="D85" s="10" t="s">
        <v>39</v>
      </c>
      <c r="E85" s="10" t="s">
        <v>85</v>
      </c>
      <c r="F85" s="27">
        <v>305.0</v>
      </c>
      <c r="G85" s="27">
        <v>187.0</v>
      </c>
      <c r="H85" s="27">
        <v>243.0</v>
      </c>
      <c r="I85" s="27">
        <v>4575.0</v>
      </c>
      <c r="J85" s="27">
        <v>3704.0</v>
      </c>
      <c r="K85" s="27">
        <v>234.0</v>
      </c>
      <c r="L85" s="28" t="s">
        <v>16</v>
      </c>
      <c r="M85" s="10"/>
      <c r="N85" s="10"/>
      <c r="O85" s="29">
        <f t="shared" si="3"/>
        <v>0.1606557377</v>
      </c>
      <c r="P85" s="27">
        <f t="shared" si="2"/>
        <v>735</v>
      </c>
    </row>
    <row r="86">
      <c r="A86" s="10" t="s">
        <v>272</v>
      </c>
      <c r="B86" s="10" t="s">
        <v>33</v>
      </c>
      <c r="C86" s="26">
        <v>45739.0</v>
      </c>
      <c r="D86" s="10" t="s">
        <v>53</v>
      </c>
      <c r="E86" s="10" t="s">
        <v>54</v>
      </c>
      <c r="F86" s="27">
        <v>4453.0</v>
      </c>
      <c r="G86" s="27">
        <v>111.0</v>
      </c>
      <c r="H86" s="27">
        <v>420.0</v>
      </c>
      <c r="I86" s="27">
        <v>31171.0</v>
      </c>
      <c r="J86" s="27">
        <v>30565.0</v>
      </c>
      <c r="K86" s="27">
        <v>23.0</v>
      </c>
      <c r="L86" s="28" t="s">
        <v>21</v>
      </c>
      <c r="M86" s="10"/>
      <c r="N86" s="10"/>
      <c r="O86" s="29">
        <f t="shared" si="3"/>
        <v>0.1598922075</v>
      </c>
      <c r="P86" s="27">
        <f t="shared" si="2"/>
        <v>4984</v>
      </c>
    </row>
    <row r="87">
      <c r="A87" s="10" t="s">
        <v>303</v>
      </c>
      <c r="B87" s="10" t="s">
        <v>33</v>
      </c>
      <c r="C87" s="26">
        <v>45775.0</v>
      </c>
      <c r="D87" s="10" t="s">
        <v>34</v>
      </c>
      <c r="E87" s="10" t="s">
        <v>35</v>
      </c>
      <c r="F87" s="27">
        <v>2089.0</v>
      </c>
      <c r="G87" s="27">
        <v>476.0</v>
      </c>
      <c r="H87" s="27">
        <v>69.0</v>
      </c>
      <c r="I87" s="27">
        <v>16712.0</v>
      </c>
      <c r="J87" s="27">
        <v>16309.0</v>
      </c>
      <c r="K87" s="27">
        <v>64.0</v>
      </c>
      <c r="L87" s="28" t="s">
        <v>16</v>
      </c>
      <c r="M87" s="10"/>
      <c r="N87" s="10"/>
      <c r="O87" s="29">
        <f t="shared" si="3"/>
        <v>0.1576112973</v>
      </c>
      <c r="P87" s="27">
        <f t="shared" si="2"/>
        <v>2634</v>
      </c>
    </row>
    <row r="88">
      <c r="A88" s="10" t="s">
        <v>100</v>
      </c>
      <c r="B88" s="10" t="s">
        <v>33</v>
      </c>
      <c r="C88" s="26">
        <v>45660.0</v>
      </c>
      <c r="D88" s="10" t="s">
        <v>39</v>
      </c>
      <c r="E88" s="10" t="s">
        <v>44</v>
      </c>
      <c r="F88" s="27">
        <v>947.0</v>
      </c>
      <c r="G88" s="27">
        <v>338.0</v>
      </c>
      <c r="H88" s="27">
        <v>350.0</v>
      </c>
      <c r="I88" s="27">
        <v>10417.0</v>
      </c>
      <c r="J88" s="27">
        <v>9730.0</v>
      </c>
      <c r="K88" s="27">
        <v>34.0</v>
      </c>
      <c r="L88" s="28" t="s">
        <v>21</v>
      </c>
      <c r="M88" s="10"/>
      <c r="N88" s="10"/>
      <c r="O88" s="29">
        <f t="shared" si="3"/>
        <v>0.1569549774</v>
      </c>
      <c r="P88" s="27">
        <f t="shared" si="2"/>
        <v>1635</v>
      </c>
    </row>
    <row r="89">
      <c r="A89" s="10" t="s">
        <v>190</v>
      </c>
      <c r="B89" s="10" t="s">
        <v>33</v>
      </c>
      <c r="C89" s="26">
        <v>45488.0</v>
      </c>
      <c r="D89" s="10" t="s">
        <v>39</v>
      </c>
      <c r="E89" s="10" t="s">
        <v>44</v>
      </c>
      <c r="F89" s="27">
        <v>2291.0</v>
      </c>
      <c r="G89" s="27">
        <v>78.0</v>
      </c>
      <c r="H89" s="27">
        <v>485.0</v>
      </c>
      <c r="I89" s="27">
        <v>18328.0</v>
      </c>
      <c r="J89" s="27">
        <v>18101.0</v>
      </c>
      <c r="K89" s="27">
        <v>10.0</v>
      </c>
      <c r="L89" s="28" t="s">
        <v>30</v>
      </c>
      <c r="M89" s="28" t="s">
        <v>191</v>
      </c>
      <c r="N89" s="10"/>
      <c r="O89" s="29">
        <f t="shared" si="3"/>
        <v>0.1557180271</v>
      </c>
      <c r="P89" s="27">
        <f t="shared" si="2"/>
        <v>2854</v>
      </c>
    </row>
    <row r="90">
      <c r="A90" s="10" t="s">
        <v>216</v>
      </c>
      <c r="B90" s="10" t="s">
        <v>13</v>
      </c>
      <c r="C90" s="26">
        <v>45637.0</v>
      </c>
      <c r="D90" s="10" t="s">
        <v>19</v>
      </c>
      <c r="E90" s="10" t="s">
        <v>20</v>
      </c>
      <c r="F90" s="27">
        <v>3239.0</v>
      </c>
      <c r="G90" s="27">
        <v>43.0</v>
      </c>
      <c r="H90" s="27">
        <v>211.0</v>
      </c>
      <c r="I90" s="27">
        <v>22673.0</v>
      </c>
      <c r="J90" s="27">
        <v>22171.0</v>
      </c>
      <c r="K90" s="27">
        <v>230.0</v>
      </c>
      <c r="L90" s="28" t="s">
        <v>21</v>
      </c>
      <c r="M90" s="10"/>
      <c r="N90" s="10"/>
      <c r="O90" s="29">
        <f t="shared" si="3"/>
        <v>0.154059895</v>
      </c>
      <c r="P90" s="27">
        <f t="shared" si="2"/>
        <v>3493</v>
      </c>
    </row>
    <row r="91">
      <c r="A91" s="10" t="s">
        <v>215</v>
      </c>
      <c r="B91" s="10" t="s">
        <v>24</v>
      </c>
      <c r="C91" s="26">
        <v>45715.0</v>
      </c>
      <c r="D91" s="10" t="s">
        <v>19</v>
      </c>
      <c r="E91" s="10" t="s">
        <v>70</v>
      </c>
      <c r="F91" s="27">
        <v>4934.0</v>
      </c>
      <c r="G91" s="27">
        <v>971.0</v>
      </c>
      <c r="H91" s="27">
        <v>156.0</v>
      </c>
      <c r="I91" s="27">
        <v>39472.0</v>
      </c>
      <c r="J91" s="27">
        <v>39025.0</v>
      </c>
      <c r="K91" s="27">
        <v>169.0</v>
      </c>
      <c r="L91" s="28" t="s">
        <v>21</v>
      </c>
      <c r="M91" s="28" t="s">
        <v>17</v>
      </c>
      <c r="N91" s="10"/>
      <c r="O91" s="29">
        <f t="shared" si="3"/>
        <v>0.1535518849</v>
      </c>
      <c r="P91" s="27">
        <f t="shared" si="2"/>
        <v>6061</v>
      </c>
    </row>
    <row r="92">
      <c r="A92" s="10" t="s">
        <v>313</v>
      </c>
      <c r="B92" s="10" t="s">
        <v>24</v>
      </c>
      <c r="C92" s="26">
        <v>45675.0</v>
      </c>
      <c r="D92" s="10" t="s">
        <v>39</v>
      </c>
      <c r="E92" s="10" t="s">
        <v>40</v>
      </c>
      <c r="F92" s="27">
        <v>1206.0</v>
      </c>
      <c r="G92" s="27">
        <v>238.0</v>
      </c>
      <c r="H92" s="27">
        <v>36.0</v>
      </c>
      <c r="I92" s="27">
        <v>9648.0</v>
      </c>
      <c r="J92" s="27">
        <v>9417.0</v>
      </c>
      <c r="K92" s="27">
        <v>237.0</v>
      </c>
      <c r="L92" s="28" t="s">
        <v>21</v>
      </c>
      <c r="M92" s="10"/>
      <c r="N92" s="10"/>
      <c r="O92" s="29">
        <f t="shared" si="3"/>
        <v>0.1533996683</v>
      </c>
      <c r="P92" s="27">
        <f t="shared" si="2"/>
        <v>1480</v>
      </c>
    </row>
    <row r="93">
      <c r="A93" s="10" t="s">
        <v>198</v>
      </c>
      <c r="B93" s="10" t="s">
        <v>27</v>
      </c>
      <c r="C93" s="26">
        <v>45586.0</v>
      </c>
      <c r="D93" s="10" t="s">
        <v>14</v>
      </c>
      <c r="E93" s="10" t="s">
        <v>58</v>
      </c>
      <c r="F93" s="27">
        <v>3256.0</v>
      </c>
      <c r="G93" s="27">
        <v>459.0</v>
      </c>
      <c r="H93" s="27">
        <v>266.0</v>
      </c>
      <c r="I93" s="27">
        <v>26048.0</v>
      </c>
      <c r="J93" s="27">
        <v>25529.0</v>
      </c>
      <c r="K93" s="27">
        <v>143.0</v>
      </c>
      <c r="L93" s="28" t="s">
        <v>21</v>
      </c>
      <c r="M93" s="10"/>
      <c r="N93" s="10"/>
      <c r="O93" s="29">
        <f t="shared" si="3"/>
        <v>0.152833231</v>
      </c>
      <c r="P93" s="27">
        <f t="shared" si="2"/>
        <v>3981</v>
      </c>
    </row>
    <row r="94">
      <c r="A94" s="10" t="s">
        <v>26</v>
      </c>
      <c r="B94" s="10" t="s">
        <v>27</v>
      </c>
      <c r="C94" s="26">
        <v>45516.0</v>
      </c>
      <c r="D94" s="10" t="s">
        <v>28</v>
      </c>
      <c r="E94" s="10" t="s">
        <v>29</v>
      </c>
      <c r="F94" s="27">
        <v>2404.0</v>
      </c>
      <c r="G94" s="27">
        <v>363.0</v>
      </c>
      <c r="H94" s="27">
        <v>138.0</v>
      </c>
      <c r="I94" s="27">
        <v>19232.0</v>
      </c>
      <c r="J94" s="27">
        <v>18636.0</v>
      </c>
      <c r="K94" s="27">
        <v>128.0</v>
      </c>
      <c r="L94" s="28" t="s">
        <v>30</v>
      </c>
      <c r="M94" s="10"/>
      <c r="N94" s="10"/>
      <c r="O94" s="29">
        <f t="shared" si="3"/>
        <v>0.1510503328</v>
      </c>
      <c r="P94" s="27">
        <f t="shared" si="2"/>
        <v>2905</v>
      </c>
    </row>
    <row r="95">
      <c r="A95" s="10" t="s">
        <v>50</v>
      </c>
      <c r="B95" s="10" t="s">
        <v>33</v>
      </c>
      <c r="C95" s="26">
        <v>45704.0</v>
      </c>
      <c r="D95" s="10" t="s">
        <v>28</v>
      </c>
      <c r="E95" s="10" t="s">
        <v>51</v>
      </c>
      <c r="F95" s="27">
        <v>4242.0</v>
      </c>
      <c r="G95" s="27">
        <v>555.0</v>
      </c>
      <c r="H95" s="27">
        <v>131.0</v>
      </c>
      <c r="I95" s="27">
        <v>33936.0</v>
      </c>
      <c r="J95" s="27">
        <v>33802.0</v>
      </c>
      <c r="K95" s="27">
        <v>265.0</v>
      </c>
      <c r="L95" s="28" t="s">
        <v>16</v>
      </c>
      <c r="M95" s="10"/>
      <c r="N95" s="10"/>
      <c r="O95" s="29">
        <f t="shared" si="3"/>
        <v>0.1452145215</v>
      </c>
      <c r="P95" s="27">
        <f t="shared" si="2"/>
        <v>4928</v>
      </c>
    </row>
    <row r="96">
      <c r="A96" s="10" t="s">
        <v>243</v>
      </c>
      <c r="B96" s="10" t="s">
        <v>27</v>
      </c>
      <c r="C96" s="26">
        <v>45625.0</v>
      </c>
      <c r="D96" s="10" t="s">
        <v>53</v>
      </c>
      <c r="E96" s="10" t="s">
        <v>60</v>
      </c>
      <c r="F96" s="27">
        <v>1176.0</v>
      </c>
      <c r="G96" s="27">
        <v>464.0</v>
      </c>
      <c r="H96" s="27">
        <v>394.0</v>
      </c>
      <c r="I96" s="27">
        <v>14112.0</v>
      </c>
      <c r="J96" s="27">
        <v>13588.0</v>
      </c>
      <c r="K96" s="27">
        <v>272.0</v>
      </c>
      <c r="L96" s="28" t="s">
        <v>30</v>
      </c>
      <c r="M96" s="10"/>
      <c r="N96" s="10"/>
      <c r="O96" s="29">
        <f t="shared" si="3"/>
        <v>0.1441326531</v>
      </c>
      <c r="P96" s="27">
        <f t="shared" si="2"/>
        <v>2034</v>
      </c>
    </row>
    <row r="97">
      <c r="A97" s="10" t="s">
        <v>224</v>
      </c>
      <c r="B97" s="10" t="s">
        <v>13</v>
      </c>
      <c r="C97" s="26">
        <v>45631.0</v>
      </c>
      <c r="D97" s="10" t="s">
        <v>53</v>
      </c>
      <c r="E97" s="10" t="s">
        <v>92</v>
      </c>
      <c r="F97" s="27">
        <v>1330.0</v>
      </c>
      <c r="G97" s="27">
        <v>925.0</v>
      </c>
      <c r="H97" s="27">
        <v>35.0</v>
      </c>
      <c r="I97" s="27">
        <v>15960.0</v>
      </c>
      <c r="J97" s="27">
        <v>15379.0</v>
      </c>
      <c r="K97" s="27">
        <v>229.0</v>
      </c>
      <c r="L97" s="28" t="s">
        <v>16</v>
      </c>
      <c r="M97" s="10"/>
      <c r="N97" s="10"/>
      <c r="O97" s="29">
        <f t="shared" si="3"/>
        <v>0.1434837093</v>
      </c>
      <c r="P97" s="27">
        <f t="shared" si="2"/>
        <v>2290</v>
      </c>
    </row>
    <row r="98">
      <c r="A98" s="10" t="s">
        <v>217</v>
      </c>
      <c r="B98" s="10" t="s">
        <v>13</v>
      </c>
      <c r="C98" s="26">
        <v>45704.0</v>
      </c>
      <c r="D98" s="10" t="s">
        <v>14</v>
      </c>
      <c r="E98" s="10" t="s">
        <v>15</v>
      </c>
      <c r="F98" s="27">
        <v>1076.0</v>
      </c>
      <c r="G98" s="27">
        <v>313.0</v>
      </c>
      <c r="H98" s="27">
        <v>306.0</v>
      </c>
      <c r="I98" s="27">
        <v>11836.0</v>
      </c>
      <c r="J98" s="27">
        <v>11596.0</v>
      </c>
      <c r="K98" s="27">
        <v>104.0</v>
      </c>
      <c r="L98" s="28" t="s">
        <v>16</v>
      </c>
      <c r="M98" s="10"/>
      <c r="N98" s="10"/>
      <c r="O98" s="29">
        <f t="shared" si="3"/>
        <v>0.1432071646</v>
      </c>
      <c r="P98" s="27">
        <f t="shared" si="2"/>
        <v>1695</v>
      </c>
    </row>
    <row r="99">
      <c r="A99" s="10" t="s">
        <v>258</v>
      </c>
      <c r="B99" s="10" t="s">
        <v>13</v>
      </c>
      <c r="C99" s="26">
        <v>45655.0</v>
      </c>
      <c r="D99" s="10" t="s">
        <v>34</v>
      </c>
      <c r="E99" s="10" t="s">
        <v>37</v>
      </c>
      <c r="F99" s="27">
        <v>4274.0</v>
      </c>
      <c r="G99" s="27">
        <v>340.0</v>
      </c>
      <c r="H99" s="27">
        <v>281.0</v>
      </c>
      <c r="I99" s="27">
        <v>34192.0</v>
      </c>
      <c r="J99" s="27">
        <v>33446.0</v>
      </c>
      <c r="K99" s="27">
        <v>129.0</v>
      </c>
      <c r="L99" s="28" t="s">
        <v>21</v>
      </c>
      <c r="M99" s="28" t="s">
        <v>191</v>
      </c>
      <c r="N99" s="10"/>
      <c r="O99" s="29">
        <f t="shared" si="3"/>
        <v>0.1431621432</v>
      </c>
      <c r="P99" s="27">
        <f t="shared" si="2"/>
        <v>4895</v>
      </c>
    </row>
    <row r="100">
      <c r="A100" s="10" t="s">
        <v>109</v>
      </c>
      <c r="B100" s="10" t="s">
        <v>13</v>
      </c>
      <c r="C100" s="26">
        <v>45540.0</v>
      </c>
      <c r="D100" s="10" t="s">
        <v>53</v>
      </c>
      <c r="E100" s="10" t="s">
        <v>92</v>
      </c>
      <c r="F100" s="27">
        <v>4886.0</v>
      </c>
      <c r="G100" s="27">
        <v>983.0</v>
      </c>
      <c r="H100" s="27">
        <v>409.0</v>
      </c>
      <c r="I100" s="27">
        <v>43974.0</v>
      </c>
      <c r="J100" s="27">
        <v>43239.0</v>
      </c>
      <c r="K100" s="27">
        <v>65.0</v>
      </c>
      <c r="L100" s="28" t="s">
        <v>21</v>
      </c>
      <c r="M100" s="10"/>
      <c r="N100" s="10"/>
      <c r="O100" s="29">
        <f t="shared" si="3"/>
        <v>0.14276618</v>
      </c>
      <c r="P100" s="27">
        <f t="shared" si="2"/>
        <v>6278</v>
      </c>
    </row>
    <row r="101">
      <c r="A101" s="10" t="s">
        <v>175</v>
      </c>
      <c r="B101" s="10" t="s">
        <v>13</v>
      </c>
      <c r="C101" s="26">
        <v>45543.0</v>
      </c>
      <c r="D101" s="10" t="s">
        <v>34</v>
      </c>
      <c r="E101" s="10" t="s">
        <v>37</v>
      </c>
      <c r="F101" s="27">
        <v>3811.0</v>
      </c>
      <c r="G101" s="27">
        <v>866.0</v>
      </c>
      <c r="H101" s="27">
        <v>216.0</v>
      </c>
      <c r="I101" s="27">
        <v>34299.0</v>
      </c>
      <c r="J101" s="27">
        <v>34088.0</v>
      </c>
      <c r="K101" s="27">
        <v>233.0</v>
      </c>
      <c r="L101" s="28" t="s">
        <v>21</v>
      </c>
      <c r="M101" s="10"/>
      <c r="N101" s="10"/>
      <c r="O101" s="29">
        <f t="shared" si="3"/>
        <v>0.1426572203</v>
      </c>
      <c r="P101" s="27">
        <f t="shared" si="2"/>
        <v>4893</v>
      </c>
    </row>
    <row r="102">
      <c r="A102" s="10" t="s">
        <v>323</v>
      </c>
      <c r="B102" s="10" t="s">
        <v>27</v>
      </c>
      <c r="C102" s="26">
        <v>45743.0</v>
      </c>
      <c r="D102" s="10" t="s">
        <v>19</v>
      </c>
      <c r="E102" s="10" t="s">
        <v>75</v>
      </c>
      <c r="F102" s="27">
        <v>4941.0</v>
      </c>
      <c r="G102" s="27">
        <v>414.0</v>
      </c>
      <c r="H102" s="27">
        <v>266.0</v>
      </c>
      <c r="I102" s="27">
        <v>39528.0</v>
      </c>
      <c r="J102" s="27">
        <v>39154.0</v>
      </c>
      <c r="K102" s="27">
        <v>217.0</v>
      </c>
      <c r="L102" s="28" t="s">
        <v>21</v>
      </c>
      <c r="M102" s="10"/>
      <c r="N102" s="10"/>
      <c r="O102" s="29">
        <f t="shared" si="3"/>
        <v>0.1422029953</v>
      </c>
      <c r="P102" s="27">
        <f t="shared" si="2"/>
        <v>5621</v>
      </c>
    </row>
    <row r="103">
      <c r="A103" s="10" t="s">
        <v>84</v>
      </c>
      <c r="B103" s="10" t="s">
        <v>13</v>
      </c>
      <c r="C103" s="26">
        <v>45723.0</v>
      </c>
      <c r="D103" s="10" t="s">
        <v>39</v>
      </c>
      <c r="E103" s="10" t="s">
        <v>85</v>
      </c>
      <c r="F103" s="27">
        <v>4750.0</v>
      </c>
      <c r="G103" s="27">
        <v>151.0</v>
      </c>
      <c r="H103" s="27">
        <v>415.0</v>
      </c>
      <c r="I103" s="27">
        <v>38000.0</v>
      </c>
      <c r="J103" s="27">
        <v>37792.0</v>
      </c>
      <c r="K103" s="27">
        <v>299.0</v>
      </c>
      <c r="L103" s="28" t="s">
        <v>30</v>
      </c>
      <c r="M103" s="10"/>
      <c r="N103" s="10"/>
      <c r="O103" s="29">
        <f t="shared" si="3"/>
        <v>0.1398947368</v>
      </c>
      <c r="P103" s="27">
        <f t="shared" si="2"/>
        <v>5316</v>
      </c>
    </row>
    <row r="104">
      <c r="A104" s="10" t="s">
        <v>350</v>
      </c>
      <c r="B104" s="10" t="s">
        <v>33</v>
      </c>
      <c r="C104" s="26">
        <v>45530.0</v>
      </c>
      <c r="D104" s="10" t="s">
        <v>39</v>
      </c>
      <c r="E104" s="10" t="s">
        <v>44</v>
      </c>
      <c r="F104" s="27">
        <v>2581.0</v>
      </c>
      <c r="G104" s="27">
        <v>517.0</v>
      </c>
      <c r="H104" s="27">
        <v>117.0</v>
      </c>
      <c r="I104" s="27">
        <v>23229.0</v>
      </c>
      <c r="J104" s="27">
        <v>22331.0</v>
      </c>
      <c r="K104" s="27">
        <v>70.0</v>
      </c>
      <c r="L104" s="28" t="s">
        <v>16</v>
      </c>
      <c r="M104" s="10"/>
      <c r="N104" s="10"/>
      <c r="O104" s="29">
        <f t="shared" si="3"/>
        <v>0.1384045805</v>
      </c>
      <c r="P104" s="27">
        <f t="shared" si="2"/>
        <v>3215</v>
      </c>
    </row>
    <row r="105">
      <c r="A105" s="10" t="s">
        <v>225</v>
      </c>
      <c r="B105" s="10" t="s">
        <v>33</v>
      </c>
      <c r="C105" s="26">
        <v>45465.0</v>
      </c>
      <c r="D105" s="10" t="s">
        <v>19</v>
      </c>
      <c r="E105" s="10" t="s">
        <v>42</v>
      </c>
      <c r="F105" s="27">
        <v>3828.0</v>
      </c>
      <c r="G105" s="27">
        <v>148.0</v>
      </c>
      <c r="H105" s="27">
        <v>253.0</v>
      </c>
      <c r="I105" s="27">
        <v>30624.0</v>
      </c>
      <c r="J105" s="27">
        <v>30229.0</v>
      </c>
      <c r="K105" s="27">
        <v>235.0</v>
      </c>
      <c r="L105" s="28" t="s">
        <v>30</v>
      </c>
      <c r="M105" s="10"/>
      <c r="N105" s="10"/>
      <c r="O105" s="29">
        <f t="shared" si="3"/>
        <v>0.1380943051</v>
      </c>
      <c r="P105" s="27">
        <f t="shared" si="2"/>
        <v>4229</v>
      </c>
    </row>
    <row r="106">
      <c r="A106" s="10" t="s">
        <v>154</v>
      </c>
      <c r="B106" s="10" t="s">
        <v>24</v>
      </c>
      <c r="C106" s="26">
        <v>45739.0</v>
      </c>
      <c r="D106" s="10" t="s">
        <v>28</v>
      </c>
      <c r="E106" s="10" t="s">
        <v>98</v>
      </c>
      <c r="F106" s="27">
        <v>3655.0</v>
      </c>
      <c r="G106" s="27">
        <v>568.0</v>
      </c>
      <c r="H106" s="27">
        <v>286.0</v>
      </c>
      <c r="I106" s="27">
        <v>32895.0</v>
      </c>
      <c r="J106" s="27">
        <v>32015.0</v>
      </c>
      <c r="K106" s="27">
        <v>199.0</v>
      </c>
      <c r="L106" s="28" t="s">
        <v>21</v>
      </c>
      <c r="M106" s="10"/>
      <c r="N106" s="10"/>
      <c r="O106" s="29">
        <f t="shared" si="3"/>
        <v>0.1370725034</v>
      </c>
      <c r="P106" s="27">
        <f t="shared" si="2"/>
        <v>4509</v>
      </c>
    </row>
    <row r="107">
      <c r="A107" s="10" t="s">
        <v>246</v>
      </c>
      <c r="B107" s="10" t="s">
        <v>27</v>
      </c>
      <c r="C107" s="26">
        <v>45519.0</v>
      </c>
      <c r="D107" s="10" t="s">
        <v>34</v>
      </c>
      <c r="E107" s="10" t="s">
        <v>62</v>
      </c>
      <c r="F107" s="27">
        <v>914.0</v>
      </c>
      <c r="G107" s="27">
        <v>464.0</v>
      </c>
      <c r="H107" s="27">
        <v>246.0</v>
      </c>
      <c r="I107" s="27">
        <v>11882.0</v>
      </c>
      <c r="J107" s="27">
        <v>11500.0</v>
      </c>
      <c r="K107" s="27">
        <v>282.0</v>
      </c>
      <c r="L107" s="28" t="s">
        <v>16</v>
      </c>
      <c r="M107" s="28" t="s">
        <v>21</v>
      </c>
      <c r="N107" s="28" t="s">
        <v>17</v>
      </c>
      <c r="O107" s="29">
        <f t="shared" si="3"/>
        <v>0.136677327</v>
      </c>
      <c r="P107" s="27">
        <f t="shared" si="2"/>
        <v>1624</v>
      </c>
    </row>
    <row r="108">
      <c r="A108" s="10" t="s">
        <v>235</v>
      </c>
      <c r="B108" s="10" t="s">
        <v>13</v>
      </c>
      <c r="C108" s="26">
        <v>45501.0</v>
      </c>
      <c r="D108" s="10" t="s">
        <v>39</v>
      </c>
      <c r="E108" s="10" t="s">
        <v>85</v>
      </c>
      <c r="F108" s="27">
        <v>3215.0</v>
      </c>
      <c r="G108" s="27">
        <v>960.0</v>
      </c>
      <c r="H108" s="27">
        <v>202.0</v>
      </c>
      <c r="I108" s="27">
        <v>32150.0</v>
      </c>
      <c r="J108" s="27">
        <v>31404.0</v>
      </c>
      <c r="K108" s="27">
        <v>251.0</v>
      </c>
      <c r="L108" s="28" t="s">
        <v>30</v>
      </c>
      <c r="M108" s="10"/>
      <c r="N108" s="10"/>
      <c r="O108" s="29">
        <f t="shared" si="3"/>
        <v>0.1361430793</v>
      </c>
      <c r="P108" s="27">
        <f t="shared" si="2"/>
        <v>4377</v>
      </c>
    </row>
    <row r="109">
      <c r="A109" s="10" t="s">
        <v>142</v>
      </c>
      <c r="B109" s="10" t="s">
        <v>13</v>
      </c>
      <c r="C109" s="26">
        <v>45586.0</v>
      </c>
      <c r="D109" s="10" t="s">
        <v>28</v>
      </c>
      <c r="E109" s="10" t="s">
        <v>95</v>
      </c>
      <c r="F109" s="27">
        <v>3801.0</v>
      </c>
      <c r="G109" s="27">
        <v>967.0</v>
      </c>
      <c r="H109" s="27">
        <v>401.0</v>
      </c>
      <c r="I109" s="27">
        <v>38010.0</v>
      </c>
      <c r="J109" s="27">
        <v>37625.0</v>
      </c>
      <c r="K109" s="27">
        <v>236.0</v>
      </c>
      <c r="L109" s="28" t="s">
        <v>16</v>
      </c>
      <c r="M109" s="10"/>
      <c r="N109" s="10"/>
      <c r="O109" s="29">
        <f t="shared" si="3"/>
        <v>0.1359905288</v>
      </c>
      <c r="P109" s="27">
        <f t="shared" si="2"/>
        <v>5169</v>
      </c>
    </row>
    <row r="110">
      <c r="A110" s="10" t="s">
        <v>138</v>
      </c>
      <c r="B110" s="10" t="s">
        <v>33</v>
      </c>
      <c r="C110" s="26">
        <v>45480.0</v>
      </c>
      <c r="D110" s="10" t="s">
        <v>28</v>
      </c>
      <c r="E110" s="10" t="s">
        <v>51</v>
      </c>
      <c r="F110" s="27">
        <v>302.0</v>
      </c>
      <c r="G110" s="27">
        <v>47.0</v>
      </c>
      <c r="H110" s="27">
        <v>430.0</v>
      </c>
      <c r="I110" s="27">
        <v>5738.0</v>
      </c>
      <c r="J110" s="27">
        <v>4890.0</v>
      </c>
      <c r="K110" s="27">
        <v>25.0</v>
      </c>
      <c r="L110" s="28" t="s">
        <v>21</v>
      </c>
      <c r="M110" s="10"/>
      <c r="N110" s="10"/>
      <c r="O110" s="29">
        <f t="shared" si="3"/>
        <v>0.1357615894</v>
      </c>
      <c r="P110" s="27">
        <f t="shared" si="2"/>
        <v>779</v>
      </c>
    </row>
    <row r="111">
      <c r="A111" s="10" t="s">
        <v>336</v>
      </c>
      <c r="B111" s="10" t="s">
        <v>24</v>
      </c>
      <c r="C111" s="26">
        <v>45491.0</v>
      </c>
      <c r="D111" s="10" t="s">
        <v>19</v>
      </c>
      <c r="E111" s="10" t="s">
        <v>70</v>
      </c>
      <c r="F111" s="27">
        <v>4021.0</v>
      </c>
      <c r="G111" s="27">
        <v>794.0</v>
      </c>
      <c r="H111" s="27">
        <v>77.0</v>
      </c>
      <c r="I111" s="27">
        <v>36189.0</v>
      </c>
      <c r="J111" s="27">
        <v>35505.0</v>
      </c>
      <c r="K111" s="27">
        <v>174.0</v>
      </c>
      <c r="L111" s="28" t="s">
        <v>30</v>
      </c>
      <c r="M111" s="10"/>
      <c r="N111" s="10"/>
      <c r="O111" s="29">
        <f t="shared" si="3"/>
        <v>0.1351791981</v>
      </c>
      <c r="P111" s="27">
        <f t="shared" si="2"/>
        <v>4892</v>
      </c>
    </row>
    <row r="112">
      <c r="A112" s="10" t="s">
        <v>97</v>
      </c>
      <c r="B112" s="10" t="s">
        <v>24</v>
      </c>
      <c r="C112" s="26">
        <v>45476.0</v>
      </c>
      <c r="D112" s="10" t="s">
        <v>28</v>
      </c>
      <c r="E112" s="10" t="s">
        <v>98</v>
      </c>
      <c r="F112" s="27">
        <v>2754.0</v>
      </c>
      <c r="G112" s="27">
        <v>130.0</v>
      </c>
      <c r="H112" s="27">
        <v>90.0</v>
      </c>
      <c r="I112" s="27">
        <v>22032.0</v>
      </c>
      <c r="J112" s="27">
        <v>21288.0</v>
      </c>
      <c r="K112" s="27">
        <v>112.0</v>
      </c>
      <c r="L112" s="28" t="s">
        <v>21</v>
      </c>
      <c r="M112" s="10"/>
      <c r="N112" s="10"/>
      <c r="O112" s="29">
        <f t="shared" si="3"/>
        <v>0.1349854757</v>
      </c>
      <c r="P112" s="27">
        <f t="shared" si="2"/>
        <v>2974</v>
      </c>
    </row>
    <row r="113">
      <c r="A113" s="10" t="s">
        <v>182</v>
      </c>
      <c r="B113" s="10" t="s">
        <v>27</v>
      </c>
      <c r="C113" s="26">
        <v>45720.0</v>
      </c>
      <c r="D113" s="10" t="s">
        <v>28</v>
      </c>
      <c r="E113" s="10" t="s">
        <v>29</v>
      </c>
      <c r="F113" s="27">
        <v>1947.0</v>
      </c>
      <c r="G113" s="27">
        <v>842.0</v>
      </c>
      <c r="H113" s="27">
        <v>101.0</v>
      </c>
      <c r="I113" s="27">
        <v>21417.0</v>
      </c>
      <c r="J113" s="27">
        <v>20967.0</v>
      </c>
      <c r="K113" s="27">
        <v>186.0</v>
      </c>
      <c r="L113" s="28" t="s">
        <v>16</v>
      </c>
      <c r="M113" s="10"/>
      <c r="N113" s="10"/>
      <c r="O113" s="29">
        <f t="shared" si="3"/>
        <v>0.134939534</v>
      </c>
      <c r="P113" s="27">
        <f t="shared" si="2"/>
        <v>2890</v>
      </c>
    </row>
    <row r="114">
      <c r="A114" s="10" t="s">
        <v>280</v>
      </c>
      <c r="B114" s="10" t="s">
        <v>27</v>
      </c>
      <c r="C114" s="26">
        <v>45476.0</v>
      </c>
      <c r="D114" s="10" t="s">
        <v>34</v>
      </c>
      <c r="E114" s="10" t="s">
        <v>62</v>
      </c>
      <c r="F114" s="27">
        <v>4799.0</v>
      </c>
      <c r="G114" s="27">
        <v>694.0</v>
      </c>
      <c r="H114" s="27">
        <v>289.0</v>
      </c>
      <c r="I114" s="27">
        <v>43191.0</v>
      </c>
      <c r="J114" s="27">
        <v>42228.0</v>
      </c>
      <c r="K114" s="27">
        <v>118.0</v>
      </c>
      <c r="L114" s="28" t="s">
        <v>21</v>
      </c>
      <c r="M114" s="10"/>
      <c r="N114" s="10"/>
      <c r="O114" s="29">
        <f t="shared" si="3"/>
        <v>0.1338704823</v>
      </c>
      <c r="P114" s="27">
        <f t="shared" si="2"/>
        <v>5782</v>
      </c>
    </row>
    <row r="115">
      <c r="A115" s="10" t="s">
        <v>122</v>
      </c>
      <c r="B115" s="10" t="s">
        <v>24</v>
      </c>
      <c r="C115" s="26">
        <v>45593.0</v>
      </c>
      <c r="D115" s="10" t="s">
        <v>14</v>
      </c>
      <c r="E115" s="10" t="s">
        <v>25</v>
      </c>
      <c r="F115" s="27">
        <v>1855.0</v>
      </c>
      <c r="G115" s="27">
        <v>200.0</v>
      </c>
      <c r="H115" s="27">
        <v>174.0</v>
      </c>
      <c r="I115" s="27">
        <v>16695.0</v>
      </c>
      <c r="J115" s="27">
        <v>16330.0</v>
      </c>
      <c r="K115" s="27">
        <v>123.0</v>
      </c>
      <c r="L115" s="28" t="s">
        <v>21</v>
      </c>
      <c r="M115" s="10"/>
      <c r="N115" s="10"/>
      <c r="O115" s="29">
        <f t="shared" si="3"/>
        <v>0.1335130279</v>
      </c>
      <c r="P115" s="27">
        <f t="shared" si="2"/>
        <v>2229</v>
      </c>
    </row>
    <row r="116">
      <c r="A116" s="10" t="s">
        <v>305</v>
      </c>
      <c r="B116" s="10" t="s">
        <v>13</v>
      </c>
      <c r="C116" s="26">
        <v>45671.0</v>
      </c>
      <c r="D116" s="10" t="s">
        <v>39</v>
      </c>
      <c r="E116" s="10" t="s">
        <v>85</v>
      </c>
      <c r="F116" s="27">
        <v>2692.0</v>
      </c>
      <c r="G116" s="27">
        <v>115.0</v>
      </c>
      <c r="H116" s="27">
        <v>64.0</v>
      </c>
      <c r="I116" s="27">
        <v>21536.0</v>
      </c>
      <c r="J116" s="27">
        <v>21120.0</v>
      </c>
      <c r="K116" s="27">
        <v>224.0</v>
      </c>
      <c r="L116" s="28" t="s">
        <v>16</v>
      </c>
      <c r="M116" s="10"/>
      <c r="N116" s="10"/>
      <c r="O116" s="29">
        <f t="shared" si="3"/>
        <v>0.1333116642</v>
      </c>
      <c r="P116" s="27">
        <f t="shared" si="2"/>
        <v>2871</v>
      </c>
    </row>
    <row r="117">
      <c r="A117" s="10" t="s">
        <v>181</v>
      </c>
      <c r="B117" s="10" t="s">
        <v>27</v>
      </c>
      <c r="C117" s="26">
        <v>45586.0</v>
      </c>
      <c r="D117" s="10" t="s">
        <v>14</v>
      </c>
      <c r="E117" s="10" t="s">
        <v>58</v>
      </c>
      <c r="F117" s="27">
        <v>4840.0</v>
      </c>
      <c r="G117" s="27">
        <v>658.0</v>
      </c>
      <c r="H117" s="27">
        <v>211.0</v>
      </c>
      <c r="I117" s="27">
        <v>43560.0</v>
      </c>
      <c r="J117" s="27">
        <v>43225.0</v>
      </c>
      <c r="K117" s="27">
        <v>57.0</v>
      </c>
      <c r="L117" s="28" t="s">
        <v>16</v>
      </c>
      <c r="M117" s="10"/>
      <c r="N117" s="10"/>
      <c r="O117" s="29">
        <f t="shared" si="3"/>
        <v>0.1310606061</v>
      </c>
      <c r="P117" s="27">
        <f t="shared" si="2"/>
        <v>5709</v>
      </c>
    </row>
    <row r="118">
      <c r="A118" s="10" t="s">
        <v>287</v>
      </c>
      <c r="B118" s="10" t="s">
        <v>33</v>
      </c>
      <c r="C118" s="26">
        <v>45523.0</v>
      </c>
      <c r="D118" s="10" t="s">
        <v>19</v>
      </c>
      <c r="E118" s="10" t="s">
        <v>42</v>
      </c>
      <c r="F118" s="27">
        <v>1257.0</v>
      </c>
      <c r="G118" s="27">
        <v>19.0</v>
      </c>
      <c r="H118" s="27">
        <v>351.0</v>
      </c>
      <c r="I118" s="27">
        <v>12570.0</v>
      </c>
      <c r="J118" s="27">
        <v>11660.0</v>
      </c>
      <c r="K118" s="27">
        <v>194.0</v>
      </c>
      <c r="L118" s="28" t="s">
        <v>16</v>
      </c>
      <c r="M118" s="28" t="s">
        <v>17</v>
      </c>
      <c r="N118" s="28" t="s">
        <v>30</v>
      </c>
      <c r="O118" s="29">
        <f t="shared" si="3"/>
        <v>0.1294351631</v>
      </c>
      <c r="P118" s="27">
        <f t="shared" si="2"/>
        <v>1627</v>
      </c>
    </row>
    <row r="119">
      <c r="A119" s="10" t="s">
        <v>164</v>
      </c>
      <c r="B119" s="10" t="s">
        <v>13</v>
      </c>
      <c r="C119" s="26">
        <v>45610.0</v>
      </c>
      <c r="D119" s="10" t="s">
        <v>28</v>
      </c>
      <c r="E119" s="10" t="s">
        <v>95</v>
      </c>
      <c r="F119" s="27">
        <v>4000.0</v>
      </c>
      <c r="G119" s="27">
        <v>689.0</v>
      </c>
      <c r="H119" s="27">
        <v>488.0</v>
      </c>
      <c r="I119" s="27">
        <v>40000.0</v>
      </c>
      <c r="J119" s="27">
        <v>39569.0</v>
      </c>
      <c r="K119" s="27">
        <v>44.0</v>
      </c>
      <c r="L119" s="28" t="s">
        <v>16</v>
      </c>
      <c r="M119" s="10"/>
      <c r="N119" s="10"/>
      <c r="O119" s="29">
        <f t="shared" si="3"/>
        <v>0.129425</v>
      </c>
      <c r="P119" s="27">
        <f t="shared" si="2"/>
        <v>5177</v>
      </c>
    </row>
    <row r="120">
      <c r="A120" s="10" t="s">
        <v>104</v>
      </c>
      <c r="B120" s="10" t="s">
        <v>33</v>
      </c>
      <c r="C120" s="26">
        <v>45644.0</v>
      </c>
      <c r="D120" s="10" t="s">
        <v>34</v>
      </c>
      <c r="E120" s="10" t="s">
        <v>35</v>
      </c>
      <c r="F120" s="27">
        <v>2946.0</v>
      </c>
      <c r="G120" s="27">
        <v>498.0</v>
      </c>
      <c r="H120" s="27">
        <v>367.0</v>
      </c>
      <c r="I120" s="27">
        <v>29460.0</v>
      </c>
      <c r="J120" s="27">
        <v>28527.0</v>
      </c>
      <c r="K120" s="27">
        <v>60.0</v>
      </c>
      <c r="L120" s="28" t="s">
        <v>16</v>
      </c>
      <c r="M120" s="10"/>
      <c r="N120" s="10"/>
      <c r="O120" s="29">
        <f t="shared" si="3"/>
        <v>0.1293618466</v>
      </c>
      <c r="P120" s="27">
        <f t="shared" si="2"/>
        <v>3811</v>
      </c>
    </row>
    <row r="121">
      <c r="A121" s="10" t="s">
        <v>155</v>
      </c>
      <c r="B121" s="10" t="s">
        <v>27</v>
      </c>
      <c r="C121" s="26">
        <v>45457.0</v>
      </c>
      <c r="D121" s="10" t="s">
        <v>34</v>
      </c>
      <c r="E121" s="10" t="s">
        <v>62</v>
      </c>
      <c r="F121" s="27">
        <v>498.0</v>
      </c>
      <c r="G121" s="27">
        <v>38.0</v>
      </c>
      <c r="H121" s="27">
        <v>42.0</v>
      </c>
      <c r="I121" s="27">
        <v>4482.0</v>
      </c>
      <c r="J121" s="27">
        <v>3647.0</v>
      </c>
      <c r="K121" s="27">
        <v>32.0</v>
      </c>
      <c r="L121" s="28" t="s">
        <v>16</v>
      </c>
      <c r="M121" s="10"/>
      <c r="N121" s="10"/>
      <c r="O121" s="29">
        <f t="shared" si="3"/>
        <v>0.1289602856</v>
      </c>
      <c r="P121" s="27">
        <f t="shared" si="2"/>
        <v>578</v>
      </c>
    </row>
    <row r="122">
      <c r="A122" s="10" t="s">
        <v>46</v>
      </c>
      <c r="B122" s="10" t="s">
        <v>33</v>
      </c>
      <c r="C122" s="26">
        <v>45494.0</v>
      </c>
      <c r="D122" s="10" t="s">
        <v>14</v>
      </c>
      <c r="E122" s="10" t="s">
        <v>47</v>
      </c>
      <c r="F122" s="27">
        <v>1946.0</v>
      </c>
      <c r="G122" s="27">
        <v>686.0</v>
      </c>
      <c r="H122" s="27">
        <v>377.0</v>
      </c>
      <c r="I122" s="27">
        <v>23352.0</v>
      </c>
      <c r="J122" s="27">
        <v>22982.0</v>
      </c>
      <c r="K122" s="27">
        <v>213.0</v>
      </c>
      <c r="L122" s="28" t="s">
        <v>16</v>
      </c>
      <c r="M122" s="10"/>
      <c r="N122" s="10"/>
      <c r="O122" s="29">
        <f t="shared" si="3"/>
        <v>0.1288540596</v>
      </c>
      <c r="P122" s="27">
        <f t="shared" si="2"/>
        <v>3009</v>
      </c>
    </row>
    <row r="123">
      <c r="A123" s="10" t="s">
        <v>286</v>
      </c>
      <c r="B123" s="10" t="s">
        <v>33</v>
      </c>
      <c r="C123" s="26">
        <v>45648.0</v>
      </c>
      <c r="D123" s="10" t="s">
        <v>39</v>
      </c>
      <c r="E123" s="10" t="s">
        <v>44</v>
      </c>
      <c r="F123" s="27">
        <v>3196.0</v>
      </c>
      <c r="G123" s="27">
        <v>941.0</v>
      </c>
      <c r="H123" s="27">
        <v>376.0</v>
      </c>
      <c r="I123" s="27">
        <v>35156.0</v>
      </c>
      <c r="J123" s="27">
        <v>34444.0</v>
      </c>
      <c r="K123" s="27">
        <v>241.0</v>
      </c>
      <c r="L123" s="28" t="s">
        <v>21</v>
      </c>
      <c r="M123" s="10"/>
      <c r="N123" s="10"/>
      <c r="O123" s="29">
        <f t="shared" si="3"/>
        <v>0.1283706906</v>
      </c>
      <c r="P123" s="27">
        <f t="shared" si="2"/>
        <v>4513</v>
      </c>
    </row>
    <row r="124">
      <c r="A124" s="10" t="s">
        <v>77</v>
      </c>
      <c r="B124" s="10" t="s">
        <v>33</v>
      </c>
      <c r="C124" s="26">
        <v>45525.0</v>
      </c>
      <c r="D124" s="10" t="s">
        <v>39</v>
      </c>
      <c r="E124" s="10" t="s">
        <v>44</v>
      </c>
      <c r="F124" s="27">
        <v>1407.0</v>
      </c>
      <c r="G124" s="27">
        <v>400.0</v>
      </c>
      <c r="H124" s="27">
        <v>351.0</v>
      </c>
      <c r="I124" s="27">
        <v>16884.0</v>
      </c>
      <c r="J124" s="27">
        <v>15954.0</v>
      </c>
      <c r="K124" s="27">
        <v>113.0</v>
      </c>
      <c r="L124" s="28" t="s">
        <v>21</v>
      </c>
      <c r="M124" s="10"/>
      <c r="N124" s="10"/>
      <c r="O124" s="29">
        <f t="shared" si="3"/>
        <v>0.1278133144</v>
      </c>
      <c r="P124" s="27">
        <f t="shared" si="2"/>
        <v>2158</v>
      </c>
    </row>
    <row r="125">
      <c r="A125" s="10" t="s">
        <v>82</v>
      </c>
      <c r="B125" s="10" t="s">
        <v>24</v>
      </c>
      <c r="C125" s="26">
        <v>45705.0</v>
      </c>
      <c r="D125" s="10" t="s">
        <v>14</v>
      </c>
      <c r="E125" s="10" t="s">
        <v>25</v>
      </c>
      <c r="F125" s="27">
        <v>3138.0</v>
      </c>
      <c r="G125" s="27">
        <v>123.0</v>
      </c>
      <c r="H125" s="27">
        <v>291.0</v>
      </c>
      <c r="I125" s="27">
        <v>28242.0</v>
      </c>
      <c r="J125" s="27">
        <v>27550.0</v>
      </c>
      <c r="K125" s="27">
        <v>87.0</v>
      </c>
      <c r="L125" s="28" t="s">
        <v>21</v>
      </c>
      <c r="M125" s="10"/>
      <c r="N125" s="10"/>
      <c r="O125" s="29">
        <f t="shared" si="3"/>
        <v>0.1257701296</v>
      </c>
      <c r="P125" s="27">
        <f t="shared" si="2"/>
        <v>3552</v>
      </c>
    </row>
    <row r="126">
      <c r="A126" s="10" t="s">
        <v>247</v>
      </c>
      <c r="B126" s="10" t="s">
        <v>27</v>
      </c>
      <c r="C126" s="26">
        <v>45645.0</v>
      </c>
      <c r="D126" s="10" t="s">
        <v>19</v>
      </c>
      <c r="E126" s="10" t="s">
        <v>75</v>
      </c>
      <c r="F126" s="27">
        <v>1813.0</v>
      </c>
      <c r="G126" s="27">
        <v>623.0</v>
      </c>
      <c r="H126" s="27">
        <v>72.0</v>
      </c>
      <c r="I126" s="27">
        <v>19943.0</v>
      </c>
      <c r="J126" s="27">
        <v>18959.0</v>
      </c>
      <c r="K126" s="27">
        <v>85.0</v>
      </c>
      <c r="L126" s="28" t="s">
        <v>30</v>
      </c>
      <c r="M126" s="10"/>
      <c r="N126" s="10"/>
      <c r="O126" s="29">
        <f t="shared" si="3"/>
        <v>0.1257584115</v>
      </c>
      <c r="P126" s="27">
        <f t="shared" si="2"/>
        <v>2508</v>
      </c>
    </row>
    <row r="127">
      <c r="A127" s="10" t="s">
        <v>178</v>
      </c>
      <c r="B127" s="10" t="s">
        <v>13</v>
      </c>
      <c r="C127" s="26">
        <v>45667.0</v>
      </c>
      <c r="D127" s="10" t="s">
        <v>39</v>
      </c>
      <c r="E127" s="10" t="s">
        <v>85</v>
      </c>
      <c r="F127" s="27">
        <v>3092.0</v>
      </c>
      <c r="G127" s="27">
        <v>106.0</v>
      </c>
      <c r="H127" s="27">
        <v>291.0</v>
      </c>
      <c r="I127" s="27">
        <v>27828.0</v>
      </c>
      <c r="J127" s="27">
        <v>27217.0</v>
      </c>
      <c r="K127" s="27">
        <v>102.0</v>
      </c>
      <c r="L127" s="28" t="s">
        <v>16</v>
      </c>
      <c r="M127" s="10"/>
      <c r="N127" s="10"/>
      <c r="O127" s="29">
        <f t="shared" si="3"/>
        <v>0.1253773178</v>
      </c>
      <c r="P127" s="27">
        <f t="shared" si="2"/>
        <v>3489</v>
      </c>
    </row>
    <row r="128">
      <c r="A128" s="10" t="s">
        <v>220</v>
      </c>
      <c r="B128" s="10" t="s">
        <v>24</v>
      </c>
      <c r="C128" s="26">
        <v>45629.0</v>
      </c>
      <c r="D128" s="10" t="s">
        <v>53</v>
      </c>
      <c r="E128" s="10" t="s">
        <v>133</v>
      </c>
      <c r="F128" s="27">
        <v>3809.0</v>
      </c>
      <c r="G128" s="27">
        <v>273.0</v>
      </c>
      <c r="H128" s="27">
        <v>200.0</v>
      </c>
      <c r="I128" s="27">
        <v>34281.0</v>
      </c>
      <c r="J128" s="27">
        <v>33534.0</v>
      </c>
      <c r="K128" s="27">
        <v>83.0</v>
      </c>
      <c r="L128" s="28" t="s">
        <v>30</v>
      </c>
      <c r="M128" s="10"/>
      <c r="N128" s="10"/>
      <c r="O128" s="29">
        <f t="shared" si="3"/>
        <v>0.1249088416</v>
      </c>
      <c r="P128" s="27">
        <f t="shared" si="2"/>
        <v>4282</v>
      </c>
    </row>
    <row r="129">
      <c r="A129" s="10" t="s">
        <v>344</v>
      </c>
      <c r="B129" s="10" t="s">
        <v>33</v>
      </c>
      <c r="C129" s="26">
        <v>45791.0</v>
      </c>
      <c r="D129" s="10" t="s">
        <v>19</v>
      </c>
      <c r="E129" s="10" t="s">
        <v>42</v>
      </c>
      <c r="F129" s="27">
        <v>2634.0</v>
      </c>
      <c r="G129" s="27">
        <v>726.0</v>
      </c>
      <c r="H129" s="27">
        <v>241.0</v>
      </c>
      <c r="I129" s="27">
        <v>28974.0</v>
      </c>
      <c r="J129" s="27">
        <v>28102.0</v>
      </c>
      <c r="K129" s="27">
        <v>277.0</v>
      </c>
      <c r="L129" s="28" t="s">
        <v>30</v>
      </c>
      <c r="M129" s="10"/>
      <c r="N129" s="10"/>
      <c r="O129" s="29">
        <f t="shared" si="3"/>
        <v>0.1242838407</v>
      </c>
      <c r="P129" s="27">
        <f t="shared" si="2"/>
        <v>3601</v>
      </c>
    </row>
    <row r="130">
      <c r="A130" s="10" t="s">
        <v>343</v>
      </c>
      <c r="B130" s="10" t="s">
        <v>33</v>
      </c>
      <c r="C130" s="26">
        <v>45613.0</v>
      </c>
      <c r="D130" s="10" t="s">
        <v>19</v>
      </c>
      <c r="E130" s="10" t="s">
        <v>42</v>
      </c>
      <c r="F130" s="27">
        <v>880.0</v>
      </c>
      <c r="G130" s="27">
        <v>297.0</v>
      </c>
      <c r="H130" s="27">
        <v>345.0</v>
      </c>
      <c r="I130" s="27">
        <v>12320.0</v>
      </c>
      <c r="J130" s="27">
        <v>11978.0</v>
      </c>
      <c r="K130" s="27">
        <v>238.0</v>
      </c>
      <c r="L130" s="28" t="s">
        <v>21</v>
      </c>
      <c r="M130" s="28" t="s">
        <v>17</v>
      </c>
      <c r="N130" s="10"/>
      <c r="O130" s="29">
        <f t="shared" si="3"/>
        <v>0.123538961</v>
      </c>
      <c r="P130" s="27">
        <f t="shared" si="2"/>
        <v>1522</v>
      </c>
    </row>
    <row r="131">
      <c r="A131" s="10" t="s">
        <v>263</v>
      </c>
      <c r="B131" s="10" t="s">
        <v>24</v>
      </c>
      <c r="C131" s="26">
        <v>45719.0</v>
      </c>
      <c r="D131" s="10" t="s">
        <v>53</v>
      </c>
      <c r="E131" s="10" t="s">
        <v>133</v>
      </c>
      <c r="F131" s="27">
        <v>3874.0</v>
      </c>
      <c r="G131" s="27">
        <v>884.0</v>
      </c>
      <c r="H131" s="27">
        <v>19.0</v>
      </c>
      <c r="I131" s="27">
        <v>38740.0</v>
      </c>
      <c r="J131" s="27">
        <v>38552.0</v>
      </c>
      <c r="K131" s="27">
        <v>219.0</v>
      </c>
      <c r="L131" s="28" t="s">
        <v>21</v>
      </c>
      <c r="M131" s="10"/>
      <c r="N131" s="10"/>
      <c r="O131" s="29">
        <f t="shared" si="3"/>
        <v>0.1233092411</v>
      </c>
      <c r="P131" s="27">
        <f t="shared" si="2"/>
        <v>4777</v>
      </c>
    </row>
    <row r="132">
      <c r="A132" s="10" t="s">
        <v>160</v>
      </c>
      <c r="B132" s="10" t="s">
        <v>27</v>
      </c>
      <c r="C132" s="26">
        <v>45502.0</v>
      </c>
      <c r="D132" s="10" t="s">
        <v>14</v>
      </c>
      <c r="E132" s="10" t="s">
        <v>58</v>
      </c>
      <c r="F132" s="27">
        <v>3523.0</v>
      </c>
      <c r="G132" s="27">
        <v>753.0</v>
      </c>
      <c r="H132" s="27">
        <v>482.0</v>
      </c>
      <c r="I132" s="27">
        <v>38753.0</v>
      </c>
      <c r="J132" s="27">
        <v>38579.0</v>
      </c>
      <c r="K132" s="27">
        <v>270.0</v>
      </c>
      <c r="L132" s="28" t="s">
        <v>30</v>
      </c>
      <c r="M132" s="10"/>
      <c r="N132" s="10"/>
      <c r="O132" s="29">
        <f t="shared" si="3"/>
        <v>0.1227775914</v>
      </c>
      <c r="P132" s="27">
        <f t="shared" si="2"/>
        <v>4758</v>
      </c>
    </row>
    <row r="133">
      <c r="A133" s="10" t="s">
        <v>296</v>
      </c>
      <c r="B133" s="10" t="s">
        <v>33</v>
      </c>
      <c r="C133" s="26">
        <v>45669.0</v>
      </c>
      <c r="D133" s="10" t="s">
        <v>14</v>
      </c>
      <c r="E133" s="10" t="s">
        <v>47</v>
      </c>
      <c r="F133" s="27">
        <v>4134.0</v>
      </c>
      <c r="G133" s="27">
        <v>824.0</v>
      </c>
      <c r="H133" s="27">
        <v>99.0</v>
      </c>
      <c r="I133" s="27">
        <v>41340.0</v>
      </c>
      <c r="J133" s="27">
        <v>41050.0</v>
      </c>
      <c r="K133" s="27">
        <v>177.0</v>
      </c>
      <c r="L133" s="28" t="s">
        <v>30</v>
      </c>
      <c r="M133" s="10"/>
      <c r="N133" s="10"/>
      <c r="O133" s="29">
        <f t="shared" si="3"/>
        <v>0.122327044</v>
      </c>
      <c r="P133" s="27">
        <f t="shared" si="2"/>
        <v>5057</v>
      </c>
    </row>
    <row r="134">
      <c r="A134" s="10" t="s">
        <v>123</v>
      </c>
      <c r="B134" s="10" t="s">
        <v>27</v>
      </c>
      <c r="C134" s="26">
        <v>45505.0</v>
      </c>
      <c r="D134" s="10" t="s">
        <v>14</v>
      </c>
      <c r="E134" s="10" t="s">
        <v>58</v>
      </c>
      <c r="F134" s="27">
        <v>1674.0</v>
      </c>
      <c r="G134" s="27">
        <v>929.0</v>
      </c>
      <c r="H134" s="27">
        <v>37.0</v>
      </c>
      <c r="I134" s="27">
        <v>21762.0</v>
      </c>
      <c r="J134" s="27">
        <v>20998.0</v>
      </c>
      <c r="K134" s="27">
        <v>255.0</v>
      </c>
      <c r="L134" s="28" t="s">
        <v>21</v>
      </c>
      <c r="M134" s="10"/>
      <c r="N134" s="10"/>
      <c r="O134" s="29">
        <f t="shared" si="3"/>
        <v>0.1213123794</v>
      </c>
      <c r="P134" s="27">
        <f t="shared" si="2"/>
        <v>2640</v>
      </c>
    </row>
    <row r="135">
      <c r="A135" s="10" t="s">
        <v>306</v>
      </c>
      <c r="B135" s="10" t="s">
        <v>33</v>
      </c>
      <c r="C135" s="26">
        <v>45750.0</v>
      </c>
      <c r="D135" s="10" t="s">
        <v>28</v>
      </c>
      <c r="E135" s="10" t="s">
        <v>51</v>
      </c>
      <c r="F135" s="27">
        <v>3767.0</v>
      </c>
      <c r="G135" s="27">
        <v>514.0</v>
      </c>
      <c r="H135" s="27">
        <v>238.0</v>
      </c>
      <c r="I135" s="27">
        <v>37670.0</v>
      </c>
      <c r="J135" s="27">
        <v>36807.0</v>
      </c>
      <c r="K135" s="27">
        <v>226.0</v>
      </c>
      <c r="L135" s="28" t="s">
        <v>16</v>
      </c>
      <c r="M135" s="10"/>
      <c r="N135" s="10"/>
      <c r="O135" s="29">
        <f t="shared" si="3"/>
        <v>0.1199628351</v>
      </c>
      <c r="P135" s="27">
        <f t="shared" si="2"/>
        <v>4519</v>
      </c>
    </row>
    <row r="136">
      <c r="A136" s="10" t="s">
        <v>119</v>
      </c>
      <c r="B136" s="10" t="s">
        <v>24</v>
      </c>
      <c r="C136" s="26">
        <v>45537.0</v>
      </c>
      <c r="D136" s="10" t="s">
        <v>34</v>
      </c>
      <c r="E136" s="10" t="s">
        <v>49</v>
      </c>
      <c r="F136" s="27">
        <v>2551.0</v>
      </c>
      <c r="G136" s="27">
        <v>915.0</v>
      </c>
      <c r="H136" s="27">
        <v>205.0</v>
      </c>
      <c r="I136" s="27">
        <v>30612.0</v>
      </c>
      <c r="J136" s="27">
        <v>30360.0</v>
      </c>
      <c r="K136" s="27">
        <v>227.0</v>
      </c>
      <c r="L136" s="28" t="s">
        <v>21</v>
      </c>
      <c r="M136" s="10"/>
      <c r="N136" s="10"/>
      <c r="O136" s="29">
        <f t="shared" si="3"/>
        <v>0.1199202927</v>
      </c>
      <c r="P136" s="27">
        <f t="shared" si="2"/>
        <v>3671</v>
      </c>
    </row>
    <row r="137">
      <c r="A137" s="10" t="s">
        <v>113</v>
      </c>
      <c r="B137" s="10" t="s">
        <v>27</v>
      </c>
      <c r="C137" s="26">
        <v>45744.0</v>
      </c>
      <c r="D137" s="10" t="s">
        <v>28</v>
      </c>
      <c r="E137" s="10" t="s">
        <v>29</v>
      </c>
      <c r="F137" s="27">
        <v>1881.0</v>
      </c>
      <c r="G137" s="27">
        <v>501.0</v>
      </c>
      <c r="H137" s="27">
        <v>99.0</v>
      </c>
      <c r="I137" s="27">
        <v>20691.0</v>
      </c>
      <c r="J137" s="27">
        <v>19987.0</v>
      </c>
      <c r="K137" s="27">
        <v>289.0</v>
      </c>
      <c r="L137" s="28" t="s">
        <v>30</v>
      </c>
      <c r="M137" s="10"/>
      <c r="N137" s="10"/>
      <c r="O137" s="29">
        <f t="shared" si="3"/>
        <v>0.119907206</v>
      </c>
      <c r="P137" s="27">
        <f t="shared" si="2"/>
        <v>2481</v>
      </c>
    </row>
    <row r="138">
      <c r="A138" s="10" t="s">
        <v>298</v>
      </c>
      <c r="B138" s="10" t="s">
        <v>33</v>
      </c>
      <c r="C138" s="26">
        <v>45531.0</v>
      </c>
      <c r="D138" s="10" t="s">
        <v>14</v>
      </c>
      <c r="E138" s="10" t="s">
        <v>47</v>
      </c>
      <c r="F138" s="27">
        <v>3960.0</v>
      </c>
      <c r="G138" s="27">
        <v>266.0</v>
      </c>
      <c r="H138" s="27">
        <v>8.0</v>
      </c>
      <c r="I138" s="27">
        <v>35640.0</v>
      </c>
      <c r="J138" s="27">
        <v>34850.0</v>
      </c>
      <c r="K138" s="27">
        <v>208.0</v>
      </c>
      <c r="L138" s="28" t="s">
        <v>16</v>
      </c>
      <c r="M138" s="28" t="s">
        <v>30</v>
      </c>
      <c r="N138" s="28" t="s">
        <v>22</v>
      </c>
      <c r="O138" s="29">
        <f t="shared" si="3"/>
        <v>0.1187991021</v>
      </c>
      <c r="P138" s="27">
        <f t="shared" si="2"/>
        <v>4234</v>
      </c>
    </row>
    <row r="139">
      <c r="A139" s="10" t="s">
        <v>79</v>
      </c>
      <c r="B139" s="10" t="s">
        <v>27</v>
      </c>
      <c r="C139" s="26">
        <v>45626.0</v>
      </c>
      <c r="D139" s="10" t="s">
        <v>53</v>
      </c>
      <c r="E139" s="10" t="s">
        <v>60</v>
      </c>
      <c r="F139" s="27">
        <v>3775.0</v>
      </c>
      <c r="G139" s="27">
        <v>16.0</v>
      </c>
      <c r="H139" s="27">
        <v>239.0</v>
      </c>
      <c r="I139" s="27">
        <v>33975.0</v>
      </c>
      <c r="J139" s="27">
        <v>33310.0</v>
      </c>
      <c r="K139" s="27">
        <v>271.0</v>
      </c>
      <c r="L139" s="28" t="s">
        <v>16</v>
      </c>
      <c r="M139" s="10"/>
      <c r="N139" s="10"/>
      <c r="O139" s="29">
        <f t="shared" si="3"/>
        <v>0.1186166299</v>
      </c>
      <c r="P139" s="27">
        <f t="shared" si="2"/>
        <v>4030</v>
      </c>
    </row>
    <row r="140">
      <c r="A140" s="10" t="s">
        <v>167</v>
      </c>
      <c r="B140" s="10" t="s">
        <v>13</v>
      </c>
      <c r="C140" s="26">
        <v>45600.0</v>
      </c>
      <c r="D140" s="10" t="s">
        <v>39</v>
      </c>
      <c r="E140" s="10" t="s">
        <v>85</v>
      </c>
      <c r="F140" s="27">
        <v>1606.0</v>
      </c>
      <c r="G140" s="27">
        <v>451.0</v>
      </c>
      <c r="H140" s="27">
        <v>405.0</v>
      </c>
      <c r="I140" s="27">
        <v>20878.0</v>
      </c>
      <c r="J140" s="27">
        <v>20190.0</v>
      </c>
      <c r="K140" s="27">
        <v>219.0</v>
      </c>
      <c r="L140" s="28" t="s">
        <v>30</v>
      </c>
      <c r="M140" s="10"/>
      <c r="N140" s="10"/>
      <c r="O140" s="29">
        <f t="shared" si="3"/>
        <v>0.1179231727</v>
      </c>
      <c r="P140" s="27">
        <f t="shared" si="2"/>
        <v>2462</v>
      </c>
    </row>
    <row r="141">
      <c r="A141" s="10" t="s">
        <v>302</v>
      </c>
      <c r="B141" s="10" t="s">
        <v>27</v>
      </c>
      <c r="C141" s="26">
        <v>45743.0</v>
      </c>
      <c r="D141" s="10" t="s">
        <v>34</v>
      </c>
      <c r="E141" s="10" t="s">
        <v>62</v>
      </c>
      <c r="F141" s="27">
        <v>1377.0</v>
      </c>
      <c r="G141" s="27">
        <v>796.0</v>
      </c>
      <c r="H141" s="27">
        <v>387.0</v>
      </c>
      <c r="I141" s="27">
        <v>22032.0</v>
      </c>
      <c r="J141" s="27">
        <v>21869.0</v>
      </c>
      <c r="K141" s="27">
        <v>189.0</v>
      </c>
      <c r="L141" s="28" t="s">
        <v>16</v>
      </c>
      <c r="M141" s="10"/>
      <c r="N141" s="10"/>
      <c r="O141" s="29">
        <f t="shared" si="3"/>
        <v>0.116194626</v>
      </c>
      <c r="P141" s="27">
        <f t="shared" si="2"/>
        <v>2560</v>
      </c>
    </row>
    <row r="142">
      <c r="A142" s="10" t="s">
        <v>45</v>
      </c>
      <c r="B142" s="10" t="s">
        <v>27</v>
      </c>
      <c r="C142" s="26">
        <v>45690.0</v>
      </c>
      <c r="D142" s="10" t="s">
        <v>28</v>
      </c>
      <c r="E142" s="10" t="s">
        <v>29</v>
      </c>
      <c r="F142" s="27">
        <v>1792.0</v>
      </c>
      <c r="G142" s="27">
        <v>614.0</v>
      </c>
      <c r="H142" s="27">
        <v>497.0</v>
      </c>
      <c r="I142" s="27">
        <v>25088.0</v>
      </c>
      <c r="J142" s="27">
        <v>24675.0</v>
      </c>
      <c r="K142" s="27">
        <v>65.0</v>
      </c>
      <c r="L142" s="28" t="s">
        <v>16</v>
      </c>
      <c r="M142" s="10"/>
      <c r="N142" s="10"/>
      <c r="O142" s="29">
        <f t="shared" si="3"/>
        <v>0.1157126913</v>
      </c>
      <c r="P142" s="27">
        <f t="shared" si="2"/>
        <v>2903</v>
      </c>
    </row>
    <row r="143">
      <c r="A143" s="10" t="s">
        <v>212</v>
      </c>
      <c r="B143" s="10" t="s">
        <v>13</v>
      </c>
      <c r="C143" s="26">
        <v>45707.0</v>
      </c>
      <c r="D143" s="10" t="s">
        <v>19</v>
      </c>
      <c r="E143" s="10" t="s">
        <v>20</v>
      </c>
      <c r="F143" s="27">
        <v>4671.0</v>
      </c>
      <c r="G143" s="27">
        <v>876.0</v>
      </c>
      <c r="H143" s="27">
        <v>366.0</v>
      </c>
      <c r="I143" s="27">
        <v>51381.0</v>
      </c>
      <c r="J143" s="27">
        <v>50565.0</v>
      </c>
      <c r="K143" s="27">
        <v>245.0</v>
      </c>
      <c r="L143" s="28" t="s">
        <v>21</v>
      </c>
      <c r="M143" s="10"/>
      <c r="N143" s="10"/>
      <c r="O143" s="29">
        <f t="shared" si="3"/>
        <v>0.1150814503</v>
      </c>
      <c r="P143" s="27">
        <f t="shared" si="2"/>
        <v>5913</v>
      </c>
    </row>
    <row r="144">
      <c r="A144" s="10" t="s">
        <v>206</v>
      </c>
      <c r="B144" s="10" t="s">
        <v>24</v>
      </c>
      <c r="C144" s="26">
        <v>45647.0</v>
      </c>
      <c r="D144" s="10" t="s">
        <v>39</v>
      </c>
      <c r="E144" s="10" t="s">
        <v>40</v>
      </c>
      <c r="F144" s="27">
        <v>2283.0</v>
      </c>
      <c r="G144" s="27">
        <v>210.0</v>
      </c>
      <c r="H144" s="27">
        <v>130.0</v>
      </c>
      <c r="I144" s="27">
        <v>22830.0</v>
      </c>
      <c r="J144" s="27">
        <v>22617.0</v>
      </c>
      <c r="K144" s="27">
        <v>143.0</v>
      </c>
      <c r="L144" s="28" t="s">
        <v>16</v>
      </c>
      <c r="M144" s="10"/>
      <c r="N144" s="10"/>
      <c r="O144" s="29">
        <f t="shared" si="3"/>
        <v>0.1148926851</v>
      </c>
      <c r="P144" s="27">
        <f t="shared" si="2"/>
        <v>2623</v>
      </c>
    </row>
    <row r="145">
      <c r="A145" s="10" t="s">
        <v>335</v>
      </c>
      <c r="B145" s="10" t="s">
        <v>13</v>
      </c>
      <c r="C145" s="26">
        <v>45552.0</v>
      </c>
      <c r="D145" s="10" t="s">
        <v>19</v>
      </c>
      <c r="E145" s="10" t="s">
        <v>20</v>
      </c>
      <c r="F145" s="27">
        <v>571.0</v>
      </c>
      <c r="G145" s="27">
        <v>190.0</v>
      </c>
      <c r="H145" s="27">
        <v>352.0</v>
      </c>
      <c r="I145" s="27">
        <v>9707.0</v>
      </c>
      <c r="J145" s="27">
        <v>9418.0</v>
      </c>
      <c r="K145" s="27">
        <v>231.0</v>
      </c>
      <c r="L145" s="28" t="s">
        <v>21</v>
      </c>
      <c r="M145" s="10"/>
      <c r="N145" s="10"/>
      <c r="O145" s="29">
        <f t="shared" si="3"/>
        <v>0.1146595241</v>
      </c>
      <c r="P145" s="27">
        <f t="shared" si="2"/>
        <v>1113</v>
      </c>
    </row>
    <row r="146">
      <c r="A146" s="10" t="s">
        <v>163</v>
      </c>
      <c r="B146" s="10" t="s">
        <v>13</v>
      </c>
      <c r="C146" s="26">
        <v>45567.0</v>
      </c>
      <c r="D146" s="10" t="s">
        <v>34</v>
      </c>
      <c r="E146" s="10" t="s">
        <v>37</v>
      </c>
      <c r="F146" s="27">
        <v>4419.0</v>
      </c>
      <c r="G146" s="27">
        <v>236.0</v>
      </c>
      <c r="H146" s="27">
        <v>369.0</v>
      </c>
      <c r="I146" s="27">
        <v>44190.0</v>
      </c>
      <c r="J146" s="27">
        <v>43582.0</v>
      </c>
      <c r="K146" s="27">
        <v>10.0</v>
      </c>
      <c r="L146" s="28" t="s">
        <v>30</v>
      </c>
      <c r="M146" s="10"/>
      <c r="N146" s="10"/>
      <c r="O146" s="29">
        <f t="shared" si="3"/>
        <v>0.1136908803</v>
      </c>
      <c r="P146" s="27">
        <f t="shared" si="2"/>
        <v>5024</v>
      </c>
    </row>
    <row r="147">
      <c r="A147" s="10" t="s">
        <v>209</v>
      </c>
      <c r="B147" s="10" t="s">
        <v>27</v>
      </c>
      <c r="C147" s="26">
        <v>45515.0</v>
      </c>
      <c r="D147" s="10" t="s">
        <v>28</v>
      </c>
      <c r="E147" s="10" t="s">
        <v>29</v>
      </c>
      <c r="F147" s="27">
        <v>1762.0</v>
      </c>
      <c r="G147" s="27">
        <v>405.0</v>
      </c>
      <c r="H147" s="27">
        <v>423.0</v>
      </c>
      <c r="I147" s="27">
        <v>22906.0</v>
      </c>
      <c r="J147" s="27">
        <v>21925.0</v>
      </c>
      <c r="K147" s="27">
        <v>25.0</v>
      </c>
      <c r="L147" s="28" t="s">
        <v>21</v>
      </c>
      <c r="M147" s="10"/>
      <c r="N147" s="10"/>
      <c r="O147" s="29">
        <f t="shared" si="3"/>
        <v>0.1130708111</v>
      </c>
      <c r="P147" s="27">
        <f t="shared" si="2"/>
        <v>2590</v>
      </c>
    </row>
    <row r="148">
      <c r="A148" s="10" t="s">
        <v>148</v>
      </c>
      <c r="B148" s="10" t="s">
        <v>13</v>
      </c>
      <c r="C148" s="26">
        <v>45453.0</v>
      </c>
      <c r="D148" s="10" t="s">
        <v>28</v>
      </c>
      <c r="E148" s="10" t="s">
        <v>95</v>
      </c>
      <c r="F148" s="27">
        <v>1575.0</v>
      </c>
      <c r="G148" s="27">
        <v>771.0</v>
      </c>
      <c r="H148" s="27">
        <v>486.0</v>
      </c>
      <c r="I148" s="27">
        <v>25200.0</v>
      </c>
      <c r="J148" s="27">
        <v>24826.0</v>
      </c>
      <c r="K148" s="27">
        <v>17.0</v>
      </c>
      <c r="L148" s="28" t="s">
        <v>16</v>
      </c>
      <c r="M148" s="10"/>
      <c r="N148" s="10"/>
      <c r="O148" s="29">
        <f t="shared" si="3"/>
        <v>0.1123809524</v>
      </c>
      <c r="P148" s="27">
        <f t="shared" si="2"/>
        <v>2832</v>
      </c>
    </row>
    <row r="149">
      <c r="A149" s="10" t="s">
        <v>278</v>
      </c>
      <c r="B149" s="10" t="s">
        <v>27</v>
      </c>
      <c r="C149" s="26">
        <v>45455.0</v>
      </c>
      <c r="D149" s="10" t="s">
        <v>19</v>
      </c>
      <c r="E149" s="10" t="s">
        <v>75</v>
      </c>
      <c r="F149" s="27">
        <v>246.0</v>
      </c>
      <c r="G149" s="27">
        <v>149.0</v>
      </c>
      <c r="H149" s="27">
        <v>130.0</v>
      </c>
      <c r="I149" s="27">
        <v>4674.0</v>
      </c>
      <c r="J149" s="27">
        <v>4390.0</v>
      </c>
      <c r="K149" s="27">
        <v>217.0</v>
      </c>
      <c r="L149" s="28" t="s">
        <v>16</v>
      </c>
      <c r="M149" s="10"/>
      <c r="N149" s="10"/>
      <c r="O149" s="29">
        <f t="shared" si="3"/>
        <v>0.1123234917</v>
      </c>
      <c r="P149" s="27">
        <f t="shared" si="2"/>
        <v>525</v>
      </c>
    </row>
    <row r="150">
      <c r="A150" s="10" t="s">
        <v>273</v>
      </c>
      <c r="B150" s="10" t="s">
        <v>33</v>
      </c>
      <c r="C150" s="26">
        <v>45573.0</v>
      </c>
      <c r="D150" s="10" t="s">
        <v>14</v>
      </c>
      <c r="E150" s="10" t="s">
        <v>47</v>
      </c>
      <c r="F150" s="27">
        <v>1814.0</v>
      </c>
      <c r="G150" s="27">
        <v>653.0</v>
      </c>
      <c r="H150" s="27">
        <v>363.0</v>
      </c>
      <c r="I150" s="27">
        <v>25396.0</v>
      </c>
      <c r="J150" s="27">
        <v>25286.0</v>
      </c>
      <c r="K150" s="27">
        <v>39.0</v>
      </c>
      <c r="L150" s="28" t="s">
        <v>16</v>
      </c>
      <c r="M150" s="28" t="s">
        <v>191</v>
      </c>
      <c r="N150" s="10"/>
      <c r="O150" s="29">
        <f t="shared" si="3"/>
        <v>0.1114348716</v>
      </c>
      <c r="P150" s="27">
        <f t="shared" si="2"/>
        <v>2830</v>
      </c>
    </row>
    <row r="151">
      <c r="A151" s="10" t="s">
        <v>329</v>
      </c>
      <c r="B151" s="10" t="s">
        <v>13</v>
      </c>
      <c r="C151" s="26">
        <v>45622.0</v>
      </c>
      <c r="D151" s="10" t="s">
        <v>19</v>
      </c>
      <c r="E151" s="10" t="s">
        <v>20</v>
      </c>
      <c r="F151" s="27">
        <v>4516.0</v>
      </c>
      <c r="G151" s="27">
        <v>836.0</v>
      </c>
      <c r="H151" s="27">
        <v>169.0</v>
      </c>
      <c r="I151" s="27">
        <v>49676.0</v>
      </c>
      <c r="J151" s="27">
        <v>49257.0</v>
      </c>
      <c r="K151" s="27">
        <v>282.0</v>
      </c>
      <c r="L151" s="28" t="s">
        <v>30</v>
      </c>
      <c r="M151" s="10"/>
      <c r="N151" s="10"/>
      <c r="O151" s="29">
        <f t="shared" si="3"/>
        <v>0.1111401884</v>
      </c>
      <c r="P151" s="27">
        <f t="shared" si="2"/>
        <v>5521</v>
      </c>
    </row>
    <row r="152">
      <c r="A152" s="10" t="s">
        <v>202</v>
      </c>
      <c r="B152" s="10" t="s">
        <v>27</v>
      </c>
      <c r="C152" s="26">
        <v>45499.0</v>
      </c>
      <c r="D152" s="10" t="s">
        <v>39</v>
      </c>
      <c r="E152" s="10" t="s">
        <v>131</v>
      </c>
      <c r="F152" s="27">
        <v>3559.0</v>
      </c>
      <c r="G152" s="27">
        <v>59.0</v>
      </c>
      <c r="H152" s="27">
        <v>289.0</v>
      </c>
      <c r="I152" s="27">
        <v>35590.0</v>
      </c>
      <c r="J152" s="27">
        <v>35105.0</v>
      </c>
      <c r="K152" s="27">
        <v>122.0</v>
      </c>
      <c r="L152" s="28" t="s">
        <v>30</v>
      </c>
      <c r="M152" s="10"/>
      <c r="N152" s="10"/>
      <c r="O152" s="29">
        <f t="shared" si="3"/>
        <v>0.1097780275</v>
      </c>
      <c r="P152" s="27">
        <f t="shared" si="2"/>
        <v>3907</v>
      </c>
    </row>
    <row r="153">
      <c r="A153" s="10" t="s">
        <v>207</v>
      </c>
      <c r="B153" s="10" t="s">
        <v>33</v>
      </c>
      <c r="C153" s="26">
        <v>45587.0</v>
      </c>
      <c r="D153" s="10" t="s">
        <v>34</v>
      </c>
      <c r="E153" s="10" t="s">
        <v>35</v>
      </c>
      <c r="F153" s="27">
        <v>3352.0</v>
      </c>
      <c r="G153" s="27">
        <v>941.0</v>
      </c>
      <c r="H153" s="27">
        <v>482.0</v>
      </c>
      <c r="I153" s="27">
        <v>43576.0</v>
      </c>
      <c r="J153" s="27">
        <v>43338.0</v>
      </c>
      <c r="K153" s="27">
        <v>240.0</v>
      </c>
      <c r="L153" s="28" t="s">
        <v>16</v>
      </c>
      <c r="M153" s="10"/>
      <c r="N153" s="10"/>
      <c r="O153" s="29">
        <f t="shared" si="3"/>
        <v>0.1095786672</v>
      </c>
      <c r="P153" s="27">
        <f t="shared" si="2"/>
        <v>4775</v>
      </c>
    </row>
    <row r="154">
      <c r="A154" s="10" t="s">
        <v>208</v>
      </c>
      <c r="B154" s="10" t="s">
        <v>24</v>
      </c>
      <c r="C154" s="26">
        <v>45496.0</v>
      </c>
      <c r="D154" s="10" t="s">
        <v>28</v>
      </c>
      <c r="E154" s="10" t="s">
        <v>98</v>
      </c>
      <c r="F154" s="27">
        <v>4775.0</v>
      </c>
      <c r="G154" s="27">
        <v>173.0</v>
      </c>
      <c r="H154" s="27">
        <v>206.0</v>
      </c>
      <c r="I154" s="27">
        <v>47750.0</v>
      </c>
      <c r="J154" s="27">
        <v>47544.0</v>
      </c>
      <c r="K154" s="27">
        <v>187.0</v>
      </c>
      <c r="L154" s="28" t="s">
        <v>16</v>
      </c>
      <c r="M154" s="10"/>
      <c r="N154" s="10"/>
      <c r="O154" s="29">
        <f t="shared" si="3"/>
        <v>0.1079371728</v>
      </c>
      <c r="P154" s="27">
        <f t="shared" si="2"/>
        <v>5154</v>
      </c>
    </row>
    <row r="155">
      <c r="A155" s="10" t="s">
        <v>257</v>
      </c>
      <c r="B155" s="10" t="s">
        <v>13</v>
      </c>
      <c r="C155" s="26">
        <v>45467.0</v>
      </c>
      <c r="D155" s="10" t="s">
        <v>19</v>
      </c>
      <c r="E155" s="10" t="s">
        <v>20</v>
      </c>
      <c r="F155" s="27">
        <v>941.0</v>
      </c>
      <c r="G155" s="27">
        <v>121.0</v>
      </c>
      <c r="H155" s="27">
        <v>458.0</v>
      </c>
      <c r="I155" s="27">
        <v>14115.0</v>
      </c>
      <c r="J155" s="27">
        <v>13838.0</v>
      </c>
      <c r="K155" s="27">
        <v>87.0</v>
      </c>
      <c r="L155" s="28" t="s">
        <v>30</v>
      </c>
      <c r="M155" s="10"/>
      <c r="N155" s="10"/>
      <c r="O155" s="29">
        <f t="shared" si="3"/>
        <v>0.107686858</v>
      </c>
      <c r="P155" s="27">
        <f t="shared" si="2"/>
        <v>1520</v>
      </c>
    </row>
    <row r="156">
      <c r="A156" s="10" t="s">
        <v>333</v>
      </c>
      <c r="B156" s="10" t="s">
        <v>27</v>
      </c>
      <c r="C156" s="26">
        <v>45568.0</v>
      </c>
      <c r="D156" s="10" t="s">
        <v>53</v>
      </c>
      <c r="E156" s="10" t="s">
        <v>60</v>
      </c>
      <c r="F156" s="27">
        <v>1488.0</v>
      </c>
      <c r="G156" s="27">
        <v>417.0</v>
      </c>
      <c r="H156" s="27">
        <v>168.0</v>
      </c>
      <c r="I156" s="27">
        <v>19344.0</v>
      </c>
      <c r="J156" s="27">
        <v>18395.0</v>
      </c>
      <c r="K156" s="27">
        <v>30.0</v>
      </c>
      <c r="L156" s="28" t="s">
        <v>16</v>
      </c>
      <c r="M156" s="10"/>
      <c r="N156" s="10"/>
      <c r="O156" s="29">
        <f t="shared" si="3"/>
        <v>0.1071650124</v>
      </c>
      <c r="P156" s="27">
        <f t="shared" si="2"/>
        <v>2073</v>
      </c>
    </row>
    <row r="157">
      <c r="A157" s="10" t="s">
        <v>96</v>
      </c>
      <c r="B157" s="10" t="s">
        <v>13</v>
      </c>
      <c r="C157" s="26">
        <v>45453.0</v>
      </c>
      <c r="D157" s="10" t="s">
        <v>28</v>
      </c>
      <c r="E157" s="10" t="s">
        <v>95</v>
      </c>
      <c r="F157" s="27">
        <v>2164.0</v>
      </c>
      <c r="G157" s="27">
        <v>549.0</v>
      </c>
      <c r="H157" s="27">
        <v>274.0</v>
      </c>
      <c r="I157" s="27">
        <v>28132.0</v>
      </c>
      <c r="J157" s="27">
        <v>27361.0</v>
      </c>
      <c r="K157" s="27">
        <v>177.0</v>
      </c>
      <c r="L157" s="28" t="s">
        <v>21</v>
      </c>
      <c r="M157" s="10"/>
      <c r="N157" s="10"/>
      <c r="O157" s="29">
        <f t="shared" si="3"/>
        <v>0.1061780179</v>
      </c>
      <c r="P157" s="27">
        <f t="shared" si="2"/>
        <v>2987</v>
      </c>
    </row>
    <row r="158">
      <c r="A158" s="10" t="s">
        <v>256</v>
      </c>
      <c r="B158" s="10" t="s">
        <v>13</v>
      </c>
      <c r="C158" s="26">
        <v>45771.0</v>
      </c>
      <c r="D158" s="10" t="s">
        <v>53</v>
      </c>
      <c r="E158" s="10" t="s">
        <v>92</v>
      </c>
      <c r="F158" s="27">
        <v>3820.0</v>
      </c>
      <c r="G158" s="27">
        <v>697.0</v>
      </c>
      <c r="H158" s="27">
        <v>268.0</v>
      </c>
      <c r="I158" s="27">
        <v>45840.0</v>
      </c>
      <c r="J158" s="27">
        <v>45631.0</v>
      </c>
      <c r="K158" s="27">
        <v>171.0</v>
      </c>
      <c r="L158" s="28" t="s">
        <v>21</v>
      </c>
      <c r="M158" s="28" t="s">
        <v>191</v>
      </c>
      <c r="N158" s="10"/>
      <c r="O158" s="29">
        <f t="shared" si="3"/>
        <v>0.1043848168</v>
      </c>
      <c r="P158" s="27">
        <f t="shared" si="2"/>
        <v>4785</v>
      </c>
    </row>
    <row r="159">
      <c r="A159" s="10" t="s">
        <v>38</v>
      </c>
      <c r="B159" s="10" t="s">
        <v>24</v>
      </c>
      <c r="C159" s="26">
        <v>45486.0</v>
      </c>
      <c r="D159" s="10" t="s">
        <v>39</v>
      </c>
      <c r="E159" s="10" t="s">
        <v>40</v>
      </c>
      <c r="F159" s="27">
        <v>3929.0</v>
      </c>
      <c r="G159" s="27">
        <v>262.0</v>
      </c>
      <c r="H159" s="27">
        <v>278.0</v>
      </c>
      <c r="I159" s="27">
        <v>43219.0</v>
      </c>
      <c r="J159" s="27">
        <v>42841.0</v>
      </c>
      <c r="K159" s="27">
        <v>39.0</v>
      </c>
      <c r="L159" s="28" t="s">
        <v>30</v>
      </c>
      <c r="M159" s="10"/>
      <c r="N159" s="10"/>
      <c r="O159" s="29">
        <f t="shared" si="3"/>
        <v>0.1034035956</v>
      </c>
      <c r="P159" s="27">
        <f t="shared" si="2"/>
        <v>4469</v>
      </c>
    </row>
    <row r="160">
      <c r="A160" s="10" t="s">
        <v>146</v>
      </c>
      <c r="B160" s="10" t="s">
        <v>13</v>
      </c>
      <c r="C160" s="26">
        <v>45545.0</v>
      </c>
      <c r="D160" s="10" t="s">
        <v>39</v>
      </c>
      <c r="E160" s="10" t="s">
        <v>85</v>
      </c>
      <c r="F160" s="27">
        <v>1238.0</v>
      </c>
      <c r="G160" s="27">
        <v>366.0</v>
      </c>
      <c r="H160" s="27">
        <v>444.0</v>
      </c>
      <c r="I160" s="27">
        <v>19808.0</v>
      </c>
      <c r="J160" s="27">
        <v>19334.0</v>
      </c>
      <c r="K160" s="27">
        <v>123.0</v>
      </c>
      <c r="L160" s="28" t="s">
        <v>16</v>
      </c>
      <c r="M160" s="10"/>
      <c r="N160" s="10"/>
      <c r="O160" s="29">
        <f t="shared" si="3"/>
        <v>0.1033925687</v>
      </c>
      <c r="P160" s="27">
        <f t="shared" si="2"/>
        <v>2048</v>
      </c>
    </row>
    <row r="161">
      <c r="A161" s="10" t="s">
        <v>57</v>
      </c>
      <c r="B161" s="10" t="s">
        <v>27</v>
      </c>
      <c r="C161" s="26">
        <v>45523.0</v>
      </c>
      <c r="D161" s="10" t="s">
        <v>14</v>
      </c>
      <c r="E161" s="10" t="s">
        <v>58</v>
      </c>
      <c r="F161" s="27">
        <v>3000.0</v>
      </c>
      <c r="G161" s="27">
        <v>382.0</v>
      </c>
      <c r="H161" s="27">
        <v>325.0</v>
      </c>
      <c r="I161" s="27">
        <v>36000.0</v>
      </c>
      <c r="J161" s="27">
        <v>35819.0</v>
      </c>
      <c r="K161" s="27">
        <v>19.0</v>
      </c>
      <c r="L161" s="28" t="s">
        <v>16</v>
      </c>
      <c r="M161" s="10"/>
      <c r="N161" s="10"/>
      <c r="O161" s="29">
        <f t="shared" si="3"/>
        <v>0.1029722222</v>
      </c>
      <c r="P161" s="27">
        <f t="shared" si="2"/>
        <v>3707</v>
      </c>
    </row>
    <row r="162">
      <c r="A162" s="10" t="s">
        <v>233</v>
      </c>
      <c r="B162" s="10" t="s">
        <v>33</v>
      </c>
      <c r="C162" s="26">
        <v>45504.0</v>
      </c>
      <c r="D162" s="10" t="s">
        <v>39</v>
      </c>
      <c r="E162" s="10" t="s">
        <v>44</v>
      </c>
      <c r="F162" s="27">
        <v>4689.0</v>
      </c>
      <c r="G162" s="27">
        <v>134.0</v>
      </c>
      <c r="H162" s="27">
        <v>403.0</v>
      </c>
      <c r="I162" s="27">
        <v>51579.0</v>
      </c>
      <c r="J162" s="27">
        <v>50924.0</v>
      </c>
      <c r="K162" s="27">
        <v>173.0</v>
      </c>
      <c r="L162" s="28" t="s">
        <v>21</v>
      </c>
      <c r="M162" s="10"/>
      <c r="N162" s="10"/>
      <c r="O162" s="29">
        <f t="shared" si="3"/>
        <v>0.1013203048</v>
      </c>
      <c r="P162" s="27">
        <f t="shared" si="2"/>
        <v>5226</v>
      </c>
    </row>
    <row r="163">
      <c r="A163" s="10" t="s">
        <v>317</v>
      </c>
      <c r="B163" s="10" t="s">
        <v>33</v>
      </c>
      <c r="C163" s="26">
        <v>45621.0</v>
      </c>
      <c r="D163" s="10" t="s">
        <v>28</v>
      </c>
      <c r="E163" s="10" t="s">
        <v>51</v>
      </c>
      <c r="F163" s="27">
        <v>4182.0</v>
      </c>
      <c r="G163" s="27">
        <v>640.0</v>
      </c>
      <c r="H163" s="27">
        <v>240.0</v>
      </c>
      <c r="I163" s="27">
        <v>50184.0</v>
      </c>
      <c r="J163" s="27">
        <v>49351.0</v>
      </c>
      <c r="K163" s="27">
        <v>10.0</v>
      </c>
      <c r="L163" s="28" t="s">
        <v>21</v>
      </c>
      <c r="M163" s="10"/>
      <c r="N163" s="10"/>
      <c r="O163" s="29">
        <f t="shared" si="3"/>
        <v>0.1008688028</v>
      </c>
      <c r="P163" s="27">
        <f t="shared" si="2"/>
        <v>5062</v>
      </c>
    </row>
    <row r="164">
      <c r="A164" s="10" t="s">
        <v>59</v>
      </c>
      <c r="B164" s="10" t="s">
        <v>27</v>
      </c>
      <c r="C164" s="26">
        <v>45466.0</v>
      </c>
      <c r="D164" s="10" t="s">
        <v>53</v>
      </c>
      <c r="E164" s="10" t="s">
        <v>60</v>
      </c>
      <c r="F164" s="27">
        <v>1071.0</v>
      </c>
      <c r="G164" s="27">
        <v>519.0</v>
      </c>
      <c r="H164" s="27">
        <v>22.0</v>
      </c>
      <c r="I164" s="27">
        <v>16065.0</v>
      </c>
      <c r="J164" s="27">
        <v>15865.0</v>
      </c>
      <c r="K164" s="27">
        <v>103.0</v>
      </c>
      <c r="L164" s="28" t="s">
        <v>21</v>
      </c>
      <c r="M164" s="10"/>
      <c r="N164" s="10"/>
      <c r="O164" s="29">
        <f t="shared" si="3"/>
        <v>0.1003423592</v>
      </c>
      <c r="P164" s="27">
        <f t="shared" si="2"/>
        <v>1612</v>
      </c>
    </row>
    <row r="165">
      <c r="A165" s="10" t="s">
        <v>158</v>
      </c>
      <c r="B165" s="10" t="s">
        <v>13</v>
      </c>
      <c r="C165" s="26">
        <v>45741.0</v>
      </c>
      <c r="D165" s="10" t="s">
        <v>53</v>
      </c>
      <c r="E165" s="10" t="s">
        <v>92</v>
      </c>
      <c r="F165" s="27">
        <v>4050.0</v>
      </c>
      <c r="G165" s="27">
        <v>871.0</v>
      </c>
      <c r="H165" s="27">
        <v>347.0</v>
      </c>
      <c r="I165" s="27">
        <v>52650.0</v>
      </c>
      <c r="J165" s="27">
        <v>51755.0</v>
      </c>
      <c r="K165" s="27">
        <v>209.0</v>
      </c>
      <c r="L165" s="28" t="s">
        <v>21</v>
      </c>
      <c r="M165" s="10"/>
      <c r="N165" s="10"/>
      <c r="O165" s="29">
        <f t="shared" si="3"/>
        <v>0.1000569801</v>
      </c>
      <c r="P165" s="27">
        <f t="shared" si="2"/>
        <v>5268</v>
      </c>
    </row>
    <row r="166">
      <c r="A166" s="10" t="s">
        <v>176</v>
      </c>
      <c r="B166" s="10" t="s">
        <v>27</v>
      </c>
      <c r="C166" s="26">
        <v>45744.0</v>
      </c>
      <c r="D166" s="10" t="s">
        <v>34</v>
      </c>
      <c r="E166" s="10" t="s">
        <v>62</v>
      </c>
      <c r="F166" s="27">
        <v>4158.0</v>
      </c>
      <c r="G166" s="27">
        <v>167.0</v>
      </c>
      <c r="H166" s="27">
        <v>241.0</v>
      </c>
      <c r="I166" s="27">
        <v>45738.0</v>
      </c>
      <c r="J166" s="27">
        <v>45183.0</v>
      </c>
      <c r="K166" s="27">
        <v>142.0</v>
      </c>
      <c r="L166" s="28" t="s">
        <v>16</v>
      </c>
      <c r="M166" s="10"/>
      <c r="N166" s="10"/>
      <c r="O166" s="29">
        <f t="shared" si="3"/>
        <v>0.09982946347</v>
      </c>
      <c r="P166" s="27">
        <f t="shared" si="2"/>
        <v>4566</v>
      </c>
    </row>
    <row r="167">
      <c r="A167" s="10" t="s">
        <v>153</v>
      </c>
      <c r="B167" s="10" t="s">
        <v>33</v>
      </c>
      <c r="C167" s="26">
        <v>45454.0</v>
      </c>
      <c r="D167" s="10" t="s">
        <v>39</v>
      </c>
      <c r="E167" s="10" t="s">
        <v>44</v>
      </c>
      <c r="F167" s="27">
        <v>3689.0</v>
      </c>
      <c r="G167" s="27">
        <v>48.0</v>
      </c>
      <c r="H167" s="27">
        <v>306.0</v>
      </c>
      <c r="I167" s="27">
        <v>40579.0</v>
      </c>
      <c r="J167" s="27">
        <v>39588.0</v>
      </c>
      <c r="K167" s="27">
        <v>212.0</v>
      </c>
      <c r="L167" s="28" t="s">
        <v>30</v>
      </c>
      <c r="M167" s="10"/>
      <c r="N167" s="10"/>
      <c r="O167" s="29">
        <f t="shared" si="3"/>
        <v>0.099632815</v>
      </c>
      <c r="P167" s="27">
        <f t="shared" si="2"/>
        <v>4043</v>
      </c>
    </row>
    <row r="168">
      <c r="A168" s="10" t="s">
        <v>242</v>
      </c>
      <c r="B168" s="10" t="s">
        <v>24</v>
      </c>
      <c r="C168" s="26">
        <v>45629.0</v>
      </c>
      <c r="D168" s="10" t="s">
        <v>28</v>
      </c>
      <c r="E168" s="10" t="s">
        <v>98</v>
      </c>
      <c r="F168" s="27">
        <v>4285.0</v>
      </c>
      <c r="G168" s="27">
        <v>886.0</v>
      </c>
      <c r="H168" s="27">
        <v>376.0</v>
      </c>
      <c r="I168" s="27">
        <v>55705.0</v>
      </c>
      <c r="J168" s="27">
        <v>55556.0</v>
      </c>
      <c r="K168" s="27">
        <v>51.0</v>
      </c>
      <c r="L168" s="28" t="s">
        <v>16</v>
      </c>
      <c r="M168" s="10"/>
      <c r="N168" s="10"/>
      <c r="O168" s="29">
        <f t="shared" si="3"/>
        <v>0.09957813482</v>
      </c>
      <c r="P168" s="27">
        <f t="shared" si="2"/>
        <v>5547</v>
      </c>
    </row>
    <row r="169">
      <c r="A169" s="10" t="s">
        <v>244</v>
      </c>
      <c r="B169" s="10" t="s">
        <v>13</v>
      </c>
      <c r="C169" s="26">
        <v>45546.0</v>
      </c>
      <c r="D169" s="10" t="s">
        <v>39</v>
      </c>
      <c r="E169" s="10" t="s">
        <v>85</v>
      </c>
      <c r="F169" s="27">
        <v>4858.0</v>
      </c>
      <c r="G169" s="27">
        <v>317.0</v>
      </c>
      <c r="H169" s="27">
        <v>129.0</v>
      </c>
      <c r="I169" s="27">
        <v>53438.0</v>
      </c>
      <c r="J169" s="27">
        <v>52687.0</v>
      </c>
      <c r="K169" s="27">
        <v>223.0</v>
      </c>
      <c r="L169" s="28" t="s">
        <v>30</v>
      </c>
      <c r="M169" s="10"/>
      <c r="N169" s="10"/>
      <c r="O169" s="29">
        <f t="shared" si="3"/>
        <v>0.09925521165</v>
      </c>
      <c r="P169" s="27">
        <f t="shared" si="2"/>
        <v>5304</v>
      </c>
    </row>
    <row r="170">
      <c r="A170" s="10" t="s">
        <v>218</v>
      </c>
      <c r="B170" s="10" t="s">
        <v>27</v>
      </c>
      <c r="C170" s="26">
        <v>45624.0</v>
      </c>
      <c r="D170" s="10" t="s">
        <v>19</v>
      </c>
      <c r="E170" s="10" t="s">
        <v>75</v>
      </c>
      <c r="F170" s="27">
        <v>4771.0</v>
      </c>
      <c r="G170" s="27">
        <v>818.0</v>
      </c>
      <c r="H170" s="27">
        <v>56.0</v>
      </c>
      <c r="I170" s="27">
        <v>57252.0</v>
      </c>
      <c r="J170" s="27">
        <v>56378.0</v>
      </c>
      <c r="K170" s="27">
        <v>150.0</v>
      </c>
      <c r="L170" s="28" t="s">
        <v>16</v>
      </c>
      <c r="M170" s="10"/>
      <c r="N170" s="10"/>
      <c r="O170" s="29">
        <f t="shared" si="3"/>
        <v>0.09859917557</v>
      </c>
      <c r="P170" s="27">
        <f t="shared" si="2"/>
        <v>5645</v>
      </c>
    </row>
    <row r="171">
      <c r="A171" s="10" t="s">
        <v>89</v>
      </c>
      <c r="B171" s="10" t="s">
        <v>13</v>
      </c>
      <c r="C171" s="26">
        <v>45718.0</v>
      </c>
      <c r="D171" s="10" t="s">
        <v>39</v>
      </c>
      <c r="E171" s="10" t="s">
        <v>85</v>
      </c>
      <c r="F171" s="27">
        <v>2358.0</v>
      </c>
      <c r="G171" s="27">
        <v>784.0</v>
      </c>
      <c r="H171" s="27">
        <v>344.0</v>
      </c>
      <c r="I171" s="27">
        <v>35370.0</v>
      </c>
      <c r="J171" s="27">
        <v>34475.0</v>
      </c>
      <c r="K171" s="27">
        <v>216.0</v>
      </c>
      <c r="L171" s="28" t="s">
        <v>21</v>
      </c>
      <c r="M171" s="10"/>
      <c r="N171" s="10"/>
      <c r="O171" s="29">
        <f t="shared" si="3"/>
        <v>0.09855810008</v>
      </c>
      <c r="P171" s="27">
        <f t="shared" si="2"/>
        <v>3486</v>
      </c>
    </row>
    <row r="172">
      <c r="A172" s="10" t="s">
        <v>222</v>
      </c>
      <c r="B172" s="10" t="s">
        <v>24</v>
      </c>
      <c r="C172" s="26">
        <v>45657.0</v>
      </c>
      <c r="D172" s="10" t="s">
        <v>53</v>
      </c>
      <c r="E172" s="10" t="s">
        <v>133</v>
      </c>
      <c r="F172" s="27">
        <v>1018.0</v>
      </c>
      <c r="G172" s="27">
        <v>447.0</v>
      </c>
      <c r="H172" s="27">
        <v>332.0</v>
      </c>
      <c r="I172" s="27">
        <v>18324.0</v>
      </c>
      <c r="J172" s="27">
        <v>18164.0</v>
      </c>
      <c r="K172" s="27">
        <v>38.0</v>
      </c>
      <c r="L172" s="28" t="s">
        <v>16</v>
      </c>
      <c r="M172" s="10"/>
      <c r="N172" s="10"/>
      <c r="O172" s="29">
        <f t="shared" si="3"/>
        <v>0.0980681074</v>
      </c>
      <c r="P172" s="27">
        <f t="shared" si="2"/>
        <v>1797</v>
      </c>
    </row>
    <row r="173">
      <c r="A173" s="10" t="s">
        <v>324</v>
      </c>
      <c r="B173" s="10" t="s">
        <v>24</v>
      </c>
      <c r="C173" s="26">
        <v>45577.0</v>
      </c>
      <c r="D173" s="10" t="s">
        <v>28</v>
      </c>
      <c r="E173" s="10" t="s">
        <v>98</v>
      </c>
      <c r="F173" s="27">
        <v>3641.0</v>
      </c>
      <c r="G173" s="27">
        <v>226.0</v>
      </c>
      <c r="H173" s="27">
        <v>46.0</v>
      </c>
      <c r="I173" s="27">
        <v>40051.0</v>
      </c>
      <c r="J173" s="27">
        <v>39319.0</v>
      </c>
      <c r="K173" s="27">
        <v>296.0</v>
      </c>
      <c r="L173" s="28" t="s">
        <v>30</v>
      </c>
      <c r="M173" s="10"/>
      <c r="N173" s="10"/>
      <c r="O173" s="29">
        <f t="shared" si="3"/>
        <v>0.09770043195</v>
      </c>
      <c r="P173" s="27">
        <f t="shared" si="2"/>
        <v>3913</v>
      </c>
    </row>
    <row r="174">
      <c r="A174" s="10" t="s">
        <v>294</v>
      </c>
      <c r="B174" s="10" t="s">
        <v>13</v>
      </c>
      <c r="C174" s="26">
        <v>45722.0</v>
      </c>
      <c r="D174" s="10" t="s">
        <v>39</v>
      </c>
      <c r="E174" s="10" t="s">
        <v>85</v>
      </c>
      <c r="F174" s="27">
        <v>3592.0</v>
      </c>
      <c r="G174" s="27">
        <v>911.0</v>
      </c>
      <c r="H174" s="27">
        <v>375.0</v>
      </c>
      <c r="I174" s="27">
        <v>50288.0</v>
      </c>
      <c r="J174" s="27">
        <v>49490.0</v>
      </c>
      <c r="K174" s="27">
        <v>32.0</v>
      </c>
      <c r="L174" s="28" t="s">
        <v>16</v>
      </c>
      <c r="M174" s="10"/>
      <c r="N174" s="10"/>
      <c r="O174" s="29">
        <f t="shared" si="3"/>
        <v>0.09700127267</v>
      </c>
      <c r="P174" s="27">
        <f t="shared" si="2"/>
        <v>4878</v>
      </c>
    </row>
    <row r="175">
      <c r="A175" s="10" t="s">
        <v>236</v>
      </c>
      <c r="B175" s="10" t="s">
        <v>27</v>
      </c>
      <c r="C175" s="26">
        <v>45668.0</v>
      </c>
      <c r="D175" s="10" t="s">
        <v>34</v>
      </c>
      <c r="E175" s="10" t="s">
        <v>62</v>
      </c>
      <c r="F175" s="27">
        <v>4523.0</v>
      </c>
      <c r="G175" s="27">
        <v>61.0</v>
      </c>
      <c r="H175" s="27">
        <v>157.0</v>
      </c>
      <c r="I175" s="27">
        <v>49753.0</v>
      </c>
      <c r="J175" s="27">
        <v>49329.0</v>
      </c>
      <c r="K175" s="27">
        <v>71.0</v>
      </c>
      <c r="L175" s="28" t="s">
        <v>30</v>
      </c>
      <c r="M175" s="10"/>
      <c r="N175" s="10"/>
      <c r="O175" s="29">
        <f t="shared" si="3"/>
        <v>0.09529073624</v>
      </c>
      <c r="P175" s="27">
        <f t="shared" si="2"/>
        <v>4741</v>
      </c>
    </row>
    <row r="176">
      <c r="A176" s="10" t="s">
        <v>129</v>
      </c>
      <c r="B176" s="10" t="s">
        <v>27</v>
      </c>
      <c r="C176" s="26">
        <v>45584.0</v>
      </c>
      <c r="D176" s="10" t="s">
        <v>28</v>
      </c>
      <c r="E176" s="10" t="s">
        <v>29</v>
      </c>
      <c r="F176" s="27">
        <v>1816.0</v>
      </c>
      <c r="G176" s="27">
        <v>29.0</v>
      </c>
      <c r="H176" s="27">
        <v>41.0</v>
      </c>
      <c r="I176" s="27">
        <v>19976.0</v>
      </c>
      <c r="J176" s="27">
        <v>19262.0</v>
      </c>
      <c r="K176" s="27">
        <v>283.0</v>
      </c>
      <c r="L176" s="28" t="s">
        <v>21</v>
      </c>
      <c r="M176" s="10"/>
      <c r="N176" s="10"/>
      <c r="O176" s="29">
        <f t="shared" si="3"/>
        <v>0.09441329596</v>
      </c>
      <c r="P176" s="27">
        <f t="shared" si="2"/>
        <v>1886</v>
      </c>
    </row>
    <row r="177">
      <c r="A177" s="10" t="s">
        <v>56</v>
      </c>
      <c r="B177" s="10" t="s">
        <v>33</v>
      </c>
      <c r="C177" s="26">
        <v>45782.0</v>
      </c>
      <c r="D177" s="10" t="s">
        <v>19</v>
      </c>
      <c r="E177" s="10" t="s">
        <v>42</v>
      </c>
      <c r="F177" s="27">
        <v>4441.0</v>
      </c>
      <c r="G177" s="27">
        <v>511.0</v>
      </c>
      <c r="H177" s="27">
        <v>70.0</v>
      </c>
      <c r="I177" s="27">
        <v>53292.0</v>
      </c>
      <c r="J177" s="27">
        <v>53082.0</v>
      </c>
      <c r="K177" s="27">
        <v>159.0</v>
      </c>
      <c r="L177" s="28" t="s">
        <v>30</v>
      </c>
      <c r="M177" s="10"/>
      <c r="N177" s="10"/>
      <c r="O177" s="29">
        <f t="shared" si="3"/>
        <v>0.09423553254</v>
      </c>
      <c r="P177" s="27">
        <f t="shared" si="2"/>
        <v>5022</v>
      </c>
    </row>
    <row r="178">
      <c r="A178" s="10" t="s">
        <v>189</v>
      </c>
      <c r="B178" s="10" t="s">
        <v>24</v>
      </c>
      <c r="C178" s="26">
        <v>45594.0</v>
      </c>
      <c r="D178" s="10" t="s">
        <v>19</v>
      </c>
      <c r="E178" s="10" t="s">
        <v>70</v>
      </c>
      <c r="F178" s="27">
        <v>2746.0</v>
      </c>
      <c r="G178" s="27">
        <v>156.0</v>
      </c>
      <c r="H178" s="27">
        <v>203.0</v>
      </c>
      <c r="I178" s="27">
        <v>32952.0</v>
      </c>
      <c r="J178" s="27">
        <v>32147.0</v>
      </c>
      <c r="K178" s="27">
        <v>147.0</v>
      </c>
      <c r="L178" s="28" t="s">
        <v>30</v>
      </c>
      <c r="M178" s="10"/>
      <c r="N178" s="10"/>
      <c r="O178" s="29">
        <f t="shared" si="3"/>
        <v>0.09422796795</v>
      </c>
      <c r="P178" s="27">
        <f t="shared" si="2"/>
        <v>3105</v>
      </c>
    </row>
    <row r="179">
      <c r="A179" s="10" t="s">
        <v>117</v>
      </c>
      <c r="B179" s="10" t="s">
        <v>13</v>
      </c>
      <c r="C179" s="26">
        <v>45724.0</v>
      </c>
      <c r="D179" s="10" t="s">
        <v>19</v>
      </c>
      <c r="E179" s="10" t="s">
        <v>20</v>
      </c>
      <c r="F179" s="27">
        <v>1292.0</v>
      </c>
      <c r="G179" s="27">
        <v>626.0</v>
      </c>
      <c r="H179" s="27">
        <v>496.0</v>
      </c>
      <c r="I179" s="27">
        <v>25840.0</v>
      </c>
      <c r="J179" s="27">
        <v>24916.0</v>
      </c>
      <c r="K179" s="27">
        <v>149.0</v>
      </c>
      <c r="L179" s="28" t="s">
        <v>16</v>
      </c>
      <c r="M179" s="10"/>
      <c r="N179" s="10"/>
      <c r="O179" s="29">
        <f t="shared" si="3"/>
        <v>0.09342105263</v>
      </c>
      <c r="P179" s="27">
        <f t="shared" si="2"/>
        <v>2414</v>
      </c>
    </row>
    <row r="180">
      <c r="A180" s="10" t="s">
        <v>107</v>
      </c>
      <c r="B180" s="10" t="s">
        <v>27</v>
      </c>
      <c r="C180" s="26">
        <v>45465.0</v>
      </c>
      <c r="D180" s="10" t="s">
        <v>19</v>
      </c>
      <c r="E180" s="10" t="s">
        <v>75</v>
      </c>
      <c r="F180" s="27">
        <v>2180.0</v>
      </c>
      <c r="G180" s="27">
        <v>263.0</v>
      </c>
      <c r="H180" s="27">
        <v>387.0</v>
      </c>
      <c r="I180" s="27">
        <v>30520.0</v>
      </c>
      <c r="J180" s="27">
        <v>30059.0</v>
      </c>
      <c r="K180" s="27">
        <v>174.0</v>
      </c>
      <c r="L180" s="28" t="s">
        <v>30</v>
      </c>
      <c r="M180" s="10"/>
      <c r="N180" s="10"/>
      <c r="O180" s="29">
        <f t="shared" si="3"/>
        <v>0.09272608126</v>
      </c>
      <c r="P180" s="27">
        <f t="shared" si="2"/>
        <v>2830</v>
      </c>
    </row>
    <row r="181">
      <c r="A181" s="10" t="s">
        <v>150</v>
      </c>
      <c r="B181" s="10" t="s">
        <v>24</v>
      </c>
      <c r="C181" s="26">
        <v>45698.0</v>
      </c>
      <c r="D181" s="10" t="s">
        <v>53</v>
      </c>
      <c r="E181" s="10" t="s">
        <v>133</v>
      </c>
      <c r="F181" s="27">
        <v>1766.0</v>
      </c>
      <c r="G181" s="27">
        <v>92.0</v>
      </c>
      <c r="H181" s="27">
        <v>424.0</v>
      </c>
      <c r="I181" s="27">
        <v>24724.0</v>
      </c>
      <c r="J181" s="27">
        <v>24333.0</v>
      </c>
      <c r="K181" s="27">
        <v>52.0</v>
      </c>
      <c r="L181" s="28" t="s">
        <v>30</v>
      </c>
      <c r="M181" s="10"/>
      <c r="N181" s="10"/>
      <c r="O181" s="29">
        <f t="shared" si="3"/>
        <v>0.09229898075</v>
      </c>
      <c r="P181" s="27">
        <f t="shared" si="2"/>
        <v>2282</v>
      </c>
    </row>
    <row r="182">
      <c r="A182" s="10" t="s">
        <v>103</v>
      </c>
      <c r="B182" s="10" t="s">
        <v>33</v>
      </c>
      <c r="C182" s="26">
        <v>45460.0</v>
      </c>
      <c r="D182" s="10" t="s">
        <v>39</v>
      </c>
      <c r="E182" s="10" t="s">
        <v>44</v>
      </c>
      <c r="F182" s="27">
        <v>1226.0</v>
      </c>
      <c r="G182" s="27">
        <v>119.0</v>
      </c>
      <c r="H182" s="27">
        <v>7.0</v>
      </c>
      <c r="I182" s="27">
        <v>14712.0</v>
      </c>
      <c r="J182" s="27">
        <v>14049.0</v>
      </c>
      <c r="K182" s="27">
        <v>123.0</v>
      </c>
      <c r="L182" s="28" t="s">
        <v>30</v>
      </c>
      <c r="M182" s="10"/>
      <c r="N182" s="10"/>
      <c r="O182" s="29">
        <f t="shared" si="3"/>
        <v>0.09189777053</v>
      </c>
      <c r="P182" s="27">
        <f t="shared" si="2"/>
        <v>1352</v>
      </c>
    </row>
    <row r="183">
      <c r="A183" s="10" t="s">
        <v>228</v>
      </c>
      <c r="B183" s="10" t="s">
        <v>27</v>
      </c>
      <c r="C183" s="26">
        <v>45483.0</v>
      </c>
      <c r="D183" s="10" t="s">
        <v>34</v>
      </c>
      <c r="E183" s="10" t="s">
        <v>62</v>
      </c>
      <c r="F183" s="27">
        <v>3099.0</v>
      </c>
      <c r="G183" s="27">
        <v>694.0</v>
      </c>
      <c r="H183" s="27">
        <v>171.0</v>
      </c>
      <c r="I183" s="27">
        <v>43386.0</v>
      </c>
      <c r="J183" s="27">
        <v>42921.0</v>
      </c>
      <c r="K183" s="27">
        <v>52.0</v>
      </c>
      <c r="L183" s="28" t="s">
        <v>21</v>
      </c>
      <c r="M183" s="10"/>
      <c r="N183" s="10"/>
      <c r="O183" s="29">
        <f t="shared" si="3"/>
        <v>0.09136587839</v>
      </c>
      <c r="P183" s="27">
        <f t="shared" si="2"/>
        <v>3964</v>
      </c>
    </row>
    <row r="184">
      <c r="A184" s="10" t="s">
        <v>211</v>
      </c>
      <c r="B184" s="10" t="s">
        <v>13</v>
      </c>
      <c r="C184" s="26">
        <v>45528.0</v>
      </c>
      <c r="D184" s="10" t="s">
        <v>53</v>
      </c>
      <c r="E184" s="10" t="s">
        <v>92</v>
      </c>
      <c r="F184" s="27">
        <v>1082.0</v>
      </c>
      <c r="G184" s="27">
        <v>209.0</v>
      </c>
      <c r="H184" s="27">
        <v>484.0</v>
      </c>
      <c r="I184" s="27">
        <v>19476.0</v>
      </c>
      <c r="J184" s="27">
        <v>18654.0</v>
      </c>
      <c r="K184" s="27">
        <v>20.0</v>
      </c>
      <c r="L184" s="28" t="s">
        <v>21</v>
      </c>
      <c r="M184" s="10"/>
      <c r="N184" s="10"/>
      <c r="O184" s="29">
        <f t="shared" si="3"/>
        <v>0.09113781064</v>
      </c>
      <c r="P184" s="27">
        <f t="shared" si="2"/>
        <v>1775</v>
      </c>
    </row>
    <row r="185">
      <c r="A185" s="10" t="s">
        <v>12</v>
      </c>
      <c r="B185" s="10" t="s">
        <v>13</v>
      </c>
      <c r="C185" s="26">
        <v>45649.0</v>
      </c>
      <c r="D185" s="10" t="s">
        <v>14</v>
      </c>
      <c r="E185" s="10" t="s">
        <v>15</v>
      </c>
      <c r="F185" s="27">
        <v>1461.0</v>
      </c>
      <c r="G185" s="27">
        <v>184.0</v>
      </c>
      <c r="H185" s="27">
        <v>344.0</v>
      </c>
      <c r="I185" s="27">
        <v>21915.0</v>
      </c>
      <c r="J185" s="27">
        <v>21675.0</v>
      </c>
      <c r="K185" s="27">
        <v>15.0</v>
      </c>
      <c r="L185" s="28" t="s">
        <v>16</v>
      </c>
      <c r="M185" s="28" t="s">
        <v>17</v>
      </c>
      <c r="N185" s="10"/>
      <c r="O185" s="29">
        <f t="shared" si="3"/>
        <v>0.09075975359</v>
      </c>
      <c r="P185" s="27">
        <f t="shared" si="2"/>
        <v>1989</v>
      </c>
    </row>
    <row r="186">
      <c r="A186" s="10" t="s">
        <v>252</v>
      </c>
      <c r="B186" s="10" t="s">
        <v>13</v>
      </c>
      <c r="C186" s="26">
        <v>45672.0</v>
      </c>
      <c r="D186" s="10" t="s">
        <v>14</v>
      </c>
      <c r="E186" s="10" t="s">
        <v>15</v>
      </c>
      <c r="F186" s="27">
        <v>802.0</v>
      </c>
      <c r="G186" s="27">
        <v>262.0</v>
      </c>
      <c r="H186" s="27">
        <v>244.0</v>
      </c>
      <c r="I186" s="27">
        <v>14436.0</v>
      </c>
      <c r="J186" s="27">
        <v>14280.0</v>
      </c>
      <c r="K186" s="27">
        <v>49.0</v>
      </c>
      <c r="L186" s="28" t="s">
        <v>30</v>
      </c>
      <c r="M186" s="10"/>
      <c r="N186" s="10"/>
      <c r="O186" s="29">
        <f t="shared" si="3"/>
        <v>0.09060681629</v>
      </c>
      <c r="P186" s="27">
        <f t="shared" si="2"/>
        <v>1308</v>
      </c>
    </row>
    <row r="187">
      <c r="A187" s="10" t="s">
        <v>231</v>
      </c>
      <c r="B187" s="10" t="s">
        <v>24</v>
      </c>
      <c r="C187" s="26">
        <v>45629.0</v>
      </c>
      <c r="D187" s="10" t="s">
        <v>19</v>
      </c>
      <c r="E187" s="10" t="s">
        <v>70</v>
      </c>
      <c r="F187" s="27">
        <v>3711.0</v>
      </c>
      <c r="G187" s="27">
        <v>352.0</v>
      </c>
      <c r="H187" s="27">
        <v>290.0</v>
      </c>
      <c r="I187" s="27">
        <v>48243.0</v>
      </c>
      <c r="J187" s="27">
        <v>47579.0</v>
      </c>
      <c r="K187" s="27">
        <v>11.0</v>
      </c>
      <c r="L187" s="28" t="s">
        <v>21</v>
      </c>
      <c r="M187" s="10"/>
      <c r="N187" s="10"/>
      <c r="O187" s="29">
        <f t="shared" si="3"/>
        <v>0.09023070705</v>
      </c>
      <c r="P187" s="27">
        <f t="shared" si="2"/>
        <v>4353</v>
      </c>
    </row>
    <row r="188">
      <c r="A188" s="10" t="s">
        <v>68</v>
      </c>
      <c r="B188" s="10" t="s">
        <v>24</v>
      </c>
      <c r="C188" s="26">
        <v>45752.0</v>
      </c>
      <c r="D188" s="10" t="s">
        <v>14</v>
      </c>
      <c r="E188" s="10" t="s">
        <v>25</v>
      </c>
      <c r="F188" s="27">
        <v>3009.0</v>
      </c>
      <c r="G188" s="27">
        <v>413.0</v>
      </c>
      <c r="H188" s="27">
        <v>358.0</v>
      </c>
      <c r="I188" s="27">
        <v>42126.0</v>
      </c>
      <c r="J188" s="27">
        <v>41309.0</v>
      </c>
      <c r="K188" s="27">
        <v>211.0</v>
      </c>
      <c r="L188" s="28" t="s">
        <v>16</v>
      </c>
      <c r="M188" s="10"/>
      <c r="N188" s="10"/>
      <c r="O188" s="29">
        <f t="shared" si="3"/>
        <v>0.08973080758</v>
      </c>
      <c r="P188" s="27">
        <f t="shared" si="2"/>
        <v>3780</v>
      </c>
    </row>
    <row r="189">
      <c r="A189" s="10" t="s">
        <v>180</v>
      </c>
      <c r="B189" s="10" t="s">
        <v>24</v>
      </c>
      <c r="C189" s="26">
        <v>45564.0</v>
      </c>
      <c r="D189" s="10" t="s">
        <v>14</v>
      </c>
      <c r="E189" s="10" t="s">
        <v>25</v>
      </c>
      <c r="F189" s="27">
        <v>2936.0</v>
      </c>
      <c r="G189" s="27">
        <v>439.0</v>
      </c>
      <c r="H189" s="27">
        <v>44.0</v>
      </c>
      <c r="I189" s="27">
        <v>38168.0</v>
      </c>
      <c r="J189" s="27">
        <v>37571.0</v>
      </c>
      <c r="K189" s="27">
        <v>22.0</v>
      </c>
      <c r="L189" s="28" t="s">
        <v>30</v>
      </c>
      <c r="M189" s="10"/>
      <c r="N189" s="10"/>
      <c r="O189" s="29">
        <f t="shared" si="3"/>
        <v>0.08957765668</v>
      </c>
      <c r="P189" s="27">
        <f t="shared" si="2"/>
        <v>3419</v>
      </c>
    </row>
    <row r="190">
      <c r="A190" s="10" t="s">
        <v>127</v>
      </c>
      <c r="B190" s="10" t="s">
        <v>27</v>
      </c>
      <c r="C190" s="26">
        <v>45574.0</v>
      </c>
      <c r="D190" s="10" t="s">
        <v>34</v>
      </c>
      <c r="E190" s="10" t="s">
        <v>62</v>
      </c>
      <c r="F190" s="27">
        <v>3068.0</v>
      </c>
      <c r="G190" s="27">
        <v>137.0</v>
      </c>
      <c r="H190" s="27">
        <v>329.0</v>
      </c>
      <c r="I190" s="27">
        <v>39884.0</v>
      </c>
      <c r="J190" s="27">
        <v>39404.0</v>
      </c>
      <c r="K190" s="27">
        <v>266.0</v>
      </c>
      <c r="L190" s="28" t="s">
        <v>30</v>
      </c>
      <c r="M190" s="10"/>
      <c r="N190" s="10"/>
      <c r="O190" s="29">
        <f t="shared" si="3"/>
        <v>0.08860696018</v>
      </c>
      <c r="P190" s="27">
        <f t="shared" si="2"/>
        <v>3534</v>
      </c>
    </row>
    <row r="191">
      <c r="A191" s="10" t="s">
        <v>120</v>
      </c>
      <c r="B191" s="10" t="s">
        <v>24</v>
      </c>
      <c r="C191" s="26">
        <v>45719.0</v>
      </c>
      <c r="D191" s="10" t="s">
        <v>14</v>
      </c>
      <c r="E191" s="10" t="s">
        <v>25</v>
      </c>
      <c r="F191" s="27">
        <v>296.0</v>
      </c>
      <c r="G191" s="27">
        <v>60.0</v>
      </c>
      <c r="H191" s="27">
        <v>141.0</v>
      </c>
      <c r="I191" s="27">
        <v>5624.0</v>
      </c>
      <c r="J191" s="27">
        <v>5239.0</v>
      </c>
      <c r="K191" s="27">
        <v>88.0</v>
      </c>
      <c r="L191" s="28" t="s">
        <v>30</v>
      </c>
      <c r="M191" s="10"/>
      <c r="N191" s="10"/>
      <c r="O191" s="29">
        <f t="shared" si="3"/>
        <v>0.088371266</v>
      </c>
      <c r="P191" s="27">
        <f t="shared" si="2"/>
        <v>497</v>
      </c>
    </row>
    <row r="192">
      <c r="A192" s="10" t="s">
        <v>41</v>
      </c>
      <c r="B192" s="10" t="s">
        <v>33</v>
      </c>
      <c r="C192" s="26">
        <v>45534.0</v>
      </c>
      <c r="D192" s="10" t="s">
        <v>19</v>
      </c>
      <c r="E192" s="10" t="s">
        <v>42</v>
      </c>
      <c r="F192" s="27">
        <v>3784.0</v>
      </c>
      <c r="G192" s="27">
        <v>808.0</v>
      </c>
      <c r="H192" s="27">
        <v>404.0</v>
      </c>
      <c r="I192" s="27">
        <v>56760.0</v>
      </c>
      <c r="J192" s="27">
        <v>56343.0</v>
      </c>
      <c r="K192" s="27">
        <v>131.0</v>
      </c>
      <c r="L192" s="28" t="s">
        <v>21</v>
      </c>
      <c r="M192" s="10"/>
      <c r="N192" s="10"/>
      <c r="O192" s="29">
        <f t="shared" si="3"/>
        <v>0.08801973221</v>
      </c>
      <c r="P192" s="27">
        <f t="shared" si="2"/>
        <v>4996</v>
      </c>
    </row>
    <row r="193">
      <c r="A193" s="10" t="s">
        <v>311</v>
      </c>
      <c r="B193" s="10" t="s">
        <v>27</v>
      </c>
      <c r="C193" s="26">
        <v>45700.0</v>
      </c>
      <c r="D193" s="10" t="s">
        <v>28</v>
      </c>
      <c r="E193" s="10" t="s">
        <v>29</v>
      </c>
      <c r="F193" s="27">
        <v>4332.0</v>
      </c>
      <c r="G193" s="27">
        <v>771.0</v>
      </c>
      <c r="H193" s="27">
        <v>219.0</v>
      </c>
      <c r="I193" s="27">
        <v>60648.0</v>
      </c>
      <c r="J193" s="27">
        <v>60397.0</v>
      </c>
      <c r="K193" s="27">
        <v>10.0</v>
      </c>
      <c r="L193" s="28" t="s">
        <v>21</v>
      </c>
      <c r="M193" s="28" t="s">
        <v>30</v>
      </c>
      <c r="N193" s="28" t="s">
        <v>22</v>
      </c>
      <c r="O193" s="29">
        <f t="shared" si="3"/>
        <v>0.08775227543</v>
      </c>
      <c r="P193" s="27">
        <f t="shared" si="2"/>
        <v>5322</v>
      </c>
    </row>
    <row r="194">
      <c r="A194" s="10" t="s">
        <v>300</v>
      </c>
      <c r="B194" s="10" t="s">
        <v>13</v>
      </c>
      <c r="C194" s="26">
        <v>45491.0</v>
      </c>
      <c r="D194" s="10" t="s">
        <v>39</v>
      </c>
      <c r="E194" s="10" t="s">
        <v>85</v>
      </c>
      <c r="F194" s="27">
        <v>827.0</v>
      </c>
      <c r="G194" s="27">
        <v>77.0</v>
      </c>
      <c r="H194" s="27">
        <v>402.0</v>
      </c>
      <c r="I194" s="27">
        <v>14886.0</v>
      </c>
      <c r="J194" s="27">
        <v>14129.0</v>
      </c>
      <c r="K194" s="27">
        <v>254.0</v>
      </c>
      <c r="L194" s="28" t="s">
        <v>30</v>
      </c>
      <c r="M194" s="10"/>
      <c r="N194" s="10"/>
      <c r="O194" s="29">
        <f t="shared" si="3"/>
        <v>0.08773344082</v>
      </c>
      <c r="P194" s="27">
        <f t="shared" si="2"/>
        <v>1306</v>
      </c>
    </row>
    <row r="195">
      <c r="A195" s="10" t="s">
        <v>147</v>
      </c>
      <c r="B195" s="10" t="s">
        <v>27</v>
      </c>
      <c r="C195" s="26">
        <v>45517.0</v>
      </c>
      <c r="D195" s="10" t="s">
        <v>39</v>
      </c>
      <c r="E195" s="10" t="s">
        <v>131</v>
      </c>
      <c r="F195" s="27">
        <v>4739.0</v>
      </c>
      <c r="G195" s="27">
        <v>527.0</v>
      </c>
      <c r="H195" s="27">
        <v>135.0</v>
      </c>
      <c r="I195" s="27">
        <v>61607.0</v>
      </c>
      <c r="J195" s="27">
        <v>61333.0</v>
      </c>
      <c r="K195" s="27">
        <v>36.0</v>
      </c>
      <c r="L195" s="28" t="s">
        <v>21</v>
      </c>
      <c r="M195" s="28" t="s">
        <v>17</v>
      </c>
      <c r="N195" s="10"/>
      <c r="O195" s="29">
        <f t="shared" si="3"/>
        <v>0.08766860909</v>
      </c>
      <c r="P195" s="27">
        <f t="shared" si="2"/>
        <v>5401</v>
      </c>
    </row>
    <row r="196">
      <c r="A196" s="10" t="s">
        <v>304</v>
      </c>
      <c r="B196" s="10" t="s">
        <v>13</v>
      </c>
      <c r="C196" s="26">
        <v>45507.0</v>
      </c>
      <c r="D196" s="10" t="s">
        <v>14</v>
      </c>
      <c r="E196" s="10" t="s">
        <v>15</v>
      </c>
      <c r="F196" s="27">
        <v>3791.0</v>
      </c>
      <c r="G196" s="27">
        <v>593.0</v>
      </c>
      <c r="H196" s="27">
        <v>228.0</v>
      </c>
      <c r="I196" s="27">
        <v>53074.0</v>
      </c>
      <c r="J196" s="27">
        <v>52613.0</v>
      </c>
      <c r="K196" s="27">
        <v>205.0</v>
      </c>
      <c r="L196" s="28" t="s">
        <v>30</v>
      </c>
      <c r="M196" s="10"/>
      <c r="N196" s="10"/>
      <c r="O196" s="29">
        <f t="shared" si="3"/>
        <v>0.08689753928</v>
      </c>
      <c r="P196" s="27">
        <f t="shared" si="2"/>
        <v>4612</v>
      </c>
    </row>
    <row r="197">
      <c r="A197" s="10" t="s">
        <v>134</v>
      </c>
      <c r="B197" s="10" t="s">
        <v>33</v>
      </c>
      <c r="C197" s="26">
        <v>45635.0</v>
      </c>
      <c r="D197" s="10" t="s">
        <v>39</v>
      </c>
      <c r="E197" s="10" t="s">
        <v>44</v>
      </c>
      <c r="F197" s="27">
        <v>1841.0</v>
      </c>
      <c r="G197" s="27">
        <v>851.0</v>
      </c>
      <c r="H197" s="27">
        <v>342.0</v>
      </c>
      <c r="I197" s="27">
        <v>34979.0</v>
      </c>
      <c r="J197" s="27">
        <v>34154.0</v>
      </c>
      <c r="K197" s="27">
        <v>255.0</v>
      </c>
      <c r="L197" s="28" t="s">
        <v>16</v>
      </c>
      <c r="M197" s="10"/>
      <c r="N197" s="10"/>
      <c r="O197" s="29">
        <f t="shared" si="3"/>
        <v>0.08673775694</v>
      </c>
      <c r="P197" s="27">
        <f t="shared" si="2"/>
        <v>3034</v>
      </c>
    </row>
    <row r="198">
      <c r="A198" s="10" t="s">
        <v>213</v>
      </c>
      <c r="B198" s="10" t="s">
        <v>33</v>
      </c>
      <c r="C198" s="26">
        <v>45748.0</v>
      </c>
      <c r="D198" s="10" t="s">
        <v>28</v>
      </c>
      <c r="E198" s="10" t="s">
        <v>51</v>
      </c>
      <c r="F198" s="27">
        <v>3430.0</v>
      </c>
      <c r="G198" s="27">
        <v>566.0</v>
      </c>
      <c r="H198" s="27">
        <v>164.0</v>
      </c>
      <c r="I198" s="27">
        <v>48020.0</v>
      </c>
      <c r="J198" s="27">
        <v>47305.0</v>
      </c>
      <c r="K198" s="27">
        <v>120.0</v>
      </c>
      <c r="L198" s="28" t="s">
        <v>16</v>
      </c>
      <c r="M198" s="10"/>
      <c r="N198" s="10"/>
      <c r="O198" s="29">
        <f t="shared" si="3"/>
        <v>0.0866305706</v>
      </c>
      <c r="P198" s="27">
        <f t="shared" si="2"/>
        <v>4160</v>
      </c>
    </row>
    <row r="199">
      <c r="A199" s="10" t="s">
        <v>259</v>
      </c>
      <c r="B199" s="10" t="s">
        <v>24</v>
      </c>
      <c r="C199" s="26">
        <v>45467.0</v>
      </c>
      <c r="D199" s="10" t="s">
        <v>53</v>
      </c>
      <c r="E199" s="10" t="s">
        <v>133</v>
      </c>
      <c r="F199" s="27">
        <v>2949.0</v>
      </c>
      <c r="G199" s="27">
        <v>476.0</v>
      </c>
      <c r="H199" s="27">
        <v>403.0</v>
      </c>
      <c r="I199" s="27">
        <v>44235.0</v>
      </c>
      <c r="J199" s="27">
        <v>43705.0</v>
      </c>
      <c r="K199" s="27">
        <v>135.0</v>
      </c>
      <c r="L199" s="28" t="s">
        <v>21</v>
      </c>
      <c r="M199" s="10"/>
      <c r="N199" s="10"/>
      <c r="O199" s="29">
        <f t="shared" si="3"/>
        <v>0.08653780943</v>
      </c>
      <c r="P199" s="27">
        <f t="shared" si="2"/>
        <v>3828</v>
      </c>
    </row>
    <row r="200">
      <c r="A200" s="10" t="s">
        <v>291</v>
      </c>
      <c r="B200" s="10" t="s">
        <v>13</v>
      </c>
      <c r="C200" s="26">
        <v>45530.0</v>
      </c>
      <c r="D200" s="10" t="s">
        <v>34</v>
      </c>
      <c r="E200" s="10" t="s">
        <v>37</v>
      </c>
      <c r="F200" s="27">
        <v>929.0</v>
      </c>
      <c r="G200" s="27">
        <v>192.0</v>
      </c>
      <c r="H200" s="27">
        <v>322.0</v>
      </c>
      <c r="I200" s="27">
        <v>16722.0</v>
      </c>
      <c r="J200" s="27">
        <v>15996.0</v>
      </c>
      <c r="K200" s="27">
        <v>145.0</v>
      </c>
      <c r="L200" s="28" t="s">
        <v>30</v>
      </c>
      <c r="M200" s="28" t="s">
        <v>21</v>
      </c>
      <c r="N200" s="28" t="s">
        <v>17</v>
      </c>
      <c r="O200" s="29">
        <f t="shared" si="3"/>
        <v>0.08629350556</v>
      </c>
      <c r="P200" s="27">
        <f t="shared" si="2"/>
        <v>1443</v>
      </c>
    </row>
    <row r="201">
      <c r="A201" s="10" t="s">
        <v>282</v>
      </c>
      <c r="B201" s="10" t="s">
        <v>27</v>
      </c>
      <c r="C201" s="26">
        <v>45778.0</v>
      </c>
      <c r="D201" s="10" t="s">
        <v>19</v>
      </c>
      <c r="E201" s="10" t="s">
        <v>75</v>
      </c>
      <c r="F201" s="27">
        <v>1430.0</v>
      </c>
      <c r="G201" s="27">
        <v>376.0</v>
      </c>
      <c r="H201" s="27">
        <v>33.0</v>
      </c>
      <c r="I201" s="27">
        <v>21450.0</v>
      </c>
      <c r="J201" s="27">
        <v>20509.0</v>
      </c>
      <c r="K201" s="27">
        <v>251.0</v>
      </c>
      <c r="L201" s="28" t="s">
        <v>16</v>
      </c>
      <c r="M201" s="10"/>
      <c r="N201" s="10"/>
      <c r="O201" s="29">
        <f t="shared" si="3"/>
        <v>0.08573426573</v>
      </c>
      <c r="P201" s="27">
        <f t="shared" si="2"/>
        <v>1839</v>
      </c>
    </row>
    <row r="202">
      <c r="A202" s="10" t="s">
        <v>156</v>
      </c>
      <c r="B202" s="10" t="s">
        <v>27</v>
      </c>
      <c r="C202" s="26">
        <v>45692.0</v>
      </c>
      <c r="D202" s="10" t="s">
        <v>39</v>
      </c>
      <c r="E202" s="10" t="s">
        <v>131</v>
      </c>
      <c r="F202" s="27">
        <v>4619.0</v>
      </c>
      <c r="G202" s="27">
        <v>821.0</v>
      </c>
      <c r="H202" s="27">
        <v>499.0</v>
      </c>
      <c r="I202" s="27">
        <v>69285.0</v>
      </c>
      <c r="J202" s="27">
        <v>69141.0</v>
      </c>
      <c r="K202" s="27">
        <v>298.0</v>
      </c>
      <c r="L202" s="28" t="s">
        <v>21</v>
      </c>
      <c r="M202" s="10"/>
      <c r="N202" s="10"/>
      <c r="O202" s="29">
        <f t="shared" si="3"/>
        <v>0.08571840947</v>
      </c>
      <c r="P202" s="27">
        <f t="shared" si="2"/>
        <v>5939</v>
      </c>
    </row>
    <row r="203">
      <c r="A203" s="10" t="s">
        <v>130</v>
      </c>
      <c r="B203" s="10" t="s">
        <v>27</v>
      </c>
      <c r="C203" s="26">
        <v>45497.0</v>
      </c>
      <c r="D203" s="10" t="s">
        <v>39</v>
      </c>
      <c r="E203" s="10" t="s">
        <v>131</v>
      </c>
      <c r="F203" s="27">
        <v>725.0</v>
      </c>
      <c r="G203" s="27">
        <v>88.0</v>
      </c>
      <c r="H203" s="27">
        <v>428.0</v>
      </c>
      <c r="I203" s="27">
        <v>14500.0</v>
      </c>
      <c r="J203" s="27">
        <v>13637.0</v>
      </c>
      <c r="K203" s="27">
        <v>200.0</v>
      </c>
      <c r="L203" s="28" t="s">
        <v>16</v>
      </c>
      <c r="M203" s="28" t="s">
        <v>21</v>
      </c>
      <c r="N203" s="28" t="s">
        <v>17</v>
      </c>
      <c r="O203" s="29">
        <f t="shared" si="3"/>
        <v>0.0855862069</v>
      </c>
      <c r="P203" s="27">
        <f t="shared" si="2"/>
        <v>1241</v>
      </c>
    </row>
    <row r="204">
      <c r="A204" s="10" t="s">
        <v>250</v>
      </c>
      <c r="B204" s="10" t="s">
        <v>24</v>
      </c>
      <c r="C204" s="26">
        <v>45626.0</v>
      </c>
      <c r="D204" s="10" t="s">
        <v>34</v>
      </c>
      <c r="E204" s="10" t="s">
        <v>49</v>
      </c>
      <c r="F204" s="27">
        <v>2509.0</v>
      </c>
      <c r="G204" s="27">
        <v>324.0</v>
      </c>
      <c r="H204" s="27">
        <v>171.0</v>
      </c>
      <c r="I204" s="27">
        <v>35126.0</v>
      </c>
      <c r="J204" s="27">
        <v>34685.0</v>
      </c>
      <c r="K204" s="27">
        <v>277.0</v>
      </c>
      <c r="L204" s="28" t="s">
        <v>21</v>
      </c>
      <c r="M204" s="10"/>
      <c r="N204" s="10"/>
      <c r="O204" s="29">
        <f t="shared" si="3"/>
        <v>0.08552069692</v>
      </c>
      <c r="P204" s="27">
        <f t="shared" si="2"/>
        <v>3004</v>
      </c>
    </row>
    <row r="205">
      <c r="A205" s="10" t="s">
        <v>239</v>
      </c>
      <c r="B205" s="10" t="s">
        <v>24</v>
      </c>
      <c r="C205" s="26">
        <v>45449.0</v>
      </c>
      <c r="D205" s="10" t="s">
        <v>14</v>
      </c>
      <c r="E205" s="10" t="s">
        <v>25</v>
      </c>
      <c r="F205" s="27">
        <v>2728.0</v>
      </c>
      <c r="G205" s="27">
        <v>533.0</v>
      </c>
      <c r="H205" s="27">
        <v>215.0</v>
      </c>
      <c r="I205" s="27">
        <v>40920.0</v>
      </c>
      <c r="J205" s="27">
        <v>40816.0</v>
      </c>
      <c r="K205" s="27">
        <v>137.0</v>
      </c>
      <c r="L205" s="28" t="s">
        <v>16</v>
      </c>
      <c r="M205" s="10"/>
      <c r="N205" s="10"/>
      <c r="O205" s="29">
        <f t="shared" si="3"/>
        <v>0.08494623656</v>
      </c>
      <c r="P205" s="27">
        <f t="shared" si="2"/>
        <v>3476</v>
      </c>
    </row>
    <row r="206">
      <c r="A206" s="10" t="s">
        <v>237</v>
      </c>
      <c r="B206" s="10" t="s">
        <v>33</v>
      </c>
      <c r="C206" s="26">
        <v>45528.0</v>
      </c>
      <c r="D206" s="10" t="s">
        <v>34</v>
      </c>
      <c r="E206" s="10" t="s">
        <v>35</v>
      </c>
      <c r="F206" s="27">
        <v>4292.0</v>
      </c>
      <c r="G206" s="27">
        <v>51.0</v>
      </c>
      <c r="H206" s="27">
        <v>392.0</v>
      </c>
      <c r="I206" s="27">
        <v>55796.0</v>
      </c>
      <c r="J206" s="27">
        <v>54826.0</v>
      </c>
      <c r="K206" s="27">
        <v>264.0</v>
      </c>
      <c r="L206" s="28" t="s">
        <v>30</v>
      </c>
      <c r="M206" s="10"/>
      <c r="N206" s="10"/>
      <c r="O206" s="29">
        <f t="shared" si="3"/>
        <v>0.08486271417</v>
      </c>
      <c r="P206" s="27">
        <f t="shared" si="2"/>
        <v>4735</v>
      </c>
    </row>
    <row r="207">
      <c r="A207" s="10" t="s">
        <v>245</v>
      </c>
      <c r="B207" s="10" t="s">
        <v>24</v>
      </c>
      <c r="C207" s="26">
        <v>45567.0</v>
      </c>
      <c r="D207" s="10" t="s">
        <v>28</v>
      </c>
      <c r="E207" s="10" t="s">
        <v>98</v>
      </c>
      <c r="F207" s="27">
        <v>4350.0</v>
      </c>
      <c r="G207" s="27">
        <v>771.0</v>
      </c>
      <c r="H207" s="27">
        <v>7.0</v>
      </c>
      <c r="I207" s="27">
        <v>60900.0</v>
      </c>
      <c r="J207" s="27">
        <v>60592.0</v>
      </c>
      <c r="K207" s="27">
        <v>195.0</v>
      </c>
      <c r="L207" s="28" t="s">
        <v>30</v>
      </c>
      <c r="M207" s="10"/>
      <c r="N207" s="10"/>
      <c r="O207" s="29">
        <f t="shared" si="3"/>
        <v>0.08420361248</v>
      </c>
      <c r="P207" s="27">
        <f t="shared" si="2"/>
        <v>5128</v>
      </c>
    </row>
    <row r="208">
      <c r="A208" s="10" t="s">
        <v>319</v>
      </c>
      <c r="B208" s="10" t="s">
        <v>27</v>
      </c>
      <c r="C208" s="26">
        <v>45760.0</v>
      </c>
      <c r="D208" s="10" t="s">
        <v>14</v>
      </c>
      <c r="E208" s="10" t="s">
        <v>58</v>
      </c>
      <c r="F208" s="27">
        <v>4579.0</v>
      </c>
      <c r="G208" s="27">
        <v>125.0</v>
      </c>
      <c r="H208" s="27">
        <v>300.0</v>
      </c>
      <c r="I208" s="27">
        <v>59527.0</v>
      </c>
      <c r="J208" s="27">
        <v>59400.0</v>
      </c>
      <c r="K208" s="27">
        <v>269.0</v>
      </c>
      <c r="L208" s="28" t="s">
        <v>30</v>
      </c>
      <c r="M208" s="10"/>
      <c r="N208" s="10"/>
      <c r="O208" s="29">
        <f t="shared" si="3"/>
        <v>0.08406269424</v>
      </c>
      <c r="P208" s="27">
        <f t="shared" si="2"/>
        <v>5004</v>
      </c>
    </row>
    <row r="209">
      <c r="A209" s="10" t="s">
        <v>341</v>
      </c>
      <c r="B209" s="10" t="s">
        <v>27</v>
      </c>
      <c r="C209" s="26">
        <v>45646.0</v>
      </c>
      <c r="D209" s="10" t="s">
        <v>34</v>
      </c>
      <c r="E209" s="10" t="s">
        <v>62</v>
      </c>
      <c r="F209" s="27">
        <v>2107.0</v>
      </c>
      <c r="G209" s="27">
        <v>550.0</v>
      </c>
      <c r="H209" s="27">
        <v>349.0</v>
      </c>
      <c r="I209" s="27">
        <v>35819.0</v>
      </c>
      <c r="J209" s="27">
        <v>35340.0</v>
      </c>
      <c r="K209" s="27">
        <v>191.0</v>
      </c>
      <c r="L209" s="28" t="s">
        <v>30</v>
      </c>
      <c r="M209" s="10"/>
      <c r="N209" s="10"/>
      <c r="O209" s="29">
        <f t="shared" si="3"/>
        <v>0.08392194087</v>
      </c>
      <c r="P209" s="27">
        <f t="shared" si="2"/>
        <v>3006</v>
      </c>
    </row>
    <row r="210">
      <c r="A210" s="10" t="s">
        <v>238</v>
      </c>
      <c r="B210" s="10" t="s">
        <v>13</v>
      </c>
      <c r="C210" s="26">
        <v>45648.0</v>
      </c>
      <c r="D210" s="10" t="s">
        <v>14</v>
      </c>
      <c r="E210" s="10" t="s">
        <v>15</v>
      </c>
      <c r="F210" s="27">
        <v>1644.0</v>
      </c>
      <c r="G210" s="27">
        <v>546.0</v>
      </c>
      <c r="H210" s="27">
        <v>150.0</v>
      </c>
      <c r="I210" s="27">
        <v>27948.0</v>
      </c>
      <c r="J210" s="27">
        <v>27184.0</v>
      </c>
      <c r="K210" s="27">
        <v>300.0</v>
      </c>
      <c r="L210" s="28" t="s">
        <v>30</v>
      </c>
      <c r="M210" s="10"/>
      <c r="N210" s="10"/>
      <c r="O210" s="29">
        <f t="shared" si="3"/>
        <v>0.08372692143</v>
      </c>
      <c r="P210" s="27">
        <f t="shared" si="2"/>
        <v>2340</v>
      </c>
    </row>
    <row r="211">
      <c r="A211" s="10" t="s">
        <v>351</v>
      </c>
      <c r="B211" s="10" t="s">
        <v>13</v>
      </c>
      <c r="C211" s="26">
        <v>45535.0</v>
      </c>
      <c r="D211" s="10" t="s">
        <v>34</v>
      </c>
      <c r="E211" s="10" t="s">
        <v>37</v>
      </c>
      <c r="F211" s="27">
        <v>4494.0</v>
      </c>
      <c r="G211" s="27">
        <v>717.0</v>
      </c>
      <c r="H211" s="27">
        <v>45.0</v>
      </c>
      <c r="I211" s="27">
        <v>62916.0</v>
      </c>
      <c r="J211" s="27">
        <v>62688.0</v>
      </c>
      <c r="K211" s="27">
        <v>191.0</v>
      </c>
      <c r="L211" s="28" t="s">
        <v>21</v>
      </c>
      <c r="M211" s="28" t="s">
        <v>30</v>
      </c>
      <c r="N211" s="28" t="s">
        <v>22</v>
      </c>
      <c r="O211" s="29">
        <f t="shared" si="3"/>
        <v>0.08353995804</v>
      </c>
      <c r="P211" s="27">
        <f t="shared" si="2"/>
        <v>5256</v>
      </c>
    </row>
    <row r="212">
      <c r="A212" s="10" t="s">
        <v>331</v>
      </c>
      <c r="B212" s="10" t="s">
        <v>24</v>
      </c>
      <c r="C212" s="26">
        <v>45586.0</v>
      </c>
      <c r="D212" s="10" t="s">
        <v>53</v>
      </c>
      <c r="E212" s="10" t="s">
        <v>133</v>
      </c>
      <c r="F212" s="27">
        <v>4275.0</v>
      </c>
      <c r="G212" s="27">
        <v>680.0</v>
      </c>
      <c r="H212" s="27">
        <v>385.0</v>
      </c>
      <c r="I212" s="27">
        <v>64125.0</v>
      </c>
      <c r="J212" s="27">
        <v>63650.0</v>
      </c>
      <c r="K212" s="27">
        <v>104.0</v>
      </c>
      <c r="L212" s="28" t="s">
        <v>30</v>
      </c>
      <c r="M212" s="28" t="s">
        <v>21</v>
      </c>
      <c r="N212" s="28" t="s">
        <v>17</v>
      </c>
      <c r="O212" s="29">
        <f t="shared" si="3"/>
        <v>0.0832748538</v>
      </c>
      <c r="P212" s="27">
        <f t="shared" si="2"/>
        <v>5340</v>
      </c>
    </row>
    <row r="213">
      <c r="A213" s="10" t="s">
        <v>312</v>
      </c>
      <c r="B213" s="10" t="s">
        <v>27</v>
      </c>
      <c r="C213" s="26">
        <v>45592.0</v>
      </c>
      <c r="D213" s="10" t="s">
        <v>39</v>
      </c>
      <c r="E213" s="10" t="s">
        <v>131</v>
      </c>
      <c r="F213" s="27">
        <v>4853.0</v>
      </c>
      <c r="G213" s="27">
        <v>837.0</v>
      </c>
      <c r="H213" s="27">
        <v>340.0</v>
      </c>
      <c r="I213" s="27">
        <v>72795.0</v>
      </c>
      <c r="J213" s="27">
        <v>72237.0</v>
      </c>
      <c r="K213" s="27">
        <v>170.0</v>
      </c>
      <c r="L213" s="28" t="s">
        <v>30</v>
      </c>
      <c r="M213" s="10"/>
      <c r="N213" s="10"/>
      <c r="O213" s="29">
        <f t="shared" si="3"/>
        <v>0.08283535957</v>
      </c>
      <c r="P213" s="27">
        <f t="shared" si="2"/>
        <v>6030</v>
      </c>
    </row>
    <row r="214">
      <c r="A214" s="10" t="s">
        <v>260</v>
      </c>
      <c r="B214" s="10" t="s">
        <v>13</v>
      </c>
      <c r="C214" s="26">
        <v>45735.0</v>
      </c>
      <c r="D214" s="10" t="s">
        <v>53</v>
      </c>
      <c r="E214" s="10" t="s">
        <v>92</v>
      </c>
      <c r="F214" s="27">
        <v>3160.0</v>
      </c>
      <c r="G214" s="27">
        <v>204.0</v>
      </c>
      <c r="H214" s="27">
        <v>297.0</v>
      </c>
      <c r="I214" s="27">
        <v>44240.0</v>
      </c>
      <c r="J214" s="27">
        <v>43666.0</v>
      </c>
      <c r="K214" s="27">
        <v>49.0</v>
      </c>
      <c r="L214" s="28" t="s">
        <v>16</v>
      </c>
      <c r="M214" s="28" t="s">
        <v>17</v>
      </c>
      <c r="N214" s="10"/>
      <c r="O214" s="29">
        <f t="shared" si="3"/>
        <v>0.08275316456</v>
      </c>
      <c r="P214" s="27">
        <f t="shared" si="2"/>
        <v>3661</v>
      </c>
    </row>
    <row r="215">
      <c r="A215" s="10" t="s">
        <v>264</v>
      </c>
      <c r="B215" s="10" t="s">
        <v>33</v>
      </c>
      <c r="C215" s="26">
        <v>45778.0</v>
      </c>
      <c r="D215" s="10" t="s">
        <v>34</v>
      </c>
      <c r="E215" s="10" t="s">
        <v>35</v>
      </c>
      <c r="F215" s="27">
        <v>2696.0</v>
      </c>
      <c r="G215" s="27">
        <v>628.0</v>
      </c>
      <c r="H215" s="27">
        <v>443.0</v>
      </c>
      <c r="I215" s="27">
        <v>45832.0</v>
      </c>
      <c r="J215" s="27">
        <v>45632.0</v>
      </c>
      <c r="K215" s="27">
        <v>248.0</v>
      </c>
      <c r="L215" s="28" t="s">
        <v>30</v>
      </c>
      <c r="M215" s="10"/>
      <c r="N215" s="10"/>
      <c r="O215" s="29">
        <f t="shared" si="3"/>
        <v>0.08219148193</v>
      </c>
      <c r="P215" s="27">
        <f t="shared" si="2"/>
        <v>3767</v>
      </c>
    </row>
    <row r="216">
      <c r="A216" s="10" t="s">
        <v>253</v>
      </c>
      <c r="B216" s="10" t="s">
        <v>33</v>
      </c>
      <c r="C216" s="26">
        <v>45445.0</v>
      </c>
      <c r="D216" s="10" t="s">
        <v>39</v>
      </c>
      <c r="E216" s="10" t="s">
        <v>44</v>
      </c>
      <c r="F216" s="27">
        <v>1871.0</v>
      </c>
      <c r="G216" s="27">
        <v>252.0</v>
      </c>
      <c r="H216" s="27">
        <v>335.0</v>
      </c>
      <c r="I216" s="27">
        <v>29936.0</v>
      </c>
      <c r="J216" s="27">
        <v>29576.0</v>
      </c>
      <c r="K216" s="27">
        <v>288.0</v>
      </c>
      <c r="L216" s="28" t="s">
        <v>30</v>
      </c>
      <c r="M216" s="10"/>
      <c r="N216" s="10"/>
      <c r="O216" s="29">
        <f t="shared" si="3"/>
        <v>0.08210849813</v>
      </c>
      <c r="P216" s="27">
        <f t="shared" si="2"/>
        <v>2458</v>
      </c>
    </row>
    <row r="217">
      <c r="A217" s="10" t="s">
        <v>126</v>
      </c>
      <c r="B217" s="10" t="s">
        <v>13</v>
      </c>
      <c r="C217" s="26">
        <v>45460.0</v>
      </c>
      <c r="D217" s="10" t="s">
        <v>39</v>
      </c>
      <c r="E217" s="10" t="s">
        <v>85</v>
      </c>
      <c r="F217" s="27">
        <v>954.0</v>
      </c>
      <c r="G217" s="27">
        <v>324.0</v>
      </c>
      <c r="H217" s="27">
        <v>288.0</v>
      </c>
      <c r="I217" s="27">
        <v>19080.0</v>
      </c>
      <c r="J217" s="27">
        <v>18859.0</v>
      </c>
      <c r="K217" s="27">
        <v>21.0</v>
      </c>
      <c r="L217" s="28" t="s">
        <v>16</v>
      </c>
      <c r="M217" s="10"/>
      <c r="N217" s="10"/>
      <c r="O217" s="29">
        <f t="shared" si="3"/>
        <v>0.0820754717</v>
      </c>
      <c r="P217" s="27">
        <f t="shared" si="2"/>
        <v>1566</v>
      </c>
    </row>
    <row r="218">
      <c r="A218" s="10" t="s">
        <v>112</v>
      </c>
      <c r="B218" s="10" t="s">
        <v>33</v>
      </c>
      <c r="C218" s="26">
        <v>45521.0</v>
      </c>
      <c r="D218" s="10" t="s">
        <v>39</v>
      </c>
      <c r="E218" s="10" t="s">
        <v>44</v>
      </c>
      <c r="F218" s="27">
        <v>2878.0</v>
      </c>
      <c r="G218" s="27">
        <v>248.0</v>
      </c>
      <c r="H218" s="27">
        <v>416.0</v>
      </c>
      <c r="I218" s="27">
        <v>43170.0</v>
      </c>
      <c r="J218" s="27">
        <v>42667.0</v>
      </c>
      <c r="K218" s="27">
        <v>75.0</v>
      </c>
      <c r="L218" s="28" t="s">
        <v>16</v>
      </c>
      <c r="M218" s="10"/>
      <c r="N218" s="10"/>
      <c r="O218" s="29">
        <f t="shared" si="3"/>
        <v>0.08204771832</v>
      </c>
      <c r="P218" s="27">
        <f t="shared" si="2"/>
        <v>3542</v>
      </c>
    </row>
    <row r="219">
      <c r="A219" s="10" t="s">
        <v>279</v>
      </c>
      <c r="B219" s="10" t="s">
        <v>27</v>
      </c>
      <c r="C219" s="26">
        <v>45474.0</v>
      </c>
      <c r="D219" s="10" t="s">
        <v>28</v>
      </c>
      <c r="E219" s="10" t="s">
        <v>29</v>
      </c>
      <c r="F219" s="27">
        <v>4808.0</v>
      </c>
      <c r="G219" s="27">
        <v>772.0</v>
      </c>
      <c r="H219" s="27">
        <v>320.0</v>
      </c>
      <c r="I219" s="27">
        <v>72120.0</v>
      </c>
      <c r="J219" s="27">
        <v>71696.0</v>
      </c>
      <c r="K219" s="27">
        <v>195.0</v>
      </c>
      <c r="L219" s="28" t="s">
        <v>30</v>
      </c>
      <c r="M219" s="10"/>
      <c r="N219" s="10"/>
      <c r="O219" s="29">
        <f t="shared" si="3"/>
        <v>0.08180809762</v>
      </c>
      <c r="P219" s="27">
        <f t="shared" si="2"/>
        <v>5900</v>
      </c>
    </row>
    <row r="220">
      <c r="A220" s="10" t="s">
        <v>124</v>
      </c>
      <c r="B220" s="10" t="s">
        <v>13</v>
      </c>
      <c r="C220" s="26">
        <v>45603.0</v>
      </c>
      <c r="D220" s="10" t="s">
        <v>28</v>
      </c>
      <c r="E220" s="10" t="s">
        <v>95</v>
      </c>
      <c r="F220" s="27">
        <v>1121.0</v>
      </c>
      <c r="G220" s="27">
        <v>135.0</v>
      </c>
      <c r="H220" s="27">
        <v>18.0</v>
      </c>
      <c r="I220" s="27">
        <v>15694.0</v>
      </c>
      <c r="J220" s="27">
        <v>14957.0</v>
      </c>
      <c r="K220" s="27">
        <v>99.0</v>
      </c>
      <c r="L220" s="28" t="s">
        <v>21</v>
      </c>
      <c r="M220" s="10"/>
      <c r="N220" s="10"/>
      <c r="O220" s="29">
        <f t="shared" si="3"/>
        <v>0.08117752007</v>
      </c>
      <c r="P220" s="27">
        <f t="shared" si="2"/>
        <v>1274</v>
      </c>
    </row>
    <row r="221">
      <c r="A221" s="10" t="s">
        <v>105</v>
      </c>
      <c r="B221" s="10" t="s">
        <v>13</v>
      </c>
      <c r="C221" s="26">
        <v>45586.0</v>
      </c>
      <c r="D221" s="10" t="s">
        <v>53</v>
      </c>
      <c r="E221" s="10" t="s">
        <v>92</v>
      </c>
      <c r="F221" s="27">
        <v>2825.0</v>
      </c>
      <c r="G221" s="27">
        <v>535.0</v>
      </c>
      <c r="H221" s="27">
        <v>295.0</v>
      </c>
      <c r="I221" s="27">
        <v>45200.0</v>
      </c>
      <c r="J221" s="27">
        <v>44739.0</v>
      </c>
      <c r="K221" s="27">
        <v>169.0</v>
      </c>
      <c r="L221" s="28" t="s">
        <v>21</v>
      </c>
      <c r="M221" s="10"/>
      <c r="N221" s="10"/>
      <c r="O221" s="29">
        <f t="shared" si="3"/>
        <v>0.08086283186</v>
      </c>
      <c r="P221" s="27">
        <f t="shared" si="2"/>
        <v>3655</v>
      </c>
    </row>
    <row r="222">
      <c r="A222" s="10" t="s">
        <v>172</v>
      </c>
      <c r="B222" s="10" t="s">
        <v>27</v>
      </c>
      <c r="C222" s="26">
        <v>45567.0</v>
      </c>
      <c r="D222" s="10" t="s">
        <v>19</v>
      </c>
      <c r="E222" s="10" t="s">
        <v>75</v>
      </c>
      <c r="F222" s="27">
        <v>3432.0</v>
      </c>
      <c r="G222" s="27">
        <v>869.0</v>
      </c>
      <c r="H222" s="27">
        <v>123.0</v>
      </c>
      <c r="I222" s="27">
        <v>54912.0</v>
      </c>
      <c r="J222" s="27">
        <v>53916.0</v>
      </c>
      <c r="K222" s="27">
        <v>264.0</v>
      </c>
      <c r="L222" s="28" t="s">
        <v>30</v>
      </c>
      <c r="M222" s="10"/>
      <c r="N222" s="10"/>
      <c r="O222" s="29">
        <f t="shared" si="3"/>
        <v>0.08056526807</v>
      </c>
      <c r="P222" s="27">
        <f t="shared" si="2"/>
        <v>4424</v>
      </c>
    </row>
    <row r="223">
      <c r="A223" s="10" t="s">
        <v>64</v>
      </c>
      <c r="B223" s="10" t="s">
        <v>33</v>
      </c>
      <c r="C223" s="26">
        <v>45715.0</v>
      </c>
      <c r="D223" s="10" t="s">
        <v>19</v>
      </c>
      <c r="E223" s="10" t="s">
        <v>42</v>
      </c>
      <c r="F223" s="27">
        <v>1570.0</v>
      </c>
      <c r="G223" s="27">
        <v>187.0</v>
      </c>
      <c r="H223" s="27">
        <v>260.0</v>
      </c>
      <c r="I223" s="27">
        <v>25120.0</v>
      </c>
      <c r="J223" s="27">
        <v>24613.0</v>
      </c>
      <c r="K223" s="27">
        <v>133.0</v>
      </c>
      <c r="L223" s="28" t="s">
        <v>21</v>
      </c>
      <c r="M223" s="10"/>
      <c r="N223" s="10"/>
      <c r="O223" s="29">
        <f t="shared" si="3"/>
        <v>0.08029458599</v>
      </c>
      <c r="P223" s="27">
        <f t="shared" si="2"/>
        <v>2017</v>
      </c>
    </row>
    <row r="224">
      <c r="A224" s="10" t="s">
        <v>168</v>
      </c>
      <c r="B224" s="10" t="s">
        <v>33</v>
      </c>
      <c r="C224" s="26">
        <v>45600.0</v>
      </c>
      <c r="D224" s="10" t="s">
        <v>39</v>
      </c>
      <c r="E224" s="10" t="s">
        <v>44</v>
      </c>
      <c r="F224" s="27">
        <v>4551.0</v>
      </c>
      <c r="G224" s="27">
        <v>714.0</v>
      </c>
      <c r="H224" s="27">
        <v>207.0</v>
      </c>
      <c r="I224" s="27">
        <v>68265.0</v>
      </c>
      <c r="J224" s="27">
        <v>67754.0</v>
      </c>
      <c r="K224" s="27">
        <v>57.0</v>
      </c>
      <c r="L224" s="28" t="s">
        <v>16</v>
      </c>
      <c r="M224" s="10"/>
      <c r="N224" s="10"/>
      <c r="O224" s="29">
        <f t="shared" si="3"/>
        <v>0.08015820699</v>
      </c>
      <c r="P224" s="27">
        <f t="shared" si="2"/>
        <v>5472</v>
      </c>
    </row>
    <row r="225">
      <c r="A225" s="10" t="s">
        <v>308</v>
      </c>
      <c r="B225" s="10" t="s">
        <v>33</v>
      </c>
      <c r="C225" s="26">
        <v>45753.0</v>
      </c>
      <c r="D225" s="10" t="s">
        <v>39</v>
      </c>
      <c r="E225" s="10" t="s">
        <v>44</v>
      </c>
      <c r="F225" s="27">
        <v>3090.0</v>
      </c>
      <c r="G225" s="27">
        <v>697.0</v>
      </c>
      <c r="H225" s="27">
        <v>164.0</v>
      </c>
      <c r="I225" s="27">
        <v>49440.0</v>
      </c>
      <c r="J225" s="27">
        <v>48524.0</v>
      </c>
      <c r="K225" s="27">
        <v>25.0</v>
      </c>
      <c r="L225" s="28" t="s">
        <v>30</v>
      </c>
      <c r="M225" s="28" t="s">
        <v>30</v>
      </c>
      <c r="N225" s="28" t="s">
        <v>22</v>
      </c>
      <c r="O225" s="29">
        <f t="shared" si="3"/>
        <v>0.07991504854</v>
      </c>
      <c r="P225" s="27">
        <f t="shared" si="2"/>
        <v>3951</v>
      </c>
    </row>
    <row r="226">
      <c r="A226" s="10" t="s">
        <v>141</v>
      </c>
      <c r="B226" s="10" t="s">
        <v>33</v>
      </c>
      <c r="C226" s="26">
        <v>45740.0</v>
      </c>
      <c r="D226" s="10" t="s">
        <v>39</v>
      </c>
      <c r="E226" s="10" t="s">
        <v>44</v>
      </c>
      <c r="F226" s="27">
        <v>1263.0</v>
      </c>
      <c r="G226" s="27">
        <v>397.0</v>
      </c>
      <c r="H226" s="27">
        <v>357.0</v>
      </c>
      <c r="I226" s="27">
        <v>25260.0</v>
      </c>
      <c r="J226" s="27">
        <v>24615.0</v>
      </c>
      <c r="K226" s="27">
        <v>137.0</v>
      </c>
      <c r="L226" s="28" t="s">
        <v>30</v>
      </c>
      <c r="M226" s="10"/>
      <c r="N226" s="10"/>
      <c r="O226" s="29">
        <f t="shared" si="3"/>
        <v>0.07984956453</v>
      </c>
      <c r="P226" s="27">
        <f t="shared" si="2"/>
        <v>2017</v>
      </c>
    </row>
    <row r="227">
      <c r="A227" s="10" t="s">
        <v>325</v>
      </c>
      <c r="B227" s="10" t="s">
        <v>13</v>
      </c>
      <c r="C227" s="26">
        <v>45658.0</v>
      </c>
      <c r="D227" s="10" t="s">
        <v>34</v>
      </c>
      <c r="E227" s="10" t="s">
        <v>37</v>
      </c>
      <c r="F227" s="27">
        <v>3535.0</v>
      </c>
      <c r="G227" s="27">
        <v>494.0</v>
      </c>
      <c r="H227" s="27">
        <v>152.0</v>
      </c>
      <c r="I227" s="27">
        <v>53025.0</v>
      </c>
      <c r="J227" s="27">
        <v>52791.0</v>
      </c>
      <c r="K227" s="27">
        <v>44.0</v>
      </c>
      <c r="L227" s="28" t="s">
        <v>21</v>
      </c>
      <c r="M227" s="10"/>
      <c r="N227" s="10"/>
      <c r="O227" s="29">
        <f t="shared" si="3"/>
        <v>0.07884959925</v>
      </c>
      <c r="P227" s="27">
        <f t="shared" si="2"/>
        <v>4181</v>
      </c>
    </row>
    <row r="228">
      <c r="A228" s="10" t="s">
        <v>99</v>
      </c>
      <c r="B228" s="10" t="s">
        <v>33</v>
      </c>
      <c r="C228" s="26">
        <v>45456.0</v>
      </c>
      <c r="D228" s="10" t="s">
        <v>34</v>
      </c>
      <c r="E228" s="10" t="s">
        <v>35</v>
      </c>
      <c r="F228" s="27">
        <v>2200.0</v>
      </c>
      <c r="G228" s="27">
        <v>504.0</v>
      </c>
      <c r="H228" s="27">
        <v>239.0</v>
      </c>
      <c r="I228" s="27">
        <v>37400.0</v>
      </c>
      <c r="J228" s="27">
        <v>36938.0</v>
      </c>
      <c r="K228" s="27">
        <v>225.0</v>
      </c>
      <c r="L228" s="28" t="s">
        <v>16</v>
      </c>
      <c r="M228" s="10"/>
      <c r="N228" s="10"/>
      <c r="O228" s="29">
        <f t="shared" si="3"/>
        <v>0.07868983957</v>
      </c>
      <c r="P228" s="27">
        <f t="shared" si="2"/>
        <v>2943</v>
      </c>
    </row>
    <row r="229">
      <c r="A229" s="10" t="s">
        <v>128</v>
      </c>
      <c r="B229" s="10" t="s">
        <v>27</v>
      </c>
      <c r="C229" s="26">
        <v>45456.0</v>
      </c>
      <c r="D229" s="10" t="s">
        <v>28</v>
      </c>
      <c r="E229" s="10" t="s">
        <v>29</v>
      </c>
      <c r="F229" s="27">
        <v>2103.0</v>
      </c>
      <c r="G229" s="27">
        <v>892.0</v>
      </c>
      <c r="H229" s="27">
        <v>103.0</v>
      </c>
      <c r="I229" s="27">
        <v>39957.0</v>
      </c>
      <c r="J229" s="27">
        <v>39466.0</v>
      </c>
      <c r="K229" s="27">
        <v>28.0</v>
      </c>
      <c r="L229" s="28" t="s">
        <v>16</v>
      </c>
      <c r="M229" s="10"/>
      <c r="N229" s="10"/>
      <c r="O229" s="29">
        <f t="shared" si="3"/>
        <v>0.07753334835</v>
      </c>
      <c r="P229" s="27">
        <f t="shared" si="2"/>
        <v>3098</v>
      </c>
    </row>
    <row r="230">
      <c r="A230" s="10" t="s">
        <v>281</v>
      </c>
      <c r="B230" s="10" t="s">
        <v>33</v>
      </c>
      <c r="C230" s="26">
        <v>45488.0</v>
      </c>
      <c r="D230" s="10" t="s">
        <v>14</v>
      </c>
      <c r="E230" s="10" t="s">
        <v>47</v>
      </c>
      <c r="F230" s="27">
        <v>3663.0</v>
      </c>
      <c r="G230" s="27">
        <v>17.0</v>
      </c>
      <c r="H230" s="27">
        <v>295.0</v>
      </c>
      <c r="I230" s="27">
        <v>51282.0</v>
      </c>
      <c r="J230" s="27">
        <v>50567.0</v>
      </c>
      <c r="K230" s="27">
        <v>84.0</v>
      </c>
      <c r="L230" s="28" t="s">
        <v>30</v>
      </c>
      <c r="M230" s="10"/>
      <c r="N230" s="10"/>
      <c r="O230" s="29">
        <f t="shared" si="3"/>
        <v>0.07751257751</v>
      </c>
      <c r="P230" s="27">
        <f t="shared" si="2"/>
        <v>3975</v>
      </c>
    </row>
    <row r="231">
      <c r="A231" s="10" t="s">
        <v>200</v>
      </c>
      <c r="B231" s="10" t="s">
        <v>13</v>
      </c>
      <c r="C231" s="26">
        <v>45459.0</v>
      </c>
      <c r="D231" s="10" t="s">
        <v>53</v>
      </c>
      <c r="E231" s="10" t="s">
        <v>92</v>
      </c>
      <c r="F231" s="27">
        <v>1702.0</v>
      </c>
      <c r="G231" s="27">
        <v>750.0</v>
      </c>
      <c r="H231" s="27">
        <v>179.0</v>
      </c>
      <c r="I231" s="27">
        <v>34040.0</v>
      </c>
      <c r="J231" s="27">
        <v>33174.0</v>
      </c>
      <c r="K231" s="27">
        <v>76.0</v>
      </c>
      <c r="L231" s="28" t="s">
        <v>30</v>
      </c>
      <c r="M231" s="10"/>
      <c r="N231" s="10"/>
      <c r="O231" s="29">
        <f t="shared" si="3"/>
        <v>0.07729142186</v>
      </c>
      <c r="P231" s="27">
        <f t="shared" si="2"/>
        <v>2631</v>
      </c>
    </row>
    <row r="232">
      <c r="A232" s="10" t="s">
        <v>63</v>
      </c>
      <c r="B232" s="10" t="s">
        <v>27</v>
      </c>
      <c r="C232" s="26">
        <v>45661.0</v>
      </c>
      <c r="D232" s="10" t="s">
        <v>14</v>
      </c>
      <c r="E232" s="10" t="s">
        <v>58</v>
      </c>
      <c r="F232" s="27">
        <v>4838.0</v>
      </c>
      <c r="G232" s="27">
        <v>640.0</v>
      </c>
      <c r="H232" s="27">
        <v>128.0</v>
      </c>
      <c r="I232" s="27">
        <v>72570.0</v>
      </c>
      <c r="J232" s="27">
        <v>72396.0</v>
      </c>
      <c r="K232" s="27">
        <v>83.0</v>
      </c>
      <c r="L232" s="28" t="s">
        <v>16</v>
      </c>
      <c r="M232" s="10"/>
      <c r="N232" s="10"/>
      <c r="O232" s="29">
        <f t="shared" si="3"/>
        <v>0.07724955216</v>
      </c>
      <c r="P232" s="27">
        <f t="shared" si="2"/>
        <v>5606</v>
      </c>
    </row>
    <row r="233">
      <c r="A233" s="10" t="s">
        <v>65</v>
      </c>
      <c r="B233" s="10" t="s">
        <v>33</v>
      </c>
      <c r="C233" s="26">
        <v>45602.0</v>
      </c>
      <c r="D233" s="10" t="s">
        <v>53</v>
      </c>
      <c r="E233" s="10" t="s">
        <v>54</v>
      </c>
      <c r="F233" s="27">
        <v>1606.0</v>
      </c>
      <c r="G233" s="27">
        <v>547.0</v>
      </c>
      <c r="H233" s="27">
        <v>316.0</v>
      </c>
      <c r="I233" s="27">
        <v>32120.0</v>
      </c>
      <c r="J233" s="27">
        <v>31736.0</v>
      </c>
      <c r="K233" s="27">
        <v>225.0</v>
      </c>
      <c r="L233" s="28" t="s">
        <v>21</v>
      </c>
      <c r="M233" s="28" t="s">
        <v>17</v>
      </c>
      <c r="N233" s="10"/>
      <c r="O233" s="29">
        <f t="shared" si="3"/>
        <v>0.07686799502</v>
      </c>
      <c r="P233" s="27">
        <f t="shared" si="2"/>
        <v>2469</v>
      </c>
    </row>
    <row r="234">
      <c r="A234" s="10" t="s">
        <v>80</v>
      </c>
      <c r="B234" s="10" t="s">
        <v>27</v>
      </c>
      <c r="C234" s="26">
        <v>45766.0</v>
      </c>
      <c r="D234" s="10" t="s">
        <v>28</v>
      </c>
      <c r="E234" s="10" t="s">
        <v>29</v>
      </c>
      <c r="F234" s="27">
        <v>4518.0</v>
      </c>
      <c r="G234" s="27">
        <v>285.0</v>
      </c>
      <c r="H234" s="27">
        <v>383.0</v>
      </c>
      <c r="I234" s="27">
        <v>67770.0</v>
      </c>
      <c r="J234" s="27">
        <v>67621.0</v>
      </c>
      <c r="K234" s="27">
        <v>31.0</v>
      </c>
      <c r="L234" s="28" t="s">
        <v>30</v>
      </c>
      <c r="M234" s="10"/>
      <c r="N234" s="10"/>
      <c r="O234" s="29">
        <f t="shared" si="3"/>
        <v>0.07652353549</v>
      </c>
      <c r="P234" s="27">
        <f t="shared" si="2"/>
        <v>5186</v>
      </c>
    </row>
    <row r="235">
      <c r="A235" s="10" t="s">
        <v>18</v>
      </c>
      <c r="B235" s="10" t="s">
        <v>13</v>
      </c>
      <c r="C235" s="26">
        <v>45750.0</v>
      </c>
      <c r="D235" s="10" t="s">
        <v>19</v>
      </c>
      <c r="E235" s="10" t="s">
        <v>20</v>
      </c>
      <c r="F235" s="27">
        <v>4054.0</v>
      </c>
      <c r="G235" s="27">
        <v>389.0</v>
      </c>
      <c r="H235" s="27">
        <v>493.0</v>
      </c>
      <c r="I235" s="27">
        <v>64864.0</v>
      </c>
      <c r="J235" s="27">
        <v>64383.0</v>
      </c>
      <c r="K235" s="27">
        <v>117.0</v>
      </c>
      <c r="L235" s="28" t="s">
        <v>21</v>
      </c>
      <c r="M235" s="28" t="s">
        <v>22</v>
      </c>
      <c r="N235" s="10"/>
      <c r="O235" s="29">
        <f t="shared" si="3"/>
        <v>0.0760976813</v>
      </c>
      <c r="P235" s="27">
        <f t="shared" si="2"/>
        <v>4936</v>
      </c>
    </row>
    <row r="236">
      <c r="A236" s="10" t="s">
        <v>285</v>
      </c>
      <c r="B236" s="10" t="s">
        <v>33</v>
      </c>
      <c r="C236" s="26">
        <v>45444.0</v>
      </c>
      <c r="D236" s="10" t="s">
        <v>19</v>
      </c>
      <c r="E236" s="10" t="s">
        <v>42</v>
      </c>
      <c r="F236" s="27">
        <v>1272.0</v>
      </c>
      <c r="G236" s="27">
        <v>465.0</v>
      </c>
      <c r="H236" s="27">
        <v>99.0</v>
      </c>
      <c r="I236" s="27">
        <v>24168.0</v>
      </c>
      <c r="J236" s="27">
        <v>23719.0</v>
      </c>
      <c r="K236" s="27">
        <v>42.0</v>
      </c>
      <c r="L236" s="28" t="s">
        <v>21</v>
      </c>
      <c r="M236" s="10"/>
      <c r="N236" s="10"/>
      <c r="O236" s="29">
        <f t="shared" si="3"/>
        <v>0.07596822244</v>
      </c>
      <c r="P236" s="27">
        <f t="shared" si="2"/>
        <v>1836</v>
      </c>
    </row>
    <row r="237">
      <c r="A237" s="10" t="s">
        <v>48</v>
      </c>
      <c r="B237" s="10" t="s">
        <v>24</v>
      </c>
      <c r="C237" s="26">
        <v>45614.0</v>
      </c>
      <c r="D237" s="10" t="s">
        <v>34</v>
      </c>
      <c r="E237" s="10" t="s">
        <v>49</v>
      </c>
      <c r="F237" s="27">
        <v>1171.0</v>
      </c>
      <c r="G237" s="27">
        <v>286.0</v>
      </c>
      <c r="H237" s="27">
        <v>231.0</v>
      </c>
      <c r="I237" s="27">
        <v>22249.0</v>
      </c>
      <c r="J237" s="27">
        <v>21282.0</v>
      </c>
      <c r="K237" s="27">
        <v>114.0</v>
      </c>
      <c r="L237" s="28" t="s">
        <v>30</v>
      </c>
      <c r="M237" s="10"/>
      <c r="N237" s="10"/>
      <c r="O237" s="29">
        <f t="shared" si="3"/>
        <v>0.07586857836</v>
      </c>
      <c r="P237" s="27">
        <f t="shared" si="2"/>
        <v>1688</v>
      </c>
    </row>
    <row r="238">
      <c r="A238" s="10" t="s">
        <v>55</v>
      </c>
      <c r="B238" s="10" t="s">
        <v>33</v>
      </c>
      <c r="C238" s="26">
        <v>45530.0</v>
      </c>
      <c r="D238" s="10" t="s">
        <v>19</v>
      </c>
      <c r="E238" s="10" t="s">
        <v>42</v>
      </c>
      <c r="F238" s="27">
        <v>3452.0</v>
      </c>
      <c r="G238" s="27">
        <v>377.0</v>
      </c>
      <c r="H238" s="27">
        <v>360.0</v>
      </c>
      <c r="I238" s="27">
        <v>55232.0</v>
      </c>
      <c r="J238" s="27">
        <v>55075.0</v>
      </c>
      <c r="K238" s="27">
        <v>87.0</v>
      </c>
      <c r="L238" s="28" t="s">
        <v>16</v>
      </c>
      <c r="M238" s="10"/>
      <c r="N238" s="10"/>
      <c r="O238" s="29">
        <f t="shared" si="3"/>
        <v>0.07584371379</v>
      </c>
      <c r="P238" s="27">
        <f t="shared" si="2"/>
        <v>4189</v>
      </c>
    </row>
    <row r="239">
      <c r="A239" s="10" t="s">
        <v>230</v>
      </c>
      <c r="B239" s="10" t="s">
        <v>33</v>
      </c>
      <c r="C239" s="26">
        <v>45488.0</v>
      </c>
      <c r="D239" s="10" t="s">
        <v>34</v>
      </c>
      <c r="E239" s="10" t="s">
        <v>35</v>
      </c>
      <c r="F239" s="27">
        <v>3796.0</v>
      </c>
      <c r="G239" s="27">
        <v>667.0</v>
      </c>
      <c r="H239" s="27">
        <v>395.0</v>
      </c>
      <c r="I239" s="27">
        <v>64532.0</v>
      </c>
      <c r="J239" s="27">
        <v>63550.0</v>
      </c>
      <c r="K239" s="27">
        <v>292.0</v>
      </c>
      <c r="L239" s="28" t="s">
        <v>21</v>
      </c>
      <c r="M239" s="10"/>
      <c r="N239" s="10"/>
      <c r="O239" s="29">
        <f t="shared" si="3"/>
        <v>0.075280481</v>
      </c>
      <c r="P239" s="27">
        <f t="shared" si="2"/>
        <v>4858</v>
      </c>
    </row>
    <row r="240">
      <c r="A240" s="10" t="s">
        <v>90</v>
      </c>
      <c r="B240" s="10" t="s">
        <v>33</v>
      </c>
      <c r="C240" s="26">
        <v>45597.0</v>
      </c>
      <c r="D240" s="10" t="s">
        <v>53</v>
      </c>
      <c r="E240" s="10" t="s">
        <v>54</v>
      </c>
      <c r="F240" s="27">
        <v>3371.0</v>
      </c>
      <c r="G240" s="27">
        <v>106.0</v>
      </c>
      <c r="H240" s="27">
        <v>327.0</v>
      </c>
      <c r="I240" s="27">
        <v>50565.0</v>
      </c>
      <c r="J240" s="27">
        <v>49816.0</v>
      </c>
      <c r="K240" s="27">
        <v>176.0</v>
      </c>
      <c r="L240" s="28" t="s">
        <v>16</v>
      </c>
      <c r="M240" s="10"/>
      <c r="N240" s="10"/>
      <c r="O240" s="29">
        <f t="shared" si="3"/>
        <v>0.07522990211</v>
      </c>
      <c r="P240" s="27">
        <f t="shared" si="2"/>
        <v>3804</v>
      </c>
    </row>
    <row r="241">
      <c r="A241" s="10" t="s">
        <v>219</v>
      </c>
      <c r="B241" s="10" t="s">
        <v>33</v>
      </c>
      <c r="C241" s="26">
        <v>45608.0</v>
      </c>
      <c r="D241" s="10" t="s">
        <v>19</v>
      </c>
      <c r="E241" s="10" t="s">
        <v>42</v>
      </c>
      <c r="F241" s="27">
        <v>2418.0</v>
      </c>
      <c r="G241" s="27">
        <v>754.0</v>
      </c>
      <c r="H241" s="27">
        <v>54.0</v>
      </c>
      <c r="I241" s="27">
        <v>43524.0</v>
      </c>
      <c r="J241" s="27">
        <v>42743.0</v>
      </c>
      <c r="K241" s="27">
        <v>182.0</v>
      </c>
      <c r="L241" s="28" t="s">
        <v>30</v>
      </c>
      <c r="M241" s="10"/>
      <c r="N241" s="10"/>
      <c r="O241" s="29">
        <f t="shared" si="3"/>
        <v>0.07412002573</v>
      </c>
      <c r="P241" s="27">
        <f t="shared" si="2"/>
        <v>3226</v>
      </c>
    </row>
    <row r="242">
      <c r="A242" s="10" t="s">
        <v>161</v>
      </c>
      <c r="B242" s="10" t="s">
        <v>24</v>
      </c>
      <c r="C242" s="26">
        <v>45619.0</v>
      </c>
      <c r="D242" s="10" t="s">
        <v>39</v>
      </c>
      <c r="E242" s="10" t="s">
        <v>40</v>
      </c>
      <c r="F242" s="27">
        <v>2719.0</v>
      </c>
      <c r="G242" s="27">
        <v>17.0</v>
      </c>
      <c r="H242" s="27">
        <v>285.0</v>
      </c>
      <c r="I242" s="27">
        <v>40785.0</v>
      </c>
      <c r="J242" s="27">
        <v>40281.0</v>
      </c>
      <c r="K242" s="27">
        <v>40.0</v>
      </c>
      <c r="L242" s="28" t="s">
        <v>21</v>
      </c>
      <c r="M242" s="10"/>
      <c r="N242" s="10"/>
      <c r="O242" s="29">
        <f t="shared" si="3"/>
        <v>0.07407134976</v>
      </c>
      <c r="P242" s="27">
        <f t="shared" si="2"/>
        <v>3021</v>
      </c>
    </row>
    <row r="243">
      <c r="A243" s="10" t="s">
        <v>151</v>
      </c>
      <c r="B243" s="10" t="s">
        <v>24</v>
      </c>
      <c r="C243" s="26">
        <v>45583.0</v>
      </c>
      <c r="D243" s="10" t="s">
        <v>53</v>
      </c>
      <c r="E243" s="10" t="s">
        <v>133</v>
      </c>
      <c r="F243" s="27">
        <v>4450.0</v>
      </c>
      <c r="G243" s="27">
        <v>983.0</v>
      </c>
      <c r="H243" s="27">
        <v>143.0</v>
      </c>
      <c r="I243" s="27">
        <v>75650.0</v>
      </c>
      <c r="J243" s="27">
        <v>75008.0</v>
      </c>
      <c r="K243" s="27">
        <v>12.0</v>
      </c>
      <c r="L243" s="28" t="s">
        <v>16</v>
      </c>
      <c r="M243" s="10"/>
      <c r="N243" s="10"/>
      <c r="O243" s="29">
        <f t="shared" si="3"/>
        <v>0.07370786517</v>
      </c>
      <c r="P243" s="27">
        <f t="shared" si="2"/>
        <v>5576</v>
      </c>
    </row>
    <row r="244">
      <c r="A244" s="10" t="s">
        <v>94</v>
      </c>
      <c r="B244" s="10" t="s">
        <v>13</v>
      </c>
      <c r="C244" s="26">
        <v>45727.0</v>
      </c>
      <c r="D244" s="10" t="s">
        <v>28</v>
      </c>
      <c r="E244" s="10" t="s">
        <v>95</v>
      </c>
      <c r="F244" s="27">
        <v>1950.0</v>
      </c>
      <c r="G244" s="27">
        <v>295.0</v>
      </c>
      <c r="H244" s="27">
        <v>478.0</v>
      </c>
      <c r="I244" s="27">
        <v>37050.0</v>
      </c>
      <c r="J244" s="27">
        <v>36272.0</v>
      </c>
      <c r="K244" s="27">
        <v>119.0</v>
      </c>
      <c r="L244" s="28" t="s">
        <v>21</v>
      </c>
      <c r="M244" s="10"/>
      <c r="N244" s="10"/>
      <c r="O244" s="29">
        <f t="shared" si="3"/>
        <v>0.07349527665</v>
      </c>
      <c r="P244" s="27">
        <f t="shared" si="2"/>
        <v>2723</v>
      </c>
    </row>
    <row r="245">
      <c r="A245" s="10" t="s">
        <v>301</v>
      </c>
      <c r="B245" s="10" t="s">
        <v>33</v>
      </c>
      <c r="C245" s="26">
        <v>45465.0</v>
      </c>
      <c r="D245" s="10" t="s">
        <v>14</v>
      </c>
      <c r="E245" s="10" t="s">
        <v>47</v>
      </c>
      <c r="F245" s="27">
        <v>3813.0</v>
      </c>
      <c r="G245" s="27">
        <v>935.0</v>
      </c>
      <c r="H245" s="27">
        <v>274.0</v>
      </c>
      <c r="I245" s="27">
        <v>68634.0</v>
      </c>
      <c r="J245" s="27">
        <v>68488.0</v>
      </c>
      <c r="K245" s="27">
        <v>251.0</v>
      </c>
      <c r="L245" s="28" t="s">
        <v>16</v>
      </c>
      <c r="M245" s="10"/>
      <c r="N245" s="10"/>
      <c r="O245" s="29">
        <f t="shared" si="3"/>
        <v>0.07317073171</v>
      </c>
      <c r="P245" s="27">
        <f t="shared" si="2"/>
        <v>5022</v>
      </c>
    </row>
    <row r="246">
      <c r="A246" s="10" t="s">
        <v>340</v>
      </c>
      <c r="B246" s="10" t="s">
        <v>33</v>
      </c>
      <c r="C246" s="26">
        <v>45624.0</v>
      </c>
      <c r="D246" s="10" t="s">
        <v>34</v>
      </c>
      <c r="E246" s="10" t="s">
        <v>35</v>
      </c>
      <c r="F246" s="27">
        <v>2751.0</v>
      </c>
      <c r="G246" s="27">
        <v>33.0</v>
      </c>
      <c r="H246" s="27">
        <v>430.0</v>
      </c>
      <c r="I246" s="27">
        <v>44016.0</v>
      </c>
      <c r="J246" s="27">
        <v>43415.0</v>
      </c>
      <c r="K246" s="27">
        <v>129.0</v>
      </c>
      <c r="L246" s="28" t="s">
        <v>16</v>
      </c>
      <c r="M246" s="10"/>
      <c r="N246" s="10"/>
      <c r="O246" s="29">
        <f t="shared" si="3"/>
        <v>0.07301890222</v>
      </c>
      <c r="P246" s="27">
        <f t="shared" si="2"/>
        <v>3214</v>
      </c>
    </row>
    <row r="247">
      <c r="A247" s="10" t="s">
        <v>284</v>
      </c>
      <c r="B247" s="10" t="s">
        <v>33</v>
      </c>
      <c r="C247" s="26">
        <v>45724.0</v>
      </c>
      <c r="D247" s="10" t="s">
        <v>39</v>
      </c>
      <c r="E247" s="10" t="s">
        <v>44</v>
      </c>
      <c r="F247" s="27">
        <v>2382.0</v>
      </c>
      <c r="G247" s="27">
        <v>265.0</v>
      </c>
      <c r="H247" s="27">
        <v>134.0</v>
      </c>
      <c r="I247" s="27">
        <v>38112.0</v>
      </c>
      <c r="J247" s="27">
        <v>37437.0</v>
      </c>
      <c r="K247" s="27">
        <v>249.0</v>
      </c>
      <c r="L247" s="28" t="s">
        <v>16</v>
      </c>
      <c r="M247" s="10"/>
      <c r="N247" s="10"/>
      <c r="O247" s="29">
        <f t="shared" si="3"/>
        <v>0.07296914358</v>
      </c>
      <c r="P247" s="27">
        <f t="shared" si="2"/>
        <v>2781</v>
      </c>
    </row>
    <row r="248">
      <c r="A248" s="10" t="s">
        <v>223</v>
      </c>
      <c r="B248" s="10" t="s">
        <v>33</v>
      </c>
      <c r="C248" s="26">
        <v>45518.0</v>
      </c>
      <c r="D248" s="10" t="s">
        <v>34</v>
      </c>
      <c r="E248" s="10" t="s">
        <v>35</v>
      </c>
      <c r="F248" s="27">
        <v>3073.0</v>
      </c>
      <c r="G248" s="27">
        <v>553.0</v>
      </c>
      <c r="H248" s="27">
        <v>174.0</v>
      </c>
      <c r="I248" s="27">
        <v>52241.0</v>
      </c>
      <c r="J248" s="27">
        <v>51605.0</v>
      </c>
      <c r="K248" s="27">
        <v>246.0</v>
      </c>
      <c r="L248" s="28" t="s">
        <v>30</v>
      </c>
      <c r="M248" s="10"/>
      <c r="N248" s="10"/>
      <c r="O248" s="29">
        <f t="shared" si="3"/>
        <v>0.07273980207</v>
      </c>
      <c r="P248" s="27">
        <f t="shared" si="2"/>
        <v>3800</v>
      </c>
    </row>
    <row r="249">
      <c r="A249" s="10" t="s">
        <v>289</v>
      </c>
      <c r="B249" s="10" t="s">
        <v>13</v>
      </c>
      <c r="C249" s="26">
        <v>45489.0</v>
      </c>
      <c r="D249" s="10" t="s">
        <v>19</v>
      </c>
      <c r="E249" s="10" t="s">
        <v>20</v>
      </c>
      <c r="F249" s="27">
        <v>4725.0</v>
      </c>
      <c r="G249" s="27">
        <v>400.0</v>
      </c>
      <c r="H249" s="27">
        <v>362.0</v>
      </c>
      <c r="I249" s="27">
        <v>75600.0</v>
      </c>
      <c r="J249" s="27">
        <v>74927.0</v>
      </c>
      <c r="K249" s="27">
        <v>43.0</v>
      </c>
      <c r="L249" s="28" t="s">
        <v>16</v>
      </c>
      <c r="M249" s="10"/>
      <c r="N249" s="10"/>
      <c r="O249" s="29">
        <f t="shared" si="3"/>
        <v>0.07257936508</v>
      </c>
      <c r="P249" s="27">
        <f t="shared" si="2"/>
        <v>5487</v>
      </c>
    </row>
    <row r="250">
      <c r="A250" s="10" t="s">
        <v>240</v>
      </c>
      <c r="B250" s="10" t="s">
        <v>33</v>
      </c>
      <c r="C250" s="26">
        <v>45740.0</v>
      </c>
      <c r="D250" s="10" t="s">
        <v>14</v>
      </c>
      <c r="E250" s="10" t="s">
        <v>47</v>
      </c>
      <c r="F250" s="27">
        <v>3360.0</v>
      </c>
      <c r="G250" s="27">
        <v>525.0</v>
      </c>
      <c r="H250" s="27">
        <v>500.0</v>
      </c>
      <c r="I250" s="27">
        <v>60480.0</v>
      </c>
      <c r="J250" s="27">
        <v>59610.0</v>
      </c>
      <c r="K250" s="27">
        <v>192.0</v>
      </c>
      <c r="L250" s="28" t="s">
        <v>21</v>
      </c>
      <c r="M250" s="10"/>
      <c r="N250" s="10"/>
      <c r="O250" s="29">
        <f t="shared" si="3"/>
        <v>0.07250330688</v>
      </c>
      <c r="P250" s="27">
        <f t="shared" si="2"/>
        <v>4385</v>
      </c>
    </row>
    <row r="251">
      <c r="A251" s="10" t="s">
        <v>83</v>
      </c>
      <c r="B251" s="10" t="s">
        <v>33</v>
      </c>
      <c r="C251" s="26">
        <v>45621.0</v>
      </c>
      <c r="D251" s="10" t="s">
        <v>39</v>
      </c>
      <c r="E251" s="10" t="s">
        <v>44</v>
      </c>
      <c r="F251" s="27">
        <v>3564.0</v>
      </c>
      <c r="G251" s="27">
        <v>629.0</v>
      </c>
      <c r="H251" s="27">
        <v>177.0</v>
      </c>
      <c r="I251" s="27">
        <v>60588.0</v>
      </c>
      <c r="J251" s="27">
        <v>59627.0</v>
      </c>
      <c r="K251" s="27">
        <v>92.0</v>
      </c>
      <c r="L251" s="28" t="s">
        <v>21</v>
      </c>
      <c r="M251" s="10"/>
      <c r="N251" s="10"/>
      <c r="O251" s="29">
        <f t="shared" si="3"/>
        <v>0.0721264937</v>
      </c>
      <c r="P251" s="27">
        <f t="shared" si="2"/>
        <v>4370</v>
      </c>
    </row>
    <row r="252">
      <c r="A252" s="10" t="s">
        <v>266</v>
      </c>
      <c r="B252" s="10" t="s">
        <v>33</v>
      </c>
      <c r="C252" s="26">
        <v>45783.0</v>
      </c>
      <c r="D252" s="10" t="s">
        <v>39</v>
      </c>
      <c r="E252" s="10" t="s">
        <v>44</v>
      </c>
      <c r="F252" s="27">
        <v>4872.0</v>
      </c>
      <c r="G252" s="27">
        <v>925.0</v>
      </c>
      <c r="H252" s="27">
        <v>176.0</v>
      </c>
      <c r="I252" s="27">
        <v>82824.0</v>
      </c>
      <c r="J252" s="27">
        <v>82543.0</v>
      </c>
      <c r="K252" s="27">
        <v>89.0</v>
      </c>
      <c r="L252" s="28" t="s">
        <v>30</v>
      </c>
      <c r="M252" s="10"/>
      <c r="N252" s="10"/>
      <c r="O252" s="29">
        <f t="shared" si="3"/>
        <v>0.07211677775</v>
      </c>
      <c r="P252" s="27">
        <f t="shared" si="2"/>
        <v>5973</v>
      </c>
    </row>
    <row r="253">
      <c r="A253" s="10" t="s">
        <v>66</v>
      </c>
      <c r="B253" s="10" t="s">
        <v>33</v>
      </c>
      <c r="C253" s="26">
        <v>45680.0</v>
      </c>
      <c r="D253" s="10" t="s">
        <v>53</v>
      </c>
      <c r="E253" s="10" t="s">
        <v>54</v>
      </c>
      <c r="F253" s="27">
        <v>3961.0</v>
      </c>
      <c r="G253" s="27">
        <v>761.0</v>
      </c>
      <c r="H253" s="27">
        <v>131.0</v>
      </c>
      <c r="I253" s="27">
        <v>67337.0</v>
      </c>
      <c r="J253" s="27">
        <v>66615.0</v>
      </c>
      <c r="K253" s="27">
        <v>161.0</v>
      </c>
      <c r="L253" s="28" t="s">
        <v>16</v>
      </c>
      <c r="M253" s="10"/>
      <c r="N253" s="10"/>
      <c r="O253" s="29">
        <f t="shared" si="3"/>
        <v>0.0720703328</v>
      </c>
      <c r="P253" s="27">
        <f t="shared" si="2"/>
        <v>4853</v>
      </c>
    </row>
    <row r="254">
      <c r="A254" s="10" t="s">
        <v>149</v>
      </c>
      <c r="B254" s="10" t="s">
        <v>24</v>
      </c>
      <c r="C254" s="26">
        <v>45475.0</v>
      </c>
      <c r="D254" s="10" t="s">
        <v>34</v>
      </c>
      <c r="E254" s="10" t="s">
        <v>49</v>
      </c>
      <c r="F254" s="27">
        <v>4171.0</v>
      </c>
      <c r="G254" s="27">
        <v>548.0</v>
      </c>
      <c r="H254" s="27">
        <v>86.0</v>
      </c>
      <c r="I254" s="27">
        <v>66736.0</v>
      </c>
      <c r="J254" s="27">
        <v>66634.0</v>
      </c>
      <c r="K254" s="27">
        <v>173.0</v>
      </c>
      <c r="L254" s="28" t="s">
        <v>16</v>
      </c>
      <c r="M254" s="10"/>
      <c r="N254" s="10"/>
      <c r="O254" s="29">
        <f t="shared" si="3"/>
        <v>0.07200011988</v>
      </c>
      <c r="P254" s="27">
        <f t="shared" si="2"/>
        <v>4805</v>
      </c>
    </row>
    <row r="255">
      <c r="A255" s="10" t="s">
        <v>43</v>
      </c>
      <c r="B255" s="10" t="s">
        <v>33</v>
      </c>
      <c r="C255" s="26">
        <v>45727.0</v>
      </c>
      <c r="D255" s="10" t="s">
        <v>39</v>
      </c>
      <c r="E255" s="10" t="s">
        <v>44</v>
      </c>
      <c r="F255" s="27">
        <v>4241.0</v>
      </c>
      <c r="G255" s="27">
        <v>902.0</v>
      </c>
      <c r="H255" s="27">
        <v>47.0</v>
      </c>
      <c r="I255" s="27">
        <v>72097.0</v>
      </c>
      <c r="J255" s="27">
        <v>71598.0</v>
      </c>
      <c r="K255" s="27">
        <v>167.0</v>
      </c>
      <c r="L255" s="28" t="s">
        <v>21</v>
      </c>
      <c r="M255" s="10"/>
      <c r="N255" s="10"/>
      <c r="O255" s="29">
        <f t="shared" si="3"/>
        <v>0.07198635172</v>
      </c>
      <c r="P255" s="27">
        <f t="shared" si="2"/>
        <v>5190</v>
      </c>
    </row>
    <row r="256">
      <c r="A256" s="10" t="s">
        <v>342</v>
      </c>
      <c r="B256" s="10" t="s">
        <v>33</v>
      </c>
      <c r="C256" s="26">
        <v>45602.0</v>
      </c>
      <c r="D256" s="10" t="s">
        <v>53</v>
      </c>
      <c r="E256" s="10" t="s">
        <v>54</v>
      </c>
      <c r="F256" s="27">
        <v>4663.0</v>
      </c>
      <c r="G256" s="27">
        <v>145.0</v>
      </c>
      <c r="H256" s="27">
        <v>225.0</v>
      </c>
      <c r="I256" s="27">
        <v>69945.0</v>
      </c>
      <c r="J256" s="27">
        <v>69596.0</v>
      </c>
      <c r="K256" s="27">
        <v>35.0</v>
      </c>
      <c r="L256" s="28" t="s">
        <v>30</v>
      </c>
      <c r="M256" s="10"/>
      <c r="N256" s="10"/>
      <c r="O256" s="29">
        <f t="shared" si="3"/>
        <v>0.07195653728</v>
      </c>
      <c r="P256" s="27">
        <f t="shared" si="2"/>
        <v>5033</v>
      </c>
    </row>
    <row r="257">
      <c r="A257" s="10" t="s">
        <v>183</v>
      </c>
      <c r="B257" s="10" t="s">
        <v>33</v>
      </c>
      <c r="C257" s="26">
        <v>45694.0</v>
      </c>
      <c r="D257" s="10" t="s">
        <v>39</v>
      </c>
      <c r="E257" s="10" t="s">
        <v>44</v>
      </c>
      <c r="F257" s="27">
        <v>2072.0</v>
      </c>
      <c r="G257" s="27">
        <v>532.0</v>
      </c>
      <c r="H257" s="27">
        <v>71.0</v>
      </c>
      <c r="I257" s="27">
        <v>37296.0</v>
      </c>
      <c r="J257" s="27">
        <v>36467.0</v>
      </c>
      <c r="K257" s="27">
        <v>25.0</v>
      </c>
      <c r="L257" s="28" t="s">
        <v>21</v>
      </c>
      <c r="M257" s="10"/>
      <c r="N257" s="10"/>
      <c r="O257" s="29">
        <f t="shared" si="3"/>
        <v>0.07172350922</v>
      </c>
      <c r="P257" s="27">
        <f t="shared" si="2"/>
        <v>2675</v>
      </c>
    </row>
    <row r="258">
      <c r="A258" s="10" t="s">
        <v>69</v>
      </c>
      <c r="B258" s="10" t="s">
        <v>24</v>
      </c>
      <c r="C258" s="26">
        <v>45552.0</v>
      </c>
      <c r="D258" s="10" t="s">
        <v>19</v>
      </c>
      <c r="E258" s="10" t="s">
        <v>70</v>
      </c>
      <c r="F258" s="27">
        <v>2076.0</v>
      </c>
      <c r="G258" s="27">
        <v>195.0</v>
      </c>
      <c r="H258" s="27">
        <v>104.0</v>
      </c>
      <c r="I258" s="27">
        <v>33216.0</v>
      </c>
      <c r="J258" s="27">
        <v>32244.0</v>
      </c>
      <c r="K258" s="27">
        <v>51.0</v>
      </c>
      <c r="L258" s="28" t="s">
        <v>16</v>
      </c>
      <c r="M258" s="10"/>
      <c r="N258" s="10"/>
      <c r="O258" s="29">
        <f t="shared" si="3"/>
        <v>0.07150168593</v>
      </c>
      <c r="P258" s="27">
        <f t="shared" si="2"/>
        <v>2375</v>
      </c>
    </row>
    <row r="259">
      <c r="A259" s="10" t="s">
        <v>184</v>
      </c>
      <c r="B259" s="10" t="s">
        <v>13</v>
      </c>
      <c r="C259" s="26">
        <v>45771.0</v>
      </c>
      <c r="D259" s="10" t="s">
        <v>14</v>
      </c>
      <c r="E259" s="10" t="s">
        <v>15</v>
      </c>
      <c r="F259" s="27">
        <v>3731.0</v>
      </c>
      <c r="G259" s="27">
        <v>115.0</v>
      </c>
      <c r="H259" s="27">
        <v>135.0</v>
      </c>
      <c r="I259" s="27">
        <v>55965.0</v>
      </c>
      <c r="J259" s="27">
        <v>55436.0</v>
      </c>
      <c r="K259" s="27">
        <v>103.0</v>
      </c>
      <c r="L259" s="28" t="s">
        <v>21</v>
      </c>
      <c r="M259" s="10"/>
      <c r="N259" s="10"/>
      <c r="O259" s="29">
        <f t="shared" si="3"/>
        <v>0.0711337443</v>
      </c>
      <c r="P259" s="27">
        <f t="shared" si="2"/>
        <v>3981</v>
      </c>
    </row>
    <row r="260">
      <c r="A260" s="10" t="s">
        <v>140</v>
      </c>
      <c r="B260" s="10" t="s">
        <v>27</v>
      </c>
      <c r="C260" s="26">
        <v>45446.0</v>
      </c>
      <c r="D260" s="10" t="s">
        <v>39</v>
      </c>
      <c r="E260" s="10" t="s">
        <v>131</v>
      </c>
      <c r="F260" s="27">
        <v>3861.0</v>
      </c>
      <c r="G260" s="27">
        <v>960.0</v>
      </c>
      <c r="H260" s="27">
        <v>101.0</v>
      </c>
      <c r="I260" s="27">
        <v>69498.0</v>
      </c>
      <c r="J260" s="27">
        <v>68817.0</v>
      </c>
      <c r="K260" s="27">
        <v>297.0</v>
      </c>
      <c r="L260" s="28" t="s">
        <v>21</v>
      </c>
      <c r="M260" s="10"/>
      <c r="N260" s="10"/>
      <c r="O260" s="29">
        <f t="shared" si="3"/>
        <v>0.07082218193</v>
      </c>
      <c r="P260" s="27">
        <f t="shared" si="2"/>
        <v>4922</v>
      </c>
    </row>
    <row r="261">
      <c r="A261" s="10" t="s">
        <v>78</v>
      </c>
      <c r="B261" s="10" t="s">
        <v>33</v>
      </c>
      <c r="C261" s="26">
        <v>45742.0</v>
      </c>
      <c r="D261" s="10" t="s">
        <v>19</v>
      </c>
      <c r="E261" s="10" t="s">
        <v>42</v>
      </c>
      <c r="F261" s="27">
        <v>1652.0</v>
      </c>
      <c r="G261" s="27">
        <v>89.0</v>
      </c>
      <c r="H261" s="27">
        <v>357.0</v>
      </c>
      <c r="I261" s="27">
        <v>29736.0</v>
      </c>
      <c r="J261" s="27">
        <v>28771.0</v>
      </c>
      <c r="K261" s="27">
        <v>215.0</v>
      </c>
      <c r="L261" s="28" t="s">
        <v>21</v>
      </c>
      <c r="M261" s="10"/>
      <c r="N261" s="10"/>
      <c r="O261" s="29">
        <f t="shared" si="3"/>
        <v>0.07055421038</v>
      </c>
      <c r="P261" s="27">
        <f t="shared" si="2"/>
        <v>2098</v>
      </c>
    </row>
    <row r="262">
      <c r="A262" s="10" t="s">
        <v>36</v>
      </c>
      <c r="B262" s="10" t="s">
        <v>13</v>
      </c>
      <c r="C262" s="26">
        <v>45467.0</v>
      </c>
      <c r="D262" s="10" t="s">
        <v>34</v>
      </c>
      <c r="E262" s="10" t="s">
        <v>37</v>
      </c>
      <c r="F262" s="27">
        <v>3860.0</v>
      </c>
      <c r="G262" s="27">
        <v>201.0</v>
      </c>
      <c r="H262" s="27">
        <v>279.0</v>
      </c>
      <c r="I262" s="27">
        <v>61760.0</v>
      </c>
      <c r="J262" s="27">
        <v>61660.0</v>
      </c>
      <c r="K262" s="27">
        <v>235.0</v>
      </c>
      <c r="L262" s="28" t="s">
        <v>21</v>
      </c>
      <c r="M262" s="10"/>
      <c r="N262" s="10"/>
      <c r="O262" s="29">
        <f t="shared" si="3"/>
        <v>0.07027202073</v>
      </c>
      <c r="P262" s="27">
        <f t="shared" si="2"/>
        <v>4340</v>
      </c>
    </row>
    <row r="263">
      <c r="A263" s="10" t="s">
        <v>193</v>
      </c>
      <c r="B263" s="10" t="s">
        <v>24</v>
      </c>
      <c r="C263" s="26">
        <v>45741.0</v>
      </c>
      <c r="D263" s="10" t="s">
        <v>28</v>
      </c>
      <c r="E263" s="10" t="s">
        <v>98</v>
      </c>
      <c r="F263" s="27">
        <v>2070.0</v>
      </c>
      <c r="G263" s="27">
        <v>275.0</v>
      </c>
      <c r="H263" s="27">
        <v>386.0</v>
      </c>
      <c r="I263" s="27">
        <v>39330.0</v>
      </c>
      <c r="J263" s="27">
        <v>38627.0</v>
      </c>
      <c r="K263" s="27">
        <v>114.0</v>
      </c>
      <c r="L263" s="28" t="s">
        <v>16</v>
      </c>
      <c r="M263" s="10"/>
      <c r="N263" s="10"/>
      <c r="O263" s="29">
        <f t="shared" si="3"/>
        <v>0.06943808797</v>
      </c>
      <c r="P263" s="27">
        <f t="shared" si="2"/>
        <v>2731</v>
      </c>
    </row>
    <row r="264">
      <c r="A264" s="10" t="s">
        <v>177</v>
      </c>
      <c r="B264" s="10" t="s">
        <v>33</v>
      </c>
      <c r="C264" s="26">
        <v>45684.0</v>
      </c>
      <c r="D264" s="10" t="s">
        <v>14</v>
      </c>
      <c r="E264" s="10" t="s">
        <v>47</v>
      </c>
      <c r="F264" s="27">
        <v>3452.0</v>
      </c>
      <c r="G264" s="27">
        <v>652.0</v>
      </c>
      <c r="H264" s="27">
        <v>442.0</v>
      </c>
      <c r="I264" s="27">
        <v>65588.0</v>
      </c>
      <c r="J264" s="27">
        <v>65049.0</v>
      </c>
      <c r="K264" s="27">
        <v>158.0</v>
      </c>
      <c r="L264" s="28" t="s">
        <v>16</v>
      </c>
      <c r="M264" s="10"/>
      <c r="N264" s="10"/>
      <c r="O264" s="29">
        <f t="shared" si="3"/>
        <v>0.06931145941</v>
      </c>
      <c r="P264" s="27">
        <f t="shared" si="2"/>
        <v>4546</v>
      </c>
    </row>
    <row r="265">
      <c r="A265" s="10" t="s">
        <v>221</v>
      </c>
      <c r="B265" s="10" t="s">
        <v>13</v>
      </c>
      <c r="C265" s="26">
        <v>45775.0</v>
      </c>
      <c r="D265" s="10" t="s">
        <v>19</v>
      </c>
      <c r="E265" s="10" t="s">
        <v>20</v>
      </c>
      <c r="F265" s="27">
        <v>3577.0</v>
      </c>
      <c r="G265" s="27">
        <v>596.0</v>
      </c>
      <c r="H265" s="27">
        <v>493.0</v>
      </c>
      <c r="I265" s="27">
        <v>67963.0</v>
      </c>
      <c r="J265" s="27">
        <v>67839.0</v>
      </c>
      <c r="K265" s="27">
        <v>53.0</v>
      </c>
      <c r="L265" s="28" t="s">
        <v>21</v>
      </c>
      <c r="M265" s="10"/>
      <c r="N265" s="10"/>
      <c r="O265" s="29">
        <f t="shared" si="3"/>
        <v>0.06865500346</v>
      </c>
      <c r="P265" s="27">
        <f t="shared" si="2"/>
        <v>4666</v>
      </c>
    </row>
    <row r="266">
      <c r="A266" s="10" t="s">
        <v>145</v>
      </c>
      <c r="B266" s="10" t="s">
        <v>27</v>
      </c>
      <c r="C266" s="26">
        <v>45604.0</v>
      </c>
      <c r="D266" s="10" t="s">
        <v>19</v>
      </c>
      <c r="E266" s="10" t="s">
        <v>75</v>
      </c>
      <c r="F266" s="27">
        <v>3182.0</v>
      </c>
      <c r="G266" s="27">
        <v>559.0</v>
      </c>
      <c r="H266" s="27">
        <v>160.0</v>
      </c>
      <c r="I266" s="27">
        <v>57276.0</v>
      </c>
      <c r="J266" s="27">
        <v>56890.0</v>
      </c>
      <c r="K266" s="27">
        <v>163.0</v>
      </c>
      <c r="L266" s="28" t="s">
        <v>16</v>
      </c>
      <c r="M266" s="10"/>
      <c r="N266" s="10"/>
      <c r="O266" s="29">
        <f t="shared" si="3"/>
        <v>0.06810880648</v>
      </c>
      <c r="P266" s="27">
        <f t="shared" si="2"/>
        <v>3901</v>
      </c>
    </row>
    <row r="267">
      <c r="A267" s="10" t="s">
        <v>339</v>
      </c>
      <c r="B267" s="10" t="s">
        <v>24</v>
      </c>
      <c r="C267" s="26">
        <v>45764.0</v>
      </c>
      <c r="D267" s="10" t="s">
        <v>34</v>
      </c>
      <c r="E267" s="10" t="s">
        <v>49</v>
      </c>
      <c r="F267" s="27">
        <v>4780.0</v>
      </c>
      <c r="G267" s="27">
        <v>691.0</v>
      </c>
      <c r="H267" s="27">
        <v>380.0</v>
      </c>
      <c r="I267" s="27">
        <v>86040.0</v>
      </c>
      <c r="J267" s="27">
        <v>85743.0</v>
      </c>
      <c r="K267" s="27">
        <v>262.0</v>
      </c>
      <c r="L267" s="28" t="s">
        <v>16</v>
      </c>
      <c r="M267" s="10"/>
      <c r="N267" s="10"/>
      <c r="O267" s="29">
        <f t="shared" si="3"/>
        <v>0.0680032543</v>
      </c>
      <c r="P267" s="27">
        <f t="shared" si="2"/>
        <v>5851</v>
      </c>
    </row>
    <row r="268">
      <c r="A268" s="10" t="s">
        <v>288</v>
      </c>
      <c r="B268" s="10" t="s">
        <v>27</v>
      </c>
      <c r="C268" s="26">
        <v>45587.0</v>
      </c>
      <c r="D268" s="10" t="s">
        <v>28</v>
      </c>
      <c r="E268" s="10" t="s">
        <v>29</v>
      </c>
      <c r="F268" s="27">
        <v>3770.0</v>
      </c>
      <c r="G268" s="27">
        <v>917.0</v>
      </c>
      <c r="H268" s="27">
        <v>129.0</v>
      </c>
      <c r="I268" s="27">
        <v>71630.0</v>
      </c>
      <c r="J268" s="27">
        <v>71322.0</v>
      </c>
      <c r="K268" s="27">
        <v>76.0</v>
      </c>
      <c r="L268" s="28" t="s">
        <v>16</v>
      </c>
      <c r="M268" s="10"/>
      <c r="N268" s="10"/>
      <c r="O268" s="29">
        <f t="shared" si="3"/>
        <v>0.06723439899</v>
      </c>
      <c r="P268" s="27">
        <f t="shared" si="2"/>
        <v>4816</v>
      </c>
    </row>
    <row r="269">
      <c r="A269" s="10" t="s">
        <v>321</v>
      </c>
      <c r="B269" s="10" t="s">
        <v>24</v>
      </c>
      <c r="C269" s="26">
        <v>45672.0</v>
      </c>
      <c r="D269" s="10" t="s">
        <v>14</v>
      </c>
      <c r="E269" s="10" t="s">
        <v>25</v>
      </c>
      <c r="F269" s="27">
        <v>3774.0</v>
      </c>
      <c r="G269" s="27">
        <v>239.0</v>
      </c>
      <c r="H269" s="27">
        <v>39.0</v>
      </c>
      <c r="I269" s="27">
        <v>60384.0</v>
      </c>
      <c r="J269" s="27">
        <v>59490.0</v>
      </c>
      <c r="K269" s="27">
        <v>241.0</v>
      </c>
      <c r="L269" s="28" t="s">
        <v>21</v>
      </c>
      <c r="M269" s="10"/>
      <c r="N269" s="10"/>
      <c r="O269" s="29">
        <f t="shared" si="3"/>
        <v>0.06710386857</v>
      </c>
      <c r="P269" s="27">
        <f t="shared" si="2"/>
        <v>4052</v>
      </c>
    </row>
    <row r="270">
      <c r="A270" s="10" t="s">
        <v>31</v>
      </c>
      <c r="B270" s="10" t="s">
        <v>24</v>
      </c>
      <c r="C270" s="26">
        <v>45469.0</v>
      </c>
      <c r="D270" s="10" t="s">
        <v>14</v>
      </c>
      <c r="E270" s="10" t="s">
        <v>25</v>
      </c>
      <c r="F270" s="27">
        <v>3557.0</v>
      </c>
      <c r="G270" s="27">
        <v>687.0</v>
      </c>
      <c r="H270" s="27">
        <v>424.0</v>
      </c>
      <c r="I270" s="27">
        <v>71140.0</v>
      </c>
      <c r="J270" s="27">
        <v>70701.0</v>
      </c>
      <c r="K270" s="27">
        <v>224.0</v>
      </c>
      <c r="L270" s="28" t="s">
        <v>30</v>
      </c>
      <c r="M270" s="28" t="s">
        <v>21</v>
      </c>
      <c r="N270" s="10"/>
      <c r="O270" s="29">
        <f t="shared" si="3"/>
        <v>0.06561709306</v>
      </c>
      <c r="P270" s="27">
        <f t="shared" si="2"/>
        <v>4668</v>
      </c>
    </row>
    <row r="271">
      <c r="A271" s="10" t="s">
        <v>136</v>
      </c>
      <c r="B271" s="10" t="s">
        <v>24</v>
      </c>
      <c r="C271" s="26">
        <v>45684.0</v>
      </c>
      <c r="D271" s="10" t="s">
        <v>19</v>
      </c>
      <c r="E271" s="10" t="s">
        <v>70</v>
      </c>
      <c r="F271" s="27">
        <v>3428.0</v>
      </c>
      <c r="G271" s="27">
        <v>305.0</v>
      </c>
      <c r="H271" s="27">
        <v>85.0</v>
      </c>
      <c r="I271" s="27">
        <v>58276.0</v>
      </c>
      <c r="J271" s="27">
        <v>58052.0</v>
      </c>
      <c r="K271" s="27">
        <v>242.0</v>
      </c>
      <c r="L271" s="28" t="s">
        <v>30</v>
      </c>
      <c r="M271" s="28" t="s">
        <v>22</v>
      </c>
      <c r="N271" s="10"/>
      <c r="O271" s="29">
        <f t="shared" si="3"/>
        <v>0.06551582126</v>
      </c>
      <c r="P271" s="27">
        <f t="shared" si="2"/>
        <v>3818</v>
      </c>
    </row>
    <row r="272">
      <c r="A272" s="10" t="s">
        <v>195</v>
      </c>
      <c r="B272" s="10" t="s">
        <v>24</v>
      </c>
      <c r="C272" s="26">
        <v>45593.0</v>
      </c>
      <c r="D272" s="10" t="s">
        <v>28</v>
      </c>
      <c r="E272" s="10" t="s">
        <v>98</v>
      </c>
      <c r="F272" s="27">
        <v>4929.0</v>
      </c>
      <c r="G272" s="27">
        <v>749.0</v>
      </c>
      <c r="H272" s="27">
        <v>452.0</v>
      </c>
      <c r="I272" s="27">
        <v>93651.0</v>
      </c>
      <c r="J272" s="27">
        <v>92810.0</v>
      </c>
      <c r="K272" s="27">
        <v>66.0</v>
      </c>
      <c r="L272" s="28" t="s">
        <v>30</v>
      </c>
      <c r="M272" s="10"/>
      <c r="N272" s="10"/>
      <c r="O272" s="29">
        <f t="shared" si="3"/>
        <v>0.06545578798</v>
      </c>
      <c r="P272" s="27">
        <f t="shared" si="2"/>
        <v>6130</v>
      </c>
    </row>
    <row r="273">
      <c r="A273" s="10" t="s">
        <v>248</v>
      </c>
      <c r="B273" s="10" t="s">
        <v>13</v>
      </c>
      <c r="C273" s="26">
        <v>45587.0</v>
      </c>
      <c r="D273" s="10" t="s">
        <v>14</v>
      </c>
      <c r="E273" s="10" t="s">
        <v>15</v>
      </c>
      <c r="F273" s="27">
        <v>4782.0</v>
      </c>
      <c r="G273" s="27">
        <v>721.0</v>
      </c>
      <c r="H273" s="27">
        <v>82.0</v>
      </c>
      <c r="I273" s="27">
        <v>86076.0</v>
      </c>
      <c r="J273" s="27">
        <v>85339.0</v>
      </c>
      <c r="K273" s="27">
        <v>19.0</v>
      </c>
      <c r="L273" s="28" t="s">
        <v>30</v>
      </c>
      <c r="M273" s="10"/>
      <c r="N273" s="10"/>
      <c r="O273" s="29">
        <f t="shared" si="3"/>
        <v>0.06488452066</v>
      </c>
      <c r="P273" s="27">
        <f t="shared" si="2"/>
        <v>5585</v>
      </c>
    </row>
    <row r="274">
      <c r="A274" s="10" t="s">
        <v>185</v>
      </c>
      <c r="B274" s="10" t="s">
        <v>33</v>
      </c>
      <c r="C274" s="26">
        <v>45624.0</v>
      </c>
      <c r="D274" s="10" t="s">
        <v>19</v>
      </c>
      <c r="E274" s="10" t="s">
        <v>42</v>
      </c>
      <c r="F274" s="27">
        <v>4213.0</v>
      </c>
      <c r="G274" s="27">
        <v>253.0</v>
      </c>
      <c r="H274" s="27">
        <v>434.0</v>
      </c>
      <c r="I274" s="27">
        <v>75834.0</v>
      </c>
      <c r="J274" s="27">
        <v>75437.0</v>
      </c>
      <c r="K274" s="27">
        <v>272.0</v>
      </c>
      <c r="L274" s="28" t="s">
        <v>16</v>
      </c>
      <c r="M274" s="10"/>
      <c r="N274" s="10"/>
      <c r="O274" s="29">
        <f t="shared" si="3"/>
        <v>0.06461481657</v>
      </c>
      <c r="P274" s="27">
        <f t="shared" si="2"/>
        <v>4900</v>
      </c>
    </row>
    <row r="275">
      <c r="A275" s="10" t="s">
        <v>121</v>
      </c>
      <c r="B275" s="10" t="s">
        <v>33</v>
      </c>
      <c r="C275" s="26">
        <v>45583.0</v>
      </c>
      <c r="D275" s="10" t="s">
        <v>28</v>
      </c>
      <c r="E275" s="10" t="s">
        <v>51</v>
      </c>
      <c r="F275" s="27">
        <v>4126.0</v>
      </c>
      <c r="G275" s="27">
        <v>426.0</v>
      </c>
      <c r="H275" s="27">
        <v>486.0</v>
      </c>
      <c r="I275" s="27">
        <v>78394.0</v>
      </c>
      <c r="J275" s="27">
        <v>77798.0</v>
      </c>
      <c r="K275" s="27">
        <v>88.0</v>
      </c>
      <c r="L275" s="28" t="s">
        <v>16</v>
      </c>
      <c r="M275" s="10"/>
      <c r="N275" s="10"/>
      <c r="O275" s="29">
        <f t="shared" si="3"/>
        <v>0.06426512233</v>
      </c>
      <c r="P275" s="27">
        <f t="shared" si="2"/>
        <v>5038</v>
      </c>
    </row>
    <row r="276">
      <c r="A276" s="10" t="s">
        <v>318</v>
      </c>
      <c r="B276" s="10" t="s">
        <v>13</v>
      </c>
      <c r="C276" s="26">
        <v>45569.0</v>
      </c>
      <c r="D276" s="10" t="s">
        <v>14</v>
      </c>
      <c r="E276" s="10" t="s">
        <v>15</v>
      </c>
      <c r="F276" s="27">
        <v>4187.0</v>
      </c>
      <c r="G276" s="27">
        <v>66.0</v>
      </c>
      <c r="H276" s="27">
        <v>31.0</v>
      </c>
      <c r="I276" s="27">
        <v>66992.0</v>
      </c>
      <c r="J276" s="27">
        <v>66614.0</v>
      </c>
      <c r="K276" s="27">
        <v>62.0</v>
      </c>
      <c r="L276" s="28" t="s">
        <v>16</v>
      </c>
      <c r="M276" s="10"/>
      <c r="N276" s="10"/>
      <c r="O276" s="29">
        <f t="shared" si="3"/>
        <v>0.06394793408</v>
      </c>
      <c r="P276" s="27">
        <f t="shared" si="2"/>
        <v>4284</v>
      </c>
    </row>
    <row r="277">
      <c r="A277" s="10" t="s">
        <v>61</v>
      </c>
      <c r="B277" s="10" t="s">
        <v>27</v>
      </c>
      <c r="C277" s="26">
        <v>45544.0</v>
      </c>
      <c r="D277" s="10" t="s">
        <v>34</v>
      </c>
      <c r="E277" s="10" t="s">
        <v>62</v>
      </c>
      <c r="F277" s="27">
        <v>4054.0</v>
      </c>
      <c r="G277" s="27">
        <v>488.0</v>
      </c>
      <c r="H277" s="27">
        <v>373.0</v>
      </c>
      <c r="I277" s="27">
        <v>77026.0</v>
      </c>
      <c r="J277" s="27">
        <v>76881.0</v>
      </c>
      <c r="K277" s="27">
        <v>25.0</v>
      </c>
      <c r="L277" s="28" t="s">
        <v>21</v>
      </c>
      <c r="M277" s="10"/>
      <c r="N277" s="10"/>
      <c r="O277" s="29">
        <f t="shared" si="3"/>
        <v>0.06380962272</v>
      </c>
      <c r="P277" s="27">
        <f t="shared" si="2"/>
        <v>4915</v>
      </c>
    </row>
    <row r="278">
      <c r="A278" s="10" t="s">
        <v>115</v>
      </c>
      <c r="B278" s="10" t="s">
        <v>33</v>
      </c>
      <c r="C278" s="26">
        <v>45745.0</v>
      </c>
      <c r="D278" s="10" t="s">
        <v>34</v>
      </c>
      <c r="E278" s="10" t="s">
        <v>35</v>
      </c>
      <c r="F278" s="27">
        <v>4712.0</v>
      </c>
      <c r="G278" s="27">
        <v>568.0</v>
      </c>
      <c r="H278" s="27">
        <v>127.0</v>
      </c>
      <c r="I278" s="27">
        <v>84816.0</v>
      </c>
      <c r="J278" s="27">
        <v>84691.0</v>
      </c>
      <c r="K278" s="27">
        <v>100.0</v>
      </c>
      <c r="L278" s="28" t="s">
        <v>30</v>
      </c>
      <c r="M278" s="10"/>
      <c r="N278" s="10"/>
      <c r="O278" s="29">
        <f t="shared" si="3"/>
        <v>0.0637497642</v>
      </c>
      <c r="P278" s="27">
        <f t="shared" si="2"/>
        <v>5407</v>
      </c>
    </row>
    <row r="279">
      <c r="A279" s="10" t="s">
        <v>201</v>
      </c>
      <c r="B279" s="10" t="s">
        <v>24</v>
      </c>
      <c r="C279" s="26">
        <v>45526.0</v>
      </c>
      <c r="D279" s="10" t="s">
        <v>34</v>
      </c>
      <c r="E279" s="10" t="s">
        <v>49</v>
      </c>
      <c r="F279" s="27">
        <v>4295.0</v>
      </c>
      <c r="G279" s="27">
        <v>853.0</v>
      </c>
      <c r="H279" s="27">
        <v>325.0</v>
      </c>
      <c r="I279" s="27">
        <v>85900.0</v>
      </c>
      <c r="J279" s="27">
        <v>85788.0</v>
      </c>
      <c r="K279" s="27">
        <v>290.0</v>
      </c>
      <c r="L279" s="28" t="s">
        <v>21</v>
      </c>
      <c r="M279" s="10"/>
      <c r="N279" s="10"/>
      <c r="O279" s="29">
        <f t="shared" si="3"/>
        <v>0.06371362049</v>
      </c>
      <c r="P279" s="27">
        <f t="shared" si="2"/>
        <v>5473</v>
      </c>
    </row>
    <row r="280">
      <c r="A280" s="10" t="s">
        <v>332</v>
      </c>
      <c r="B280" s="10" t="s">
        <v>24</v>
      </c>
      <c r="C280" s="26">
        <v>45738.0</v>
      </c>
      <c r="D280" s="10" t="s">
        <v>39</v>
      </c>
      <c r="E280" s="10" t="s">
        <v>40</v>
      </c>
      <c r="F280" s="27">
        <v>3166.0</v>
      </c>
      <c r="G280" s="27">
        <v>90.0</v>
      </c>
      <c r="H280" s="27">
        <v>341.0</v>
      </c>
      <c r="I280" s="27">
        <v>56988.0</v>
      </c>
      <c r="J280" s="27">
        <v>56125.0</v>
      </c>
      <c r="K280" s="27">
        <v>135.0</v>
      </c>
      <c r="L280" s="28" t="s">
        <v>30</v>
      </c>
      <c r="M280" s="10"/>
      <c r="N280" s="10"/>
      <c r="O280" s="29">
        <f t="shared" si="3"/>
        <v>0.06311855127</v>
      </c>
      <c r="P280" s="27">
        <f t="shared" si="2"/>
        <v>3597</v>
      </c>
    </row>
    <row r="281">
      <c r="A281" s="10" t="s">
        <v>268</v>
      </c>
      <c r="B281" s="10" t="s">
        <v>33</v>
      </c>
      <c r="C281" s="26">
        <v>45629.0</v>
      </c>
      <c r="D281" s="10" t="s">
        <v>39</v>
      </c>
      <c r="E281" s="10" t="s">
        <v>44</v>
      </c>
      <c r="F281" s="27">
        <v>4606.0</v>
      </c>
      <c r="G281" s="27">
        <v>931.0</v>
      </c>
      <c r="H281" s="27">
        <v>230.0</v>
      </c>
      <c r="I281" s="27">
        <v>92120.0</v>
      </c>
      <c r="J281" s="27">
        <v>91440.0</v>
      </c>
      <c r="K281" s="27">
        <v>56.0</v>
      </c>
      <c r="L281" s="28" t="s">
        <v>21</v>
      </c>
      <c r="M281" s="10"/>
      <c r="N281" s="10"/>
      <c r="O281" s="29">
        <f t="shared" si="3"/>
        <v>0.06260312636</v>
      </c>
      <c r="P281" s="27">
        <f t="shared" si="2"/>
        <v>5767</v>
      </c>
    </row>
    <row r="282">
      <c r="A282" s="10" t="s">
        <v>251</v>
      </c>
      <c r="B282" s="10" t="s">
        <v>33</v>
      </c>
      <c r="C282" s="26">
        <v>45754.0</v>
      </c>
      <c r="D282" s="10" t="s">
        <v>14</v>
      </c>
      <c r="E282" s="10" t="s">
        <v>47</v>
      </c>
      <c r="F282" s="27">
        <v>3718.0</v>
      </c>
      <c r="G282" s="27">
        <v>385.0</v>
      </c>
      <c r="H282" s="27">
        <v>310.0</v>
      </c>
      <c r="I282" s="27">
        <v>70642.0</v>
      </c>
      <c r="J282" s="27">
        <v>69749.0</v>
      </c>
      <c r="K282" s="27">
        <v>233.0</v>
      </c>
      <c r="L282" s="28" t="s">
        <v>21</v>
      </c>
      <c r="M282" s="10"/>
      <c r="N282" s="10"/>
      <c r="O282" s="29">
        <f t="shared" si="3"/>
        <v>0.06246991875</v>
      </c>
      <c r="P282" s="27">
        <f t="shared" si="2"/>
        <v>4413</v>
      </c>
    </row>
    <row r="283">
      <c r="A283" s="10" t="s">
        <v>157</v>
      </c>
      <c r="B283" s="10" t="s">
        <v>24</v>
      </c>
      <c r="C283" s="26">
        <v>45464.0</v>
      </c>
      <c r="D283" s="10" t="s">
        <v>39</v>
      </c>
      <c r="E283" s="10" t="s">
        <v>40</v>
      </c>
      <c r="F283" s="27">
        <v>4832.0</v>
      </c>
      <c r="G283" s="27">
        <v>893.0</v>
      </c>
      <c r="H283" s="27">
        <v>10.0</v>
      </c>
      <c r="I283" s="27">
        <v>91808.0</v>
      </c>
      <c r="J283" s="27">
        <v>91296.0</v>
      </c>
      <c r="K283" s="27">
        <v>182.0</v>
      </c>
      <c r="L283" s="28" t="s">
        <v>21</v>
      </c>
      <c r="M283" s="10"/>
      <c r="N283" s="10"/>
      <c r="O283" s="29">
        <f t="shared" si="3"/>
        <v>0.06246732311</v>
      </c>
      <c r="P283" s="27">
        <f t="shared" si="2"/>
        <v>5735</v>
      </c>
    </row>
    <row r="284">
      <c r="A284" s="10" t="s">
        <v>165</v>
      </c>
      <c r="B284" s="10" t="s">
        <v>13</v>
      </c>
      <c r="C284" s="26">
        <v>45788.0</v>
      </c>
      <c r="D284" s="10" t="s">
        <v>39</v>
      </c>
      <c r="E284" s="10" t="s">
        <v>85</v>
      </c>
      <c r="F284" s="27">
        <v>2493.0</v>
      </c>
      <c r="G284" s="27">
        <v>97.0</v>
      </c>
      <c r="H284" s="27">
        <v>44.0</v>
      </c>
      <c r="I284" s="27">
        <v>42381.0</v>
      </c>
      <c r="J284" s="27">
        <v>41991.0</v>
      </c>
      <c r="K284" s="27">
        <v>242.0</v>
      </c>
      <c r="L284" s="28" t="s">
        <v>21</v>
      </c>
      <c r="M284" s="28" t="s">
        <v>17</v>
      </c>
      <c r="N284" s="10"/>
      <c r="O284" s="29">
        <f t="shared" si="3"/>
        <v>0.06215049197</v>
      </c>
      <c r="P284" s="27">
        <f t="shared" si="2"/>
        <v>2634</v>
      </c>
    </row>
    <row r="285">
      <c r="A285" s="10" t="s">
        <v>274</v>
      </c>
      <c r="B285" s="10" t="s">
        <v>13</v>
      </c>
      <c r="C285" s="26">
        <v>45608.0</v>
      </c>
      <c r="D285" s="10" t="s">
        <v>39</v>
      </c>
      <c r="E285" s="10" t="s">
        <v>85</v>
      </c>
      <c r="F285" s="27">
        <v>3338.0</v>
      </c>
      <c r="G285" s="27">
        <v>277.0</v>
      </c>
      <c r="H285" s="27">
        <v>118.0</v>
      </c>
      <c r="I285" s="27">
        <v>60084.0</v>
      </c>
      <c r="J285" s="27">
        <v>59842.0</v>
      </c>
      <c r="K285" s="27">
        <v>252.0</v>
      </c>
      <c r="L285" s="28" t="s">
        <v>21</v>
      </c>
      <c r="M285" s="10"/>
      <c r="N285" s="10"/>
      <c r="O285" s="29">
        <f t="shared" si="3"/>
        <v>0.06212968511</v>
      </c>
      <c r="P285" s="27">
        <f t="shared" si="2"/>
        <v>3733</v>
      </c>
    </row>
    <row r="286">
      <c r="A286" s="10" t="s">
        <v>330</v>
      </c>
      <c r="B286" s="10" t="s">
        <v>24</v>
      </c>
      <c r="C286" s="26">
        <v>45537.0</v>
      </c>
      <c r="D286" s="10" t="s">
        <v>39</v>
      </c>
      <c r="E286" s="10" t="s">
        <v>40</v>
      </c>
      <c r="F286" s="27">
        <v>4905.0</v>
      </c>
      <c r="G286" s="27">
        <v>845.0</v>
      </c>
      <c r="H286" s="27">
        <v>129.0</v>
      </c>
      <c r="I286" s="27">
        <v>98100.0</v>
      </c>
      <c r="J286" s="27">
        <v>97772.0</v>
      </c>
      <c r="K286" s="27">
        <v>279.0</v>
      </c>
      <c r="L286" s="28" t="s">
        <v>21</v>
      </c>
      <c r="M286" s="10"/>
      <c r="N286" s="10"/>
      <c r="O286" s="29">
        <f t="shared" si="3"/>
        <v>0.05992864424</v>
      </c>
      <c r="P286" s="27">
        <f t="shared" si="2"/>
        <v>5879</v>
      </c>
    </row>
    <row r="287">
      <c r="A287" s="10" t="s">
        <v>67</v>
      </c>
      <c r="B287" s="10" t="s">
        <v>13</v>
      </c>
      <c r="C287" s="26">
        <v>45757.0</v>
      </c>
      <c r="D287" s="10" t="s">
        <v>34</v>
      </c>
      <c r="E287" s="10" t="s">
        <v>37</v>
      </c>
      <c r="F287" s="27">
        <v>3128.0</v>
      </c>
      <c r="G287" s="27">
        <v>211.0</v>
      </c>
      <c r="H287" s="27">
        <v>197.0</v>
      </c>
      <c r="I287" s="27">
        <v>59432.0</v>
      </c>
      <c r="J287" s="27">
        <v>59182.0</v>
      </c>
      <c r="K287" s="27">
        <v>238.0</v>
      </c>
      <c r="L287" s="28" t="s">
        <v>30</v>
      </c>
      <c r="M287" s="10"/>
      <c r="N287" s="10"/>
      <c r="O287" s="29">
        <f t="shared" si="3"/>
        <v>0.05949656751</v>
      </c>
      <c r="P287" s="27">
        <f t="shared" si="2"/>
        <v>3536</v>
      </c>
    </row>
    <row r="288">
      <c r="A288" s="10" t="s">
        <v>52</v>
      </c>
      <c r="B288" s="10" t="s">
        <v>33</v>
      </c>
      <c r="C288" s="26">
        <v>45589.0</v>
      </c>
      <c r="D288" s="10" t="s">
        <v>53</v>
      </c>
      <c r="E288" s="10" t="s">
        <v>54</v>
      </c>
      <c r="F288" s="27">
        <v>3888.0</v>
      </c>
      <c r="G288" s="27">
        <v>604.0</v>
      </c>
      <c r="H288" s="27">
        <v>128.0</v>
      </c>
      <c r="I288" s="27">
        <v>77760.0</v>
      </c>
      <c r="J288" s="27">
        <v>77167.0</v>
      </c>
      <c r="K288" s="27">
        <v>20.0</v>
      </c>
      <c r="L288" s="28" t="s">
        <v>16</v>
      </c>
      <c r="M288" s="10"/>
      <c r="N288" s="10"/>
      <c r="O288" s="29">
        <f t="shared" si="3"/>
        <v>0.05941358025</v>
      </c>
      <c r="P288" s="27">
        <f t="shared" si="2"/>
        <v>4620</v>
      </c>
    </row>
    <row r="289">
      <c r="A289" s="10" t="s">
        <v>347</v>
      </c>
      <c r="B289" s="10" t="s">
        <v>13</v>
      </c>
      <c r="C289" s="26">
        <v>45699.0</v>
      </c>
      <c r="D289" s="10" t="s">
        <v>53</v>
      </c>
      <c r="E289" s="10" t="s">
        <v>92</v>
      </c>
      <c r="F289" s="27">
        <v>3440.0</v>
      </c>
      <c r="G289" s="27">
        <v>13.0</v>
      </c>
      <c r="H289" s="27">
        <v>20.0</v>
      </c>
      <c r="I289" s="27">
        <v>58480.0</v>
      </c>
      <c r="J289" s="27">
        <v>58146.0</v>
      </c>
      <c r="K289" s="27">
        <v>210.0</v>
      </c>
      <c r="L289" s="28" t="s">
        <v>21</v>
      </c>
      <c r="M289" s="28" t="s">
        <v>191</v>
      </c>
      <c r="N289" s="10"/>
      <c r="O289" s="29">
        <f t="shared" si="3"/>
        <v>0.0593878249</v>
      </c>
      <c r="P289" s="27">
        <f t="shared" si="2"/>
        <v>3473</v>
      </c>
    </row>
    <row r="290">
      <c r="A290" s="10" t="s">
        <v>349</v>
      </c>
      <c r="B290" s="10" t="s">
        <v>33</v>
      </c>
      <c r="C290" s="26">
        <v>45589.0</v>
      </c>
      <c r="D290" s="10" t="s">
        <v>39</v>
      </c>
      <c r="E290" s="10" t="s">
        <v>44</v>
      </c>
      <c r="F290" s="27">
        <v>4303.0</v>
      </c>
      <c r="G290" s="27">
        <v>451.0</v>
      </c>
      <c r="H290" s="27">
        <v>286.0</v>
      </c>
      <c r="I290" s="27">
        <v>86060.0</v>
      </c>
      <c r="J290" s="27">
        <v>85823.0</v>
      </c>
      <c r="K290" s="27">
        <v>14.0</v>
      </c>
      <c r="L290" s="28" t="s">
        <v>21</v>
      </c>
      <c r="M290" s="10"/>
      <c r="N290" s="10"/>
      <c r="O290" s="29">
        <f t="shared" si="3"/>
        <v>0.0585637927</v>
      </c>
      <c r="P290" s="27">
        <f t="shared" si="2"/>
        <v>5040</v>
      </c>
    </row>
    <row r="291">
      <c r="A291" s="10" t="s">
        <v>267</v>
      </c>
      <c r="B291" s="10" t="s">
        <v>24</v>
      </c>
      <c r="C291" s="26">
        <v>45502.0</v>
      </c>
      <c r="D291" s="10" t="s">
        <v>28</v>
      </c>
      <c r="E291" s="10" t="s">
        <v>98</v>
      </c>
      <c r="F291" s="27">
        <v>1509.0</v>
      </c>
      <c r="G291" s="27">
        <v>88.0</v>
      </c>
      <c r="H291" s="27">
        <v>163.0</v>
      </c>
      <c r="I291" s="27">
        <v>30180.0</v>
      </c>
      <c r="J291" s="27">
        <v>29689.0</v>
      </c>
      <c r="K291" s="27">
        <v>119.0</v>
      </c>
      <c r="L291" s="28" t="s">
        <v>30</v>
      </c>
      <c r="M291" s="10"/>
      <c r="N291" s="10"/>
      <c r="O291" s="29">
        <f t="shared" si="3"/>
        <v>0.05831676607</v>
      </c>
      <c r="P291" s="27">
        <f t="shared" si="2"/>
        <v>1760</v>
      </c>
    </row>
    <row r="292">
      <c r="A292" s="10" t="s">
        <v>334</v>
      </c>
      <c r="B292" s="10" t="s">
        <v>13</v>
      </c>
      <c r="C292" s="26">
        <v>45786.0</v>
      </c>
      <c r="D292" s="10" t="s">
        <v>14</v>
      </c>
      <c r="E292" s="10" t="s">
        <v>15</v>
      </c>
      <c r="F292" s="27">
        <v>3367.0</v>
      </c>
      <c r="G292" s="27">
        <v>302.0</v>
      </c>
      <c r="H292" s="27">
        <v>57.0</v>
      </c>
      <c r="I292" s="27">
        <v>63973.0</v>
      </c>
      <c r="J292" s="27">
        <v>63789.0</v>
      </c>
      <c r="K292" s="27">
        <v>157.0</v>
      </c>
      <c r="L292" s="28" t="s">
        <v>16</v>
      </c>
      <c r="M292" s="10"/>
      <c r="N292" s="10"/>
      <c r="O292" s="29">
        <f t="shared" si="3"/>
        <v>0.0582433214</v>
      </c>
      <c r="P292" s="27">
        <f t="shared" si="2"/>
        <v>3726</v>
      </c>
    </row>
    <row r="293">
      <c r="A293" s="10" t="s">
        <v>307</v>
      </c>
      <c r="B293" s="10" t="s">
        <v>24</v>
      </c>
      <c r="C293" s="26">
        <v>45553.0</v>
      </c>
      <c r="D293" s="10" t="s">
        <v>34</v>
      </c>
      <c r="E293" s="10" t="s">
        <v>49</v>
      </c>
      <c r="F293" s="27">
        <v>2143.0</v>
      </c>
      <c r="G293" s="27">
        <v>12.0</v>
      </c>
      <c r="H293" s="27">
        <v>204.0</v>
      </c>
      <c r="I293" s="27">
        <v>40717.0</v>
      </c>
      <c r="J293" s="27">
        <v>40125.0</v>
      </c>
      <c r="K293" s="27">
        <v>248.0</v>
      </c>
      <c r="L293" s="28" t="s">
        <v>30</v>
      </c>
      <c r="M293" s="10"/>
      <c r="N293" s="10"/>
      <c r="O293" s="29">
        <f t="shared" si="3"/>
        <v>0.05793648844</v>
      </c>
      <c r="P293" s="27">
        <f t="shared" si="2"/>
        <v>2359</v>
      </c>
    </row>
    <row r="294">
      <c r="A294" s="10" t="s">
        <v>73</v>
      </c>
      <c r="B294" s="10" t="s">
        <v>27</v>
      </c>
      <c r="C294" s="26">
        <v>45713.0</v>
      </c>
      <c r="D294" s="10" t="s">
        <v>53</v>
      </c>
      <c r="E294" s="10" t="s">
        <v>60</v>
      </c>
      <c r="F294" s="27">
        <v>3095.0</v>
      </c>
      <c r="G294" s="27">
        <v>39.0</v>
      </c>
      <c r="H294" s="27">
        <v>78.0</v>
      </c>
      <c r="I294" s="27">
        <v>55710.0</v>
      </c>
      <c r="J294" s="27">
        <v>54808.0</v>
      </c>
      <c r="K294" s="27">
        <v>93.0</v>
      </c>
      <c r="L294" s="28" t="s">
        <v>30</v>
      </c>
      <c r="M294" s="10"/>
      <c r="N294" s="10"/>
      <c r="O294" s="29">
        <f t="shared" si="3"/>
        <v>0.05765571711</v>
      </c>
      <c r="P294" s="27">
        <f t="shared" si="2"/>
        <v>3212</v>
      </c>
    </row>
    <row r="295">
      <c r="A295" s="10" t="s">
        <v>254</v>
      </c>
      <c r="B295" s="10" t="s">
        <v>27</v>
      </c>
      <c r="C295" s="26">
        <v>45617.0</v>
      </c>
      <c r="D295" s="10" t="s">
        <v>34</v>
      </c>
      <c r="E295" s="10" t="s">
        <v>62</v>
      </c>
      <c r="F295" s="27">
        <v>3773.0</v>
      </c>
      <c r="G295" s="27">
        <v>299.0</v>
      </c>
      <c r="H295" s="27">
        <v>38.0</v>
      </c>
      <c r="I295" s="27">
        <v>71687.0</v>
      </c>
      <c r="J295" s="27">
        <v>71447.0</v>
      </c>
      <c r="K295" s="27">
        <v>286.0</v>
      </c>
      <c r="L295" s="28" t="s">
        <v>16</v>
      </c>
      <c r="M295" s="10"/>
      <c r="N295" s="10"/>
      <c r="O295" s="29">
        <f t="shared" si="3"/>
        <v>0.05733257076</v>
      </c>
      <c r="P295" s="27">
        <f t="shared" si="2"/>
        <v>4110</v>
      </c>
    </row>
    <row r="296">
      <c r="A296" s="10" t="s">
        <v>276</v>
      </c>
      <c r="B296" s="10" t="s">
        <v>13</v>
      </c>
      <c r="C296" s="26">
        <v>45463.0</v>
      </c>
      <c r="D296" s="10" t="s">
        <v>34</v>
      </c>
      <c r="E296" s="10" t="s">
        <v>37</v>
      </c>
      <c r="F296" s="27">
        <v>4672.0</v>
      </c>
      <c r="G296" s="27">
        <v>325.0</v>
      </c>
      <c r="H296" s="27">
        <v>32.0</v>
      </c>
      <c r="I296" s="27">
        <v>88768.0</v>
      </c>
      <c r="J296" s="27">
        <v>87833.0</v>
      </c>
      <c r="K296" s="27">
        <v>118.0</v>
      </c>
      <c r="L296" s="28" t="s">
        <v>30</v>
      </c>
      <c r="M296" s="10"/>
      <c r="N296" s="10"/>
      <c r="O296" s="29">
        <f t="shared" si="3"/>
        <v>0.05665329849</v>
      </c>
      <c r="P296" s="27">
        <f t="shared" si="2"/>
        <v>5029</v>
      </c>
    </row>
    <row r="297">
      <c r="A297" s="10" t="s">
        <v>196</v>
      </c>
      <c r="B297" s="10" t="s">
        <v>27</v>
      </c>
      <c r="C297" s="26">
        <v>45516.0</v>
      </c>
      <c r="D297" s="10" t="s">
        <v>34</v>
      </c>
      <c r="E297" s="10" t="s">
        <v>62</v>
      </c>
      <c r="F297" s="27">
        <v>1878.0</v>
      </c>
      <c r="G297" s="27">
        <v>62.0</v>
      </c>
      <c r="H297" s="27">
        <v>179.0</v>
      </c>
      <c r="I297" s="27">
        <v>37560.0</v>
      </c>
      <c r="J297" s="27">
        <v>36874.0</v>
      </c>
      <c r="K297" s="27">
        <v>142.0</v>
      </c>
      <c r="L297" s="28" t="s">
        <v>21</v>
      </c>
      <c r="M297" s="10"/>
      <c r="N297" s="10"/>
      <c r="O297" s="29">
        <f t="shared" si="3"/>
        <v>0.05641640043</v>
      </c>
      <c r="P297" s="27">
        <f t="shared" si="2"/>
        <v>2119</v>
      </c>
    </row>
    <row r="298">
      <c r="A298" s="10" t="s">
        <v>241</v>
      </c>
      <c r="B298" s="10" t="s">
        <v>24</v>
      </c>
      <c r="C298" s="26">
        <v>45569.0</v>
      </c>
      <c r="D298" s="10" t="s">
        <v>19</v>
      </c>
      <c r="E298" s="10" t="s">
        <v>70</v>
      </c>
      <c r="F298" s="27">
        <v>1963.0</v>
      </c>
      <c r="G298" s="27">
        <v>213.0</v>
      </c>
      <c r="H298" s="27">
        <v>19.0</v>
      </c>
      <c r="I298" s="27">
        <v>39260.0</v>
      </c>
      <c r="J298" s="27">
        <v>38771.0</v>
      </c>
      <c r="K298" s="27">
        <v>145.0</v>
      </c>
      <c r="L298" s="28" t="s">
        <v>16</v>
      </c>
      <c r="M298" s="10"/>
      <c r="N298" s="10"/>
      <c r="O298" s="29">
        <f t="shared" si="3"/>
        <v>0.05590932247</v>
      </c>
      <c r="P298" s="27">
        <f t="shared" si="2"/>
        <v>2195</v>
      </c>
    </row>
    <row r="299">
      <c r="A299" s="10" t="s">
        <v>23</v>
      </c>
      <c r="B299" s="10" t="s">
        <v>24</v>
      </c>
      <c r="C299" s="26">
        <v>45789.0</v>
      </c>
      <c r="D299" s="10" t="s">
        <v>14</v>
      </c>
      <c r="E299" s="10" t="s">
        <v>25</v>
      </c>
      <c r="F299" s="27">
        <v>2795.0</v>
      </c>
      <c r="G299" s="27">
        <v>105.0</v>
      </c>
      <c r="H299" s="27">
        <v>49.0</v>
      </c>
      <c r="I299" s="27">
        <v>53105.0</v>
      </c>
      <c r="J299" s="27">
        <v>52307.0</v>
      </c>
      <c r="K299" s="27">
        <v>204.0</v>
      </c>
      <c r="L299" s="28" t="s">
        <v>21</v>
      </c>
      <c r="M299" s="10"/>
      <c r="N299" s="10"/>
      <c r="O299" s="29">
        <f t="shared" si="3"/>
        <v>0.05553149421</v>
      </c>
      <c r="P299" s="27">
        <f t="shared" si="2"/>
        <v>2949</v>
      </c>
    </row>
    <row r="300">
      <c r="A300" s="10" t="s">
        <v>227</v>
      </c>
      <c r="B300" s="10" t="s">
        <v>33</v>
      </c>
      <c r="C300" s="26">
        <v>45463.0</v>
      </c>
      <c r="D300" s="10" t="s">
        <v>53</v>
      </c>
      <c r="E300" s="10" t="s">
        <v>54</v>
      </c>
      <c r="F300" s="27">
        <v>3798.0</v>
      </c>
      <c r="G300" s="27">
        <v>31.0</v>
      </c>
      <c r="H300" s="27">
        <v>279.0</v>
      </c>
      <c r="I300" s="27">
        <v>75960.0</v>
      </c>
      <c r="J300" s="27">
        <v>75813.0</v>
      </c>
      <c r="K300" s="27">
        <v>266.0</v>
      </c>
      <c r="L300" s="28" t="s">
        <v>21</v>
      </c>
      <c r="M300" s="10"/>
      <c r="N300" s="10"/>
      <c r="O300" s="29">
        <f t="shared" si="3"/>
        <v>0.05408109531</v>
      </c>
      <c r="P300" s="27">
        <f t="shared" si="2"/>
        <v>4108</v>
      </c>
    </row>
    <row r="301">
      <c r="A301" s="10" t="s">
        <v>111</v>
      </c>
      <c r="B301" s="10" t="s">
        <v>13</v>
      </c>
      <c r="C301" s="26">
        <v>45504.0</v>
      </c>
      <c r="D301" s="10" t="s">
        <v>34</v>
      </c>
      <c r="E301" s="10" t="s">
        <v>37</v>
      </c>
      <c r="F301" s="27">
        <v>4507.0</v>
      </c>
      <c r="G301" s="27">
        <v>217.0</v>
      </c>
      <c r="H301" s="27">
        <v>13.0</v>
      </c>
      <c r="I301" s="27">
        <v>90140.0</v>
      </c>
      <c r="J301" s="27">
        <v>89591.0</v>
      </c>
      <c r="K301" s="27">
        <v>125.0</v>
      </c>
      <c r="L301" s="28" t="s">
        <v>16</v>
      </c>
      <c r="M301" s="10"/>
      <c r="N301" s="10"/>
      <c r="O301" s="29">
        <f t="shared" si="3"/>
        <v>0.05255158642</v>
      </c>
      <c r="P301" s="27">
        <f t="shared" si="2"/>
        <v>4737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63"/>
    <col customWidth="1" min="2" max="2" width="18.75"/>
    <col customWidth="1" min="4" max="4" width="65.25"/>
  </cols>
  <sheetData>
    <row r="1">
      <c r="A1" s="48" t="s">
        <v>1</v>
      </c>
      <c r="B1" s="49" t="s">
        <v>393</v>
      </c>
      <c r="C1" s="50"/>
      <c r="D1" s="50"/>
    </row>
    <row r="2">
      <c r="A2" s="44" t="s">
        <v>33</v>
      </c>
      <c r="B2" s="34">
        <v>305242.0</v>
      </c>
      <c r="C2" s="28"/>
      <c r="D2" s="28"/>
    </row>
    <row r="3">
      <c r="A3" s="44" t="s">
        <v>27</v>
      </c>
      <c r="B3" s="34">
        <v>263579.0</v>
      </c>
      <c r="C3" s="28"/>
      <c r="D3" s="28"/>
    </row>
    <row r="4">
      <c r="A4" s="44" t="s">
        <v>13</v>
      </c>
      <c r="B4" s="34">
        <v>256005.0</v>
      </c>
      <c r="C4" s="28"/>
      <c r="D4" s="28"/>
    </row>
    <row r="5">
      <c r="A5" s="44" t="s">
        <v>24</v>
      </c>
      <c r="B5" s="34">
        <v>212941.0</v>
      </c>
      <c r="C5" s="28"/>
      <c r="D5" s="28"/>
    </row>
    <row r="6">
      <c r="A6" s="38" t="s">
        <v>387</v>
      </c>
      <c r="B6" s="40">
        <v>1037767.0</v>
      </c>
      <c r="C6" s="28"/>
      <c r="D6" s="28"/>
    </row>
    <row r="7">
      <c r="A7" s="28"/>
      <c r="B7" s="28"/>
      <c r="C7" s="28"/>
      <c r="D7" s="28"/>
    </row>
    <row r="8">
      <c r="A8" s="28"/>
      <c r="B8" s="28"/>
      <c r="C8" s="28"/>
      <c r="D8" s="28"/>
    </row>
    <row r="9">
      <c r="A9" s="28"/>
      <c r="B9" s="28"/>
      <c r="C9" s="28"/>
      <c r="D9" s="28"/>
    </row>
    <row r="10">
      <c r="A10" s="28"/>
      <c r="B10" s="28"/>
      <c r="C10" s="28"/>
      <c r="D10" s="28"/>
    </row>
    <row r="11">
      <c r="A11" s="28"/>
      <c r="B11" s="28"/>
      <c r="C11" s="28"/>
      <c r="D11" s="28"/>
    </row>
    <row r="12">
      <c r="A12" s="28"/>
      <c r="B12" s="28"/>
      <c r="C12" s="28"/>
      <c r="D12" s="28"/>
    </row>
    <row r="13">
      <c r="A13" s="28"/>
      <c r="B13" s="28"/>
      <c r="C13" s="28"/>
      <c r="D13" s="28"/>
    </row>
    <row r="14">
      <c r="A14" s="28"/>
      <c r="B14" s="28"/>
      <c r="C14" s="28"/>
      <c r="D14" s="28"/>
    </row>
    <row r="15">
      <c r="A15" s="28"/>
      <c r="B15" s="28"/>
      <c r="C15" s="28"/>
      <c r="D15" s="28"/>
    </row>
    <row r="16">
      <c r="A16" s="28"/>
      <c r="B16" s="28"/>
      <c r="C16" s="28"/>
      <c r="D16" s="28"/>
    </row>
    <row r="17">
      <c r="A17" s="28"/>
      <c r="B17" s="28"/>
      <c r="C17" s="28"/>
      <c r="D17" s="28"/>
    </row>
    <row r="18">
      <c r="A18" s="28"/>
      <c r="B18" s="28"/>
      <c r="C18" s="28"/>
      <c r="D18" s="28"/>
    </row>
    <row r="19">
      <c r="A19" s="28"/>
      <c r="B19" s="28"/>
      <c r="C19" s="28"/>
      <c r="D19" s="28"/>
    </row>
    <row r="20">
      <c r="A20" s="28"/>
      <c r="B20" s="28"/>
      <c r="C20" s="28"/>
      <c r="D20" s="28"/>
    </row>
    <row r="21">
      <c r="A21" s="28"/>
      <c r="B21" s="28"/>
      <c r="C21" s="28"/>
      <c r="D21" s="28"/>
    </row>
    <row r="22">
      <c r="A22" s="28"/>
      <c r="B22" s="28"/>
      <c r="C22" s="28"/>
      <c r="D22" s="28"/>
    </row>
    <row r="23">
      <c r="A23" s="28"/>
      <c r="B23" s="28"/>
      <c r="C23" s="28"/>
      <c r="D23" s="28"/>
    </row>
    <row r="24">
      <c r="A24" s="28"/>
      <c r="B24" s="28"/>
      <c r="C24" s="28"/>
      <c r="D24" s="28"/>
    </row>
    <row r="25">
      <c r="A25" s="28"/>
      <c r="B25" s="28"/>
      <c r="C25" s="28"/>
      <c r="D25" s="28"/>
    </row>
    <row r="26">
      <c r="A26" s="28"/>
      <c r="B26" s="28"/>
      <c r="C26" s="28"/>
      <c r="D26" s="51" t="s">
        <v>394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38"/>
    <col customWidth="1" min="9" max="9" width="25.13"/>
  </cols>
  <sheetData>
    <row r="1">
      <c r="A1" s="3" t="s">
        <v>352</v>
      </c>
      <c r="B1" s="11" t="s">
        <v>1</v>
      </c>
      <c r="C1" s="12" t="s">
        <v>353</v>
      </c>
      <c r="D1" s="11" t="s">
        <v>354</v>
      </c>
      <c r="E1" s="12" t="s">
        <v>355</v>
      </c>
      <c r="F1" s="12" t="s">
        <v>356</v>
      </c>
      <c r="G1" s="12" t="s">
        <v>357</v>
      </c>
      <c r="H1" s="52" t="s">
        <v>395</v>
      </c>
      <c r="I1" s="28" t="s">
        <v>396</v>
      </c>
    </row>
    <row r="2">
      <c r="A2" s="13">
        <v>45446.0</v>
      </c>
      <c r="B2" s="14" t="s">
        <v>27</v>
      </c>
      <c r="C2" s="15">
        <v>1135.0</v>
      </c>
      <c r="D2" s="15">
        <v>88.0</v>
      </c>
      <c r="E2" s="15">
        <v>344084.0</v>
      </c>
      <c r="F2" s="15">
        <v>8.06</v>
      </c>
      <c r="G2" s="15">
        <v>5904.0</v>
      </c>
      <c r="H2" s="53">
        <f t="shared" ref="H2:H201" si="1">((C2 - D2) / E2) * 100</f>
        <v>0.3042861627</v>
      </c>
      <c r="I2" s="29">
        <f t="shared" ref="I2:I201" si="2">F2 / G2
</f>
        <v>0.001365176152</v>
      </c>
    </row>
    <row r="3">
      <c r="A3" s="13">
        <v>45446.0</v>
      </c>
      <c r="B3" s="14" t="s">
        <v>33</v>
      </c>
      <c r="C3" s="15">
        <v>1312.0</v>
      </c>
      <c r="D3" s="15">
        <v>310.0</v>
      </c>
      <c r="E3" s="15">
        <v>42654.0</v>
      </c>
      <c r="F3" s="15">
        <v>4.98</v>
      </c>
      <c r="G3" s="15">
        <v>9566.0</v>
      </c>
      <c r="H3" s="53">
        <f t="shared" si="1"/>
        <v>2.349134899</v>
      </c>
      <c r="I3" s="29">
        <f t="shared" si="2"/>
        <v>0.0005205937696</v>
      </c>
    </row>
    <row r="4">
      <c r="A4" s="13">
        <v>45446.0</v>
      </c>
      <c r="B4" s="14" t="s">
        <v>13</v>
      </c>
      <c r="C4" s="15">
        <v>584.0</v>
      </c>
      <c r="D4" s="15">
        <v>169.0</v>
      </c>
      <c r="E4" s="15">
        <v>146834.0</v>
      </c>
      <c r="F4" s="15">
        <v>8.31</v>
      </c>
      <c r="G4" s="15">
        <v>26752.0</v>
      </c>
      <c r="H4" s="53">
        <f t="shared" si="1"/>
        <v>0.2826320879</v>
      </c>
      <c r="I4" s="29">
        <f t="shared" si="2"/>
        <v>0.0003106309809</v>
      </c>
    </row>
    <row r="5">
      <c r="A5" s="13">
        <v>45446.0</v>
      </c>
      <c r="B5" s="14" t="s">
        <v>24</v>
      </c>
      <c r="C5" s="15">
        <v>1535.0</v>
      </c>
      <c r="D5" s="15">
        <v>445.0</v>
      </c>
      <c r="E5" s="15">
        <v>395536.0</v>
      </c>
      <c r="F5" s="15">
        <v>4.11</v>
      </c>
      <c r="G5" s="15">
        <v>30671.0</v>
      </c>
      <c r="H5" s="53">
        <f t="shared" si="1"/>
        <v>0.2755754217</v>
      </c>
      <c r="I5" s="29">
        <f t="shared" si="2"/>
        <v>0.000134002804</v>
      </c>
    </row>
    <row r="6">
      <c r="A6" s="13">
        <v>45453.0</v>
      </c>
      <c r="B6" s="14" t="s">
        <v>27</v>
      </c>
      <c r="C6" s="15">
        <v>656.0</v>
      </c>
      <c r="D6" s="15">
        <v>139.0</v>
      </c>
      <c r="E6" s="15">
        <v>49157.0</v>
      </c>
      <c r="F6" s="15">
        <v>9.05</v>
      </c>
      <c r="G6" s="15">
        <v>9920.0</v>
      </c>
      <c r="H6" s="53">
        <f t="shared" si="1"/>
        <v>1.051732205</v>
      </c>
      <c r="I6" s="29">
        <f t="shared" si="2"/>
        <v>0.0009122983871</v>
      </c>
    </row>
    <row r="7">
      <c r="A7" s="13">
        <v>45453.0</v>
      </c>
      <c r="B7" s="14" t="s">
        <v>33</v>
      </c>
      <c r="C7" s="15">
        <v>1697.0</v>
      </c>
      <c r="D7" s="15">
        <v>414.0</v>
      </c>
      <c r="E7" s="15">
        <v>316555.0</v>
      </c>
      <c r="F7" s="15">
        <v>2.37</v>
      </c>
      <c r="G7" s="15">
        <v>7924.0</v>
      </c>
      <c r="H7" s="53">
        <f t="shared" si="1"/>
        <v>0.4053008166</v>
      </c>
      <c r="I7" s="29">
        <f t="shared" si="2"/>
        <v>0.000299091368</v>
      </c>
    </row>
    <row r="8">
      <c r="A8" s="13">
        <v>45453.0</v>
      </c>
      <c r="B8" s="14" t="s">
        <v>13</v>
      </c>
      <c r="C8" s="15">
        <v>436.0</v>
      </c>
      <c r="D8" s="15">
        <v>250.0</v>
      </c>
      <c r="E8" s="15">
        <v>254347.0</v>
      </c>
      <c r="F8" s="15">
        <v>4.01</v>
      </c>
      <c r="G8" s="15">
        <v>8912.0</v>
      </c>
      <c r="H8" s="53">
        <f t="shared" si="1"/>
        <v>0.07312844264</v>
      </c>
      <c r="I8" s="29">
        <f t="shared" si="2"/>
        <v>0.0004499551167</v>
      </c>
    </row>
    <row r="9">
      <c r="A9" s="13">
        <v>45453.0</v>
      </c>
      <c r="B9" s="14" t="s">
        <v>24</v>
      </c>
      <c r="C9" s="15">
        <v>1197.0</v>
      </c>
      <c r="D9" s="15">
        <v>203.0</v>
      </c>
      <c r="E9" s="15">
        <v>413878.0</v>
      </c>
      <c r="F9" s="15">
        <v>3.16</v>
      </c>
      <c r="G9" s="15">
        <v>21205.0</v>
      </c>
      <c r="H9" s="53">
        <f t="shared" si="1"/>
        <v>0.2401673923</v>
      </c>
      <c r="I9" s="29">
        <f t="shared" si="2"/>
        <v>0.0001490214572</v>
      </c>
    </row>
    <row r="10">
      <c r="A10" s="13">
        <v>45460.0</v>
      </c>
      <c r="B10" s="14" t="s">
        <v>27</v>
      </c>
      <c r="C10" s="15">
        <v>1048.0</v>
      </c>
      <c r="D10" s="15">
        <v>155.0</v>
      </c>
      <c r="E10" s="15">
        <v>456946.0</v>
      </c>
      <c r="F10" s="15">
        <v>2.46</v>
      </c>
      <c r="G10" s="15">
        <v>11329.0</v>
      </c>
      <c r="H10" s="53">
        <f t="shared" si="1"/>
        <v>0.1954279061</v>
      </c>
      <c r="I10" s="29">
        <f t="shared" si="2"/>
        <v>0.0002171418484</v>
      </c>
    </row>
    <row r="11">
      <c r="A11" s="13">
        <v>45460.0</v>
      </c>
      <c r="B11" s="14" t="s">
        <v>33</v>
      </c>
      <c r="C11" s="15">
        <v>1753.0</v>
      </c>
      <c r="D11" s="15">
        <v>371.0</v>
      </c>
      <c r="E11" s="15">
        <v>169496.0</v>
      </c>
      <c r="F11" s="15">
        <v>8.11</v>
      </c>
      <c r="G11" s="15">
        <v>46670.0</v>
      </c>
      <c r="H11" s="53">
        <f t="shared" si="1"/>
        <v>0.8153584745</v>
      </c>
      <c r="I11" s="29">
        <f t="shared" si="2"/>
        <v>0.0001737733019</v>
      </c>
    </row>
    <row r="12">
      <c r="A12" s="13">
        <v>45460.0</v>
      </c>
      <c r="B12" s="14" t="s">
        <v>13</v>
      </c>
      <c r="C12" s="15">
        <v>1335.0</v>
      </c>
      <c r="D12" s="15">
        <v>40.0</v>
      </c>
      <c r="E12" s="15">
        <v>122732.0</v>
      </c>
      <c r="F12" s="15">
        <v>8.19</v>
      </c>
      <c r="G12" s="15">
        <v>22482.0</v>
      </c>
      <c r="H12" s="53">
        <f t="shared" si="1"/>
        <v>1.055144543</v>
      </c>
      <c r="I12" s="29">
        <f t="shared" si="2"/>
        <v>0.0003642914331</v>
      </c>
    </row>
    <row r="13">
      <c r="A13" s="13">
        <v>45460.0</v>
      </c>
      <c r="B13" s="14" t="s">
        <v>24</v>
      </c>
      <c r="C13" s="15">
        <v>403.0</v>
      </c>
      <c r="D13" s="15">
        <v>66.0</v>
      </c>
      <c r="E13" s="15">
        <v>382851.0</v>
      </c>
      <c r="F13" s="15">
        <v>3.49</v>
      </c>
      <c r="G13" s="15">
        <v>24313.0</v>
      </c>
      <c r="H13" s="53">
        <f t="shared" si="1"/>
        <v>0.08802380038</v>
      </c>
      <c r="I13" s="29">
        <f t="shared" si="2"/>
        <v>0.0001435446058</v>
      </c>
    </row>
    <row r="14">
      <c r="A14" s="13">
        <v>45467.0</v>
      </c>
      <c r="B14" s="14" t="s">
        <v>27</v>
      </c>
      <c r="C14" s="15">
        <v>911.0</v>
      </c>
      <c r="D14" s="15">
        <v>282.0</v>
      </c>
      <c r="E14" s="15">
        <v>35664.0</v>
      </c>
      <c r="F14" s="15">
        <v>6.92</v>
      </c>
      <c r="G14" s="15">
        <v>18050.0</v>
      </c>
      <c r="H14" s="53">
        <f t="shared" si="1"/>
        <v>1.763683266</v>
      </c>
      <c r="I14" s="29">
        <f t="shared" si="2"/>
        <v>0.0003833795014</v>
      </c>
    </row>
    <row r="15">
      <c r="A15" s="13">
        <v>45467.0</v>
      </c>
      <c r="B15" s="14" t="s">
        <v>33</v>
      </c>
      <c r="C15" s="15">
        <v>1779.0</v>
      </c>
      <c r="D15" s="15">
        <v>109.0</v>
      </c>
      <c r="E15" s="15">
        <v>26295.0</v>
      </c>
      <c r="F15" s="15">
        <v>9.12</v>
      </c>
      <c r="G15" s="15">
        <v>30635.0</v>
      </c>
      <c r="H15" s="53">
        <f t="shared" si="1"/>
        <v>6.351017304</v>
      </c>
      <c r="I15" s="29">
        <f t="shared" si="2"/>
        <v>0.0002976987106</v>
      </c>
    </row>
    <row r="16">
      <c r="A16" s="13">
        <v>45467.0</v>
      </c>
      <c r="B16" s="14" t="s">
        <v>13</v>
      </c>
      <c r="C16" s="15">
        <v>1238.0</v>
      </c>
      <c r="D16" s="15">
        <v>403.0</v>
      </c>
      <c r="E16" s="15">
        <v>298421.0</v>
      </c>
      <c r="F16" s="15">
        <v>3.5</v>
      </c>
      <c r="G16" s="15">
        <v>31280.0</v>
      </c>
      <c r="H16" s="53">
        <f t="shared" si="1"/>
        <v>0.2798060458</v>
      </c>
      <c r="I16" s="29">
        <f t="shared" si="2"/>
        <v>0.0001118925831</v>
      </c>
    </row>
    <row r="17">
      <c r="A17" s="13">
        <v>45467.0</v>
      </c>
      <c r="B17" s="14" t="s">
        <v>24</v>
      </c>
      <c r="C17" s="15">
        <v>308.0</v>
      </c>
      <c r="D17" s="15">
        <v>431.0</v>
      </c>
      <c r="E17" s="15">
        <v>426184.0</v>
      </c>
      <c r="F17" s="15">
        <v>2.62</v>
      </c>
      <c r="G17" s="15">
        <v>1783.0</v>
      </c>
      <c r="H17" s="53">
        <f t="shared" si="1"/>
        <v>-0.02886077375</v>
      </c>
      <c r="I17" s="29">
        <f t="shared" si="2"/>
        <v>0.001469433539</v>
      </c>
    </row>
    <row r="18">
      <c r="A18" s="13">
        <v>45474.0</v>
      </c>
      <c r="B18" s="14" t="s">
        <v>27</v>
      </c>
      <c r="C18" s="15">
        <v>226.0</v>
      </c>
      <c r="D18" s="15">
        <v>445.0</v>
      </c>
      <c r="E18" s="15">
        <v>419447.0</v>
      </c>
      <c r="F18" s="15">
        <v>9.36</v>
      </c>
      <c r="G18" s="15">
        <v>9566.0</v>
      </c>
      <c r="H18" s="53">
        <f t="shared" si="1"/>
        <v>-0.05221160242</v>
      </c>
      <c r="I18" s="29">
        <f t="shared" si="2"/>
        <v>0.0009784653983</v>
      </c>
    </row>
    <row r="19">
      <c r="A19" s="13">
        <v>45474.0</v>
      </c>
      <c r="B19" s="14" t="s">
        <v>33</v>
      </c>
      <c r="C19" s="15">
        <v>505.0</v>
      </c>
      <c r="D19" s="15">
        <v>441.0</v>
      </c>
      <c r="E19" s="15">
        <v>220020.0</v>
      </c>
      <c r="F19" s="15">
        <v>4.48</v>
      </c>
      <c r="G19" s="15">
        <v>42307.0</v>
      </c>
      <c r="H19" s="53">
        <f t="shared" si="1"/>
        <v>0.0290882647</v>
      </c>
      <c r="I19" s="29">
        <f t="shared" si="2"/>
        <v>0.0001058926419</v>
      </c>
    </row>
    <row r="20">
      <c r="A20" s="13">
        <v>45474.0</v>
      </c>
      <c r="B20" s="14" t="s">
        <v>13</v>
      </c>
      <c r="C20" s="15">
        <v>1420.0</v>
      </c>
      <c r="D20" s="15">
        <v>63.0</v>
      </c>
      <c r="E20" s="15">
        <v>315305.0</v>
      </c>
      <c r="F20" s="15">
        <v>6.19</v>
      </c>
      <c r="G20" s="15">
        <v>5914.0</v>
      </c>
      <c r="H20" s="53">
        <f t="shared" si="1"/>
        <v>0.4303769366</v>
      </c>
      <c r="I20" s="29">
        <f t="shared" si="2"/>
        <v>0.001046668921</v>
      </c>
    </row>
    <row r="21">
      <c r="A21" s="13">
        <v>45474.0</v>
      </c>
      <c r="B21" s="14" t="s">
        <v>24</v>
      </c>
      <c r="C21" s="15">
        <v>144.0</v>
      </c>
      <c r="D21" s="15">
        <v>53.0</v>
      </c>
      <c r="E21" s="15">
        <v>113678.0</v>
      </c>
      <c r="F21" s="15">
        <v>8.72</v>
      </c>
      <c r="G21" s="15">
        <v>30060.0</v>
      </c>
      <c r="H21" s="53">
        <f t="shared" si="1"/>
        <v>0.08005066943</v>
      </c>
      <c r="I21" s="29">
        <f t="shared" si="2"/>
        <v>0.0002900864937</v>
      </c>
    </row>
    <row r="22">
      <c r="A22" s="13">
        <v>45481.0</v>
      </c>
      <c r="B22" s="14" t="s">
        <v>27</v>
      </c>
      <c r="C22" s="15">
        <v>1757.0</v>
      </c>
      <c r="D22" s="15">
        <v>85.0</v>
      </c>
      <c r="E22" s="15">
        <v>58223.0</v>
      </c>
      <c r="F22" s="15">
        <v>8.74</v>
      </c>
      <c r="G22" s="15">
        <v>22728.0</v>
      </c>
      <c r="H22" s="53">
        <f t="shared" si="1"/>
        <v>2.871717363</v>
      </c>
      <c r="I22" s="29">
        <f t="shared" si="2"/>
        <v>0.0003845476945</v>
      </c>
    </row>
    <row r="23">
      <c r="A23" s="13">
        <v>45481.0</v>
      </c>
      <c r="B23" s="14" t="s">
        <v>33</v>
      </c>
      <c r="C23" s="15">
        <v>350.0</v>
      </c>
      <c r="D23" s="15">
        <v>41.0</v>
      </c>
      <c r="E23" s="15">
        <v>251694.0</v>
      </c>
      <c r="F23" s="15">
        <v>1.91</v>
      </c>
      <c r="G23" s="15">
        <v>38610.0</v>
      </c>
      <c r="H23" s="53">
        <f t="shared" si="1"/>
        <v>0.1227681232</v>
      </c>
      <c r="I23" s="29">
        <f t="shared" si="2"/>
        <v>0.00004946904947</v>
      </c>
    </row>
    <row r="24">
      <c r="A24" s="13">
        <v>45481.0</v>
      </c>
      <c r="B24" s="14" t="s">
        <v>13</v>
      </c>
      <c r="C24" s="15">
        <v>987.0</v>
      </c>
      <c r="D24" s="15">
        <v>440.0</v>
      </c>
      <c r="E24" s="15">
        <v>389810.0</v>
      </c>
      <c r="F24" s="15">
        <v>4.66</v>
      </c>
      <c r="G24" s="15">
        <v>2932.0</v>
      </c>
      <c r="H24" s="53">
        <f t="shared" si="1"/>
        <v>0.1403247736</v>
      </c>
      <c r="I24" s="29">
        <f t="shared" si="2"/>
        <v>0.001589358799</v>
      </c>
    </row>
    <row r="25">
      <c r="A25" s="13">
        <v>45481.0</v>
      </c>
      <c r="B25" s="14" t="s">
        <v>24</v>
      </c>
      <c r="C25" s="15">
        <v>883.0</v>
      </c>
      <c r="D25" s="15">
        <v>369.0</v>
      </c>
      <c r="E25" s="15">
        <v>233694.0</v>
      </c>
      <c r="F25" s="15">
        <v>2.88</v>
      </c>
      <c r="G25" s="15">
        <v>15071.0</v>
      </c>
      <c r="H25" s="53">
        <f t="shared" si="1"/>
        <v>0.219945741</v>
      </c>
      <c r="I25" s="29">
        <f t="shared" si="2"/>
        <v>0.0001910954814</v>
      </c>
    </row>
    <row r="26">
      <c r="A26" s="13">
        <v>45488.0</v>
      </c>
      <c r="B26" s="14" t="s">
        <v>27</v>
      </c>
      <c r="C26" s="15">
        <v>1960.0</v>
      </c>
      <c r="D26" s="15">
        <v>115.0</v>
      </c>
      <c r="E26" s="15">
        <v>154169.0</v>
      </c>
      <c r="F26" s="15">
        <v>3.74</v>
      </c>
      <c r="G26" s="15">
        <v>10740.0</v>
      </c>
      <c r="H26" s="53">
        <f t="shared" si="1"/>
        <v>1.196738644</v>
      </c>
      <c r="I26" s="29">
        <f t="shared" si="2"/>
        <v>0.0003482309125</v>
      </c>
    </row>
    <row r="27">
      <c r="A27" s="13">
        <v>45488.0</v>
      </c>
      <c r="B27" s="14" t="s">
        <v>33</v>
      </c>
      <c r="C27" s="15">
        <v>170.0</v>
      </c>
      <c r="D27" s="15">
        <v>334.0</v>
      </c>
      <c r="E27" s="15">
        <v>334626.0</v>
      </c>
      <c r="F27" s="15">
        <v>6.44</v>
      </c>
      <c r="G27" s="15">
        <v>43420.0</v>
      </c>
      <c r="H27" s="53">
        <f t="shared" si="1"/>
        <v>-0.04900993945</v>
      </c>
      <c r="I27" s="29">
        <f t="shared" si="2"/>
        <v>0.0001483187471</v>
      </c>
    </row>
    <row r="28">
      <c r="A28" s="13">
        <v>45488.0</v>
      </c>
      <c r="B28" s="14" t="s">
        <v>13</v>
      </c>
      <c r="C28" s="15">
        <v>704.0</v>
      </c>
      <c r="D28" s="15">
        <v>275.0</v>
      </c>
      <c r="E28" s="15">
        <v>226002.0</v>
      </c>
      <c r="F28" s="15">
        <v>8.56</v>
      </c>
      <c r="G28" s="15">
        <v>32393.0</v>
      </c>
      <c r="H28" s="53">
        <f t="shared" si="1"/>
        <v>0.189821329</v>
      </c>
      <c r="I28" s="29">
        <f t="shared" si="2"/>
        <v>0.0002642546229</v>
      </c>
    </row>
    <row r="29">
      <c r="A29" s="13">
        <v>45488.0</v>
      </c>
      <c r="B29" s="14" t="s">
        <v>24</v>
      </c>
      <c r="C29" s="15">
        <v>224.0</v>
      </c>
      <c r="D29" s="15">
        <v>64.0</v>
      </c>
      <c r="E29" s="15">
        <v>156683.0</v>
      </c>
      <c r="F29" s="15">
        <v>4.56</v>
      </c>
      <c r="G29" s="15">
        <v>28474.0</v>
      </c>
      <c r="H29" s="53">
        <f t="shared" si="1"/>
        <v>0.1021170133</v>
      </c>
      <c r="I29" s="29">
        <f t="shared" si="2"/>
        <v>0.0001601460982</v>
      </c>
    </row>
    <row r="30">
      <c r="A30" s="13">
        <v>45495.0</v>
      </c>
      <c r="B30" s="14" t="s">
        <v>27</v>
      </c>
      <c r="C30" s="15">
        <v>508.0</v>
      </c>
      <c r="D30" s="15">
        <v>349.0</v>
      </c>
      <c r="E30" s="15">
        <v>473812.0</v>
      </c>
      <c r="F30" s="15">
        <v>7.88</v>
      </c>
      <c r="G30" s="15">
        <v>17328.0</v>
      </c>
      <c r="H30" s="53">
        <f t="shared" si="1"/>
        <v>0.03355761357</v>
      </c>
      <c r="I30" s="29">
        <f t="shared" si="2"/>
        <v>0.0004547553093</v>
      </c>
    </row>
    <row r="31">
      <c r="A31" s="13">
        <v>45495.0</v>
      </c>
      <c r="B31" s="14" t="s">
        <v>33</v>
      </c>
      <c r="C31" s="15">
        <v>1391.0</v>
      </c>
      <c r="D31" s="15">
        <v>430.0</v>
      </c>
      <c r="E31" s="15">
        <v>295032.0</v>
      </c>
      <c r="F31" s="15">
        <v>7.86</v>
      </c>
      <c r="G31" s="15">
        <v>26067.0</v>
      </c>
      <c r="H31" s="53">
        <f t="shared" si="1"/>
        <v>0.3257273787</v>
      </c>
      <c r="I31" s="29">
        <f t="shared" si="2"/>
        <v>0.000301530671</v>
      </c>
    </row>
    <row r="32">
      <c r="A32" s="13">
        <v>45495.0</v>
      </c>
      <c r="B32" s="14" t="s">
        <v>13</v>
      </c>
      <c r="C32" s="15">
        <v>1701.0</v>
      </c>
      <c r="D32" s="15">
        <v>385.0</v>
      </c>
      <c r="E32" s="15">
        <v>198278.0</v>
      </c>
      <c r="F32" s="15">
        <v>5.34</v>
      </c>
      <c r="G32" s="15">
        <v>32763.0</v>
      </c>
      <c r="H32" s="53">
        <f t="shared" si="1"/>
        <v>0.6637145826</v>
      </c>
      <c r="I32" s="29">
        <f t="shared" si="2"/>
        <v>0.0001629887373</v>
      </c>
    </row>
    <row r="33">
      <c r="A33" s="13">
        <v>45495.0</v>
      </c>
      <c r="B33" s="14" t="s">
        <v>24</v>
      </c>
      <c r="C33" s="15">
        <v>804.0</v>
      </c>
      <c r="D33" s="15">
        <v>487.0</v>
      </c>
      <c r="E33" s="15">
        <v>306564.0</v>
      </c>
      <c r="F33" s="15">
        <v>5.52</v>
      </c>
      <c r="G33" s="15">
        <v>26452.0</v>
      </c>
      <c r="H33" s="53">
        <f t="shared" si="1"/>
        <v>0.1034041831</v>
      </c>
      <c r="I33" s="29">
        <f t="shared" si="2"/>
        <v>0.000208679873</v>
      </c>
    </row>
    <row r="34">
      <c r="A34" s="13">
        <v>45502.0</v>
      </c>
      <c r="B34" s="14" t="s">
        <v>27</v>
      </c>
      <c r="C34" s="15">
        <v>653.0</v>
      </c>
      <c r="D34" s="15">
        <v>112.0</v>
      </c>
      <c r="E34" s="15">
        <v>23664.0</v>
      </c>
      <c r="F34" s="15">
        <v>4.05</v>
      </c>
      <c r="G34" s="15">
        <v>15353.0</v>
      </c>
      <c r="H34" s="53">
        <f t="shared" si="1"/>
        <v>2.28617309</v>
      </c>
      <c r="I34" s="29">
        <f t="shared" si="2"/>
        <v>0.0002637920928</v>
      </c>
    </row>
    <row r="35">
      <c r="A35" s="13">
        <v>45502.0</v>
      </c>
      <c r="B35" s="14" t="s">
        <v>33</v>
      </c>
      <c r="C35" s="15">
        <v>160.0</v>
      </c>
      <c r="D35" s="15">
        <v>478.0</v>
      </c>
      <c r="E35" s="15">
        <v>435034.0</v>
      </c>
      <c r="F35" s="15">
        <v>7.73</v>
      </c>
      <c r="G35" s="15">
        <v>4839.0</v>
      </c>
      <c r="H35" s="53">
        <f t="shared" si="1"/>
        <v>-0.07309773489</v>
      </c>
      <c r="I35" s="29">
        <f t="shared" si="2"/>
        <v>0.001597437487</v>
      </c>
    </row>
    <row r="36">
      <c r="A36" s="13">
        <v>45502.0</v>
      </c>
      <c r="B36" s="14" t="s">
        <v>13</v>
      </c>
      <c r="C36" s="15">
        <v>1756.0</v>
      </c>
      <c r="D36" s="15">
        <v>261.0</v>
      </c>
      <c r="E36" s="15">
        <v>287574.0</v>
      </c>
      <c r="F36" s="15">
        <v>4.36</v>
      </c>
      <c r="G36" s="15">
        <v>39272.0</v>
      </c>
      <c r="H36" s="53">
        <f t="shared" si="1"/>
        <v>0.519866191</v>
      </c>
      <c r="I36" s="29">
        <f t="shared" si="2"/>
        <v>0.0001110205745</v>
      </c>
    </row>
    <row r="37">
      <c r="A37" s="13">
        <v>45502.0</v>
      </c>
      <c r="B37" s="14" t="s">
        <v>24</v>
      </c>
      <c r="C37" s="15">
        <v>576.0</v>
      </c>
      <c r="D37" s="15">
        <v>101.0</v>
      </c>
      <c r="E37" s="15">
        <v>62499.0</v>
      </c>
      <c r="F37" s="15">
        <v>3.48</v>
      </c>
      <c r="G37" s="15">
        <v>16804.0</v>
      </c>
      <c r="H37" s="53">
        <f t="shared" si="1"/>
        <v>0.7600121602</v>
      </c>
      <c r="I37" s="29">
        <f t="shared" si="2"/>
        <v>0.0002070935492</v>
      </c>
    </row>
    <row r="38">
      <c r="A38" s="13">
        <v>45509.0</v>
      </c>
      <c r="B38" s="14" t="s">
        <v>27</v>
      </c>
      <c r="C38" s="15">
        <v>645.0</v>
      </c>
      <c r="D38" s="15">
        <v>293.0</v>
      </c>
      <c r="E38" s="15">
        <v>437968.0</v>
      </c>
      <c r="F38" s="15">
        <v>7.83</v>
      </c>
      <c r="G38" s="15">
        <v>49303.0</v>
      </c>
      <c r="H38" s="53">
        <f t="shared" si="1"/>
        <v>0.08037116867</v>
      </c>
      <c r="I38" s="29">
        <f t="shared" si="2"/>
        <v>0.0001588138653</v>
      </c>
    </row>
    <row r="39">
      <c r="A39" s="13">
        <v>45509.0</v>
      </c>
      <c r="B39" s="14" t="s">
        <v>33</v>
      </c>
      <c r="C39" s="15">
        <v>214.0</v>
      </c>
      <c r="D39" s="15">
        <v>411.0</v>
      </c>
      <c r="E39" s="15">
        <v>125034.0</v>
      </c>
      <c r="F39" s="15">
        <v>6.11</v>
      </c>
      <c r="G39" s="15">
        <v>26455.0</v>
      </c>
      <c r="H39" s="53">
        <f t="shared" si="1"/>
        <v>-0.1575571445</v>
      </c>
      <c r="I39" s="29">
        <f t="shared" si="2"/>
        <v>0.000230958231</v>
      </c>
    </row>
    <row r="40">
      <c r="A40" s="13">
        <v>45509.0</v>
      </c>
      <c r="B40" s="14" t="s">
        <v>13</v>
      </c>
      <c r="C40" s="15">
        <v>826.0</v>
      </c>
      <c r="D40" s="15">
        <v>498.0</v>
      </c>
      <c r="E40" s="15">
        <v>449994.0</v>
      </c>
      <c r="F40" s="15">
        <v>9.43</v>
      </c>
      <c r="G40" s="15">
        <v>12384.0</v>
      </c>
      <c r="H40" s="53">
        <f t="shared" si="1"/>
        <v>0.07288986075</v>
      </c>
      <c r="I40" s="29">
        <f t="shared" si="2"/>
        <v>0.0007614664083</v>
      </c>
    </row>
    <row r="41">
      <c r="A41" s="13">
        <v>45509.0</v>
      </c>
      <c r="B41" s="14" t="s">
        <v>24</v>
      </c>
      <c r="C41" s="15">
        <v>460.0</v>
      </c>
      <c r="D41" s="15">
        <v>141.0</v>
      </c>
      <c r="E41" s="15">
        <v>320650.0</v>
      </c>
      <c r="F41" s="15">
        <v>4.04</v>
      </c>
      <c r="G41" s="15">
        <v>49372.0</v>
      </c>
      <c r="H41" s="53">
        <f t="shared" si="1"/>
        <v>0.09948542024</v>
      </c>
      <c r="I41" s="29">
        <f t="shared" si="2"/>
        <v>0.00008182775662</v>
      </c>
    </row>
    <row r="42">
      <c r="A42" s="13">
        <v>45516.0</v>
      </c>
      <c r="B42" s="14" t="s">
        <v>27</v>
      </c>
      <c r="C42" s="15">
        <v>1528.0</v>
      </c>
      <c r="D42" s="15">
        <v>203.0</v>
      </c>
      <c r="E42" s="15">
        <v>489188.0</v>
      </c>
      <c r="F42" s="15">
        <v>6.23</v>
      </c>
      <c r="G42" s="15">
        <v>47101.0</v>
      </c>
      <c r="H42" s="53">
        <f t="shared" si="1"/>
        <v>0.270857012</v>
      </c>
      <c r="I42" s="29">
        <f t="shared" si="2"/>
        <v>0.000132268954</v>
      </c>
    </row>
    <row r="43">
      <c r="A43" s="13">
        <v>45516.0</v>
      </c>
      <c r="B43" s="14" t="s">
        <v>33</v>
      </c>
      <c r="C43" s="15">
        <v>1534.0</v>
      </c>
      <c r="D43" s="15">
        <v>200.0</v>
      </c>
      <c r="E43" s="15">
        <v>307612.0</v>
      </c>
      <c r="F43" s="15">
        <v>6.01</v>
      </c>
      <c r="G43" s="15">
        <v>37903.0</v>
      </c>
      <c r="H43" s="53">
        <f t="shared" si="1"/>
        <v>0.4336631861</v>
      </c>
      <c r="I43" s="29">
        <f t="shared" si="2"/>
        <v>0.0001585626468</v>
      </c>
    </row>
    <row r="44">
      <c r="A44" s="13">
        <v>45516.0</v>
      </c>
      <c r="B44" s="14" t="s">
        <v>13</v>
      </c>
      <c r="C44" s="15">
        <v>485.0</v>
      </c>
      <c r="D44" s="15">
        <v>448.0</v>
      </c>
      <c r="E44" s="15">
        <v>434883.0</v>
      </c>
      <c r="F44" s="15">
        <v>8.55</v>
      </c>
      <c r="G44" s="15">
        <v>33258.0</v>
      </c>
      <c r="H44" s="53">
        <f t="shared" si="1"/>
        <v>0.008508035495</v>
      </c>
      <c r="I44" s="29">
        <f t="shared" si="2"/>
        <v>0.0002570810031</v>
      </c>
    </row>
    <row r="45">
      <c r="A45" s="13">
        <v>45516.0</v>
      </c>
      <c r="B45" s="14" t="s">
        <v>24</v>
      </c>
      <c r="C45" s="15">
        <v>1210.0</v>
      </c>
      <c r="D45" s="15">
        <v>178.0</v>
      </c>
      <c r="E45" s="15">
        <v>102042.0</v>
      </c>
      <c r="F45" s="15">
        <v>5.42</v>
      </c>
      <c r="G45" s="15">
        <v>6915.0</v>
      </c>
      <c r="H45" s="53">
        <f t="shared" si="1"/>
        <v>1.011348268</v>
      </c>
      <c r="I45" s="29">
        <f t="shared" si="2"/>
        <v>0.0007838033261</v>
      </c>
    </row>
    <row r="46">
      <c r="A46" s="13">
        <v>45523.0</v>
      </c>
      <c r="B46" s="14" t="s">
        <v>27</v>
      </c>
      <c r="C46" s="15">
        <v>215.0</v>
      </c>
      <c r="D46" s="15">
        <v>139.0</v>
      </c>
      <c r="E46" s="15">
        <v>325444.0</v>
      </c>
      <c r="F46" s="15">
        <v>3.25</v>
      </c>
      <c r="G46" s="15">
        <v>35501.0</v>
      </c>
      <c r="H46" s="53">
        <f t="shared" si="1"/>
        <v>0.02335271199</v>
      </c>
      <c r="I46" s="29">
        <f t="shared" si="2"/>
        <v>0.00009154671699</v>
      </c>
    </row>
    <row r="47">
      <c r="A47" s="13">
        <v>45523.0</v>
      </c>
      <c r="B47" s="14" t="s">
        <v>33</v>
      </c>
      <c r="C47" s="15">
        <v>1078.0</v>
      </c>
      <c r="D47" s="15">
        <v>20.0</v>
      </c>
      <c r="E47" s="15">
        <v>183924.0</v>
      </c>
      <c r="F47" s="15">
        <v>8.84</v>
      </c>
      <c r="G47" s="15">
        <v>14203.0</v>
      </c>
      <c r="H47" s="53">
        <f t="shared" si="1"/>
        <v>0.5752375981</v>
      </c>
      <c r="I47" s="29">
        <f t="shared" si="2"/>
        <v>0.0006224037175</v>
      </c>
    </row>
    <row r="48">
      <c r="A48" s="13">
        <v>45523.0</v>
      </c>
      <c r="B48" s="14" t="s">
        <v>13</v>
      </c>
      <c r="C48" s="15">
        <v>1751.0</v>
      </c>
      <c r="D48" s="15">
        <v>86.0</v>
      </c>
      <c r="E48" s="15">
        <v>188655.0</v>
      </c>
      <c r="F48" s="15">
        <v>7.24</v>
      </c>
      <c r="G48" s="15">
        <v>22206.0</v>
      </c>
      <c r="H48" s="53">
        <f t="shared" si="1"/>
        <v>0.8825634094</v>
      </c>
      <c r="I48" s="29">
        <f t="shared" si="2"/>
        <v>0.0003260380077</v>
      </c>
    </row>
    <row r="49">
      <c r="A49" s="13">
        <v>45523.0</v>
      </c>
      <c r="B49" s="14" t="s">
        <v>24</v>
      </c>
      <c r="C49" s="15">
        <v>221.0</v>
      </c>
      <c r="D49" s="15">
        <v>31.0</v>
      </c>
      <c r="E49" s="15">
        <v>87443.0</v>
      </c>
      <c r="F49" s="15">
        <v>6.19</v>
      </c>
      <c r="G49" s="15">
        <v>10283.0</v>
      </c>
      <c r="H49" s="53">
        <f t="shared" si="1"/>
        <v>0.2172844024</v>
      </c>
      <c r="I49" s="29">
        <f t="shared" si="2"/>
        <v>0.0006019644073</v>
      </c>
    </row>
    <row r="50">
      <c r="A50" s="13">
        <v>45530.0</v>
      </c>
      <c r="B50" s="14" t="s">
        <v>27</v>
      </c>
      <c r="C50" s="15">
        <v>1685.0</v>
      </c>
      <c r="D50" s="15">
        <v>76.0</v>
      </c>
      <c r="E50" s="15">
        <v>453799.0</v>
      </c>
      <c r="F50" s="15">
        <v>5.71</v>
      </c>
      <c r="G50" s="15">
        <v>24913.0</v>
      </c>
      <c r="H50" s="53">
        <f t="shared" si="1"/>
        <v>0.3545622621</v>
      </c>
      <c r="I50" s="29">
        <f t="shared" si="2"/>
        <v>0.0002291976077</v>
      </c>
    </row>
    <row r="51">
      <c r="A51" s="13">
        <v>45530.0</v>
      </c>
      <c r="B51" s="14" t="s">
        <v>33</v>
      </c>
      <c r="C51" s="15">
        <v>248.0</v>
      </c>
      <c r="D51" s="15">
        <v>211.0</v>
      </c>
      <c r="E51" s="15">
        <v>379380.0</v>
      </c>
      <c r="F51" s="15">
        <v>9.04</v>
      </c>
      <c r="G51" s="15">
        <v>26925.0</v>
      </c>
      <c r="H51" s="53">
        <f t="shared" si="1"/>
        <v>0.009752754494</v>
      </c>
      <c r="I51" s="29">
        <f t="shared" si="2"/>
        <v>0.0003357474466</v>
      </c>
    </row>
    <row r="52">
      <c r="A52" s="13">
        <v>45530.0</v>
      </c>
      <c r="B52" s="14" t="s">
        <v>13</v>
      </c>
      <c r="C52" s="15">
        <v>1300.0</v>
      </c>
      <c r="D52" s="15">
        <v>71.0</v>
      </c>
      <c r="E52" s="15">
        <v>186454.0</v>
      </c>
      <c r="F52" s="15">
        <v>3.91</v>
      </c>
      <c r="G52" s="15">
        <v>9942.0</v>
      </c>
      <c r="H52" s="53">
        <f t="shared" si="1"/>
        <v>0.6591438103</v>
      </c>
      <c r="I52" s="29">
        <f t="shared" si="2"/>
        <v>0.00039328103</v>
      </c>
    </row>
    <row r="53">
      <c r="A53" s="13">
        <v>45530.0</v>
      </c>
      <c r="B53" s="14" t="s">
        <v>24</v>
      </c>
      <c r="C53" s="15">
        <v>422.0</v>
      </c>
      <c r="D53" s="15">
        <v>394.0</v>
      </c>
      <c r="E53" s="15">
        <v>239044.0</v>
      </c>
      <c r="F53" s="15">
        <v>7.83</v>
      </c>
      <c r="G53" s="15">
        <v>32929.0</v>
      </c>
      <c r="H53" s="53">
        <f t="shared" si="1"/>
        <v>0.01171332474</v>
      </c>
      <c r="I53" s="29">
        <f t="shared" si="2"/>
        <v>0.0002377843238</v>
      </c>
    </row>
    <row r="54">
      <c r="A54" s="13">
        <v>45537.0</v>
      </c>
      <c r="B54" s="14" t="s">
        <v>27</v>
      </c>
      <c r="C54" s="15">
        <v>1429.0</v>
      </c>
      <c r="D54" s="15">
        <v>182.0</v>
      </c>
      <c r="E54" s="15">
        <v>101332.0</v>
      </c>
      <c r="F54" s="15">
        <v>7.16</v>
      </c>
      <c r="G54" s="15">
        <v>37829.0</v>
      </c>
      <c r="H54" s="53">
        <f t="shared" si="1"/>
        <v>1.230608297</v>
      </c>
      <c r="I54" s="29">
        <f t="shared" si="2"/>
        <v>0.0001892727801</v>
      </c>
    </row>
    <row r="55">
      <c r="A55" s="13">
        <v>45537.0</v>
      </c>
      <c r="B55" s="14" t="s">
        <v>33</v>
      </c>
      <c r="C55" s="15">
        <v>1520.0</v>
      </c>
      <c r="D55" s="15">
        <v>475.0</v>
      </c>
      <c r="E55" s="15">
        <v>496982.0</v>
      </c>
      <c r="F55" s="15">
        <v>6.41</v>
      </c>
      <c r="G55" s="15">
        <v>24384.0</v>
      </c>
      <c r="H55" s="53">
        <f t="shared" si="1"/>
        <v>0.2102691848</v>
      </c>
      <c r="I55" s="29">
        <f t="shared" si="2"/>
        <v>0.0002628772966</v>
      </c>
    </row>
    <row r="56">
      <c r="A56" s="13">
        <v>45537.0</v>
      </c>
      <c r="B56" s="14" t="s">
        <v>13</v>
      </c>
      <c r="C56" s="15">
        <v>557.0</v>
      </c>
      <c r="D56" s="15">
        <v>360.0</v>
      </c>
      <c r="E56" s="15">
        <v>318779.0</v>
      </c>
      <c r="F56" s="15">
        <v>8.02</v>
      </c>
      <c r="G56" s="15">
        <v>25797.0</v>
      </c>
      <c r="H56" s="53">
        <f t="shared" si="1"/>
        <v>0.06179829914</v>
      </c>
      <c r="I56" s="29">
        <f t="shared" si="2"/>
        <v>0.000310888863</v>
      </c>
    </row>
    <row r="57">
      <c r="A57" s="13">
        <v>45537.0</v>
      </c>
      <c r="B57" s="14" t="s">
        <v>24</v>
      </c>
      <c r="C57" s="15">
        <v>728.0</v>
      </c>
      <c r="D57" s="15">
        <v>395.0</v>
      </c>
      <c r="E57" s="15">
        <v>370971.0</v>
      </c>
      <c r="F57" s="15">
        <v>3.86</v>
      </c>
      <c r="G57" s="15">
        <v>12646.0</v>
      </c>
      <c r="H57" s="53">
        <f t="shared" si="1"/>
        <v>0.08976442903</v>
      </c>
      <c r="I57" s="29">
        <f t="shared" si="2"/>
        <v>0.0003052348569</v>
      </c>
    </row>
    <row r="58">
      <c r="A58" s="13">
        <v>45544.0</v>
      </c>
      <c r="B58" s="14" t="s">
        <v>27</v>
      </c>
      <c r="C58" s="15">
        <v>1592.0</v>
      </c>
      <c r="D58" s="15">
        <v>20.0</v>
      </c>
      <c r="E58" s="15">
        <v>378054.0</v>
      </c>
      <c r="F58" s="15">
        <v>9.09</v>
      </c>
      <c r="G58" s="15">
        <v>26663.0</v>
      </c>
      <c r="H58" s="53">
        <f t="shared" si="1"/>
        <v>0.4158136139</v>
      </c>
      <c r="I58" s="29">
        <f t="shared" si="2"/>
        <v>0.0003409218768</v>
      </c>
    </row>
    <row r="59">
      <c r="A59" s="13">
        <v>45544.0</v>
      </c>
      <c r="B59" s="14" t="s">
        <v>33</v>
      </c>
      <c r="C59" s="15">
        <v>1842.0</v>
      </c>
      <c r="D59" s="15">
        <v>414.0</v>
      </c>
      <c r="E59" s="15">
        <v>307524.0</v>
      </c>
      <c r="F59" s="15">
        <v>1.76</v>
      </c>
      <c r="G59" s="15">
        <v>40478.0</v>
      </c>
      <c r="H59" s="53">
        <f t="shared" si="1"/>
        <v>0.4643540016</v>
      </c>
      <c r="I59" s="29">
        <f t="shared" si="2"/>
        <v>0.00004348040911</v>
      </c>
    </row>
    <row r="60">
      <c r="A60" s="13">
        <v>45544.0</v>
      </c>
      <c r="B60" s="14" t="s">
        <v>13</v>
      </c>
      <c r="C60" s="15">
        <v>751.0</v>
      </c>
      <c r="D60" s="15">
        <v>491.0</v>
      </c>
      <c r="E60" s="15">
        <v>434047.0</v>
      </c>
      <c r="F60" s="15">
        <v>9.24</v>
      </c>
      <c r="G60" s="15">
        <v>15476.0</v>
      </c>
      <c r="H60" s="53">
        <f t="shared" si="1"/>
        <v>0.05990134709</v>
      </c>
      <c r="I60" s="29">
        <f t="shared" si="2"/>
        <v>0.0005970535022</v>
      </c>
    </row>
    <row r="61">
      <c r="A61" s="13">
        <v>45544.0</v>
      </c>
      <c r="B61" s="14" t="s">
        <v>24</v>
      </c>
      <c r="C61" s="15">
        <v>1409.0</v>
      </c>
      <c r="D61" s="15">
        <v>309.0</v>
      </c>
      <c r="E61" s="15">
        <v>64583.0</v>
      </c>
      <c r="F61" s="15">
        <v>8.99</v>
      </c>
      <c r="G61" s="15">
        <v>10217.0</v>
      </c>
      <c r="H61" s="53">
        <f t="shared" si="1"/>
        <v>1.703234597</v>
      </c>
      <c r="I61" s="29">
        <f t="shared" si="2"/>
        <v>0.000879906039</v>
      </c>
    </row>
    <row r="62">
      <c r="A62" s="13">
        <v>45551.0</v>
      </c>
      <c r="B62" s="14" t="s">
        <v>27</v>
      </c>
      <c r="C62" s="15">
        <v>778.0</v>
      </c>
      <c r="D62" s="15">
        <v>401.0</v>
      </c>
      <c r="E62" s="15">
        <v>50793.0</v>
      </c>
      <c r="F62" s="15">
        <v>3.4</v>
      </c>
      <c r="G62" s="15">
        <v>21939.0</v>
      </c>
      <c r="H62" s="53">
        <f t="shared" si="1"/>
        <v>0.7422282598</v>
      </c>
      <c r="I62" s="29">
        <f t="shared" si="2"/>
        <v>0.0001549751584</v>
      </c>
    </row>
    <row r="63">
      <c r="A63" s="13">
        <v>45551.0</v>
      </c>
      <c r="B63" s="14" t="s">
        <v>33</v>
      </c>
      <c r="C63" s="15">
        <v>443.0</v>
      </c>
      <c r="D63" s="15">
        <v>345.0</v>
      </c>
      <c r="E63" s="15">
        <v>474162.0</v>
      </c>
      <c r="F63" s="15">
        <v>9.2</v>
      </c>
      <c r="G63" s="15">
        <v>47462.0</v>
      </c>
      <c r="H63" s="53">
        <f t="shared" si="1"/>
        <v>0.02066804172</v>
      </c>
      <c r="I63" s="29">
        <f t="shared" si="2"/>
        <v>0.000193839282</v>
      </c>
    </row>
    <row r="64">
      <c r="A64" s="13">
        <v>45551.0</v>
      </c>
      <c r="B64" s="14" t="s">
        <v>13</v>
      </c>
      <c r="C64" s="15">
        <v>1472.0</v>
      </c>
      <c r="D64" s="15">
        <v>347.0</v>
      </c>
      <c r="E64" s="15">
        <v>392355.0</v>
      </c>
      <c r="F64" s="15">
        <v>8.59</v>
      </c>
      <c r="G64" s="15">
        <v>30270.0</v>
      </c>
      <c r="H64" s="53">
        <f t="shared" si="1"/>
        <v>0.2867301296</v>
      </c>
      <c r="I64" s="29">
        <f t="shared" si="2"/>
        <v>0.0002837793195</v>
      </c>
    </row>
    <row r="65">
      <c r="A65" s="13">
        <v>45551.0</v>
      </c>
      <c r="B65" s="14" t="s">
        <v>24</v>
      </c>
      <c r="C65" s="15">
        <v>123.0</v>
      </c>
      <c r="D65" s="15">
        <v>155.0</v>
      </c>
      <c r="E65" s="15">
        <v>119934.0</v>
      </c>
      <c r="F65" s="15">
        <v>3.5</v>
      </c>
      <c r="G65" s="15">
        <v>5442.0</v>
      </c>
      <c r="H65" s="53">
        <f t="shared" si="1"/>
        <v>-0.0266813414</v>
      </c>
      <c r="I65" s="29">
        <f t="shared" si="2"/>
        <v>0.0006431459022</v>
      </c>
    </row>
    <row r="66">
      <c r="A66" s="13">
        <v>45558.0</v>
      </c>
      <c r="B66" s="14" t="s">
        <v>27</v>
      </c>
      <c r="C66" s="15">
        <v>817.0</v>
      </c>
      <c r="D66" s="15">
        <v>151.0</v>
      </c>
      <c r="E66" s="15">
        <v>422625.0</v>
      </c>
      <c r="F66" s="15">
        <v>2.36</v>
      </c>
      <c r="G66" s="15">
        <v>1083.0</v>
      </c>
      <c r="H66" s="53">
        <f t="shared" si="1"/>
        <v>0.1575865129</v>
      </c>
      <c r="I66" s="29">
        <f t="shared" si="2"/>
        <v>0.002179132041</v>
      </c>
    </row>
    <row r="67">
      <c r="A67" s="13">
        <v>45558.0</v>
      </c>
      <c r="B67" s="14" t="s">
        <v>33</v>
      </c>
      <c r="C67" s="15">
        <v>198.0</v>
      </c>
      <c r="D67" s="15">
        <v>217.0</v>
      </c>
      <c r="E67" s="15">
        <v>239753.0</v>
      </c>
      <c r="F67" s="15">
        <v>7.36</v>
      </c>
      <c r="G67" s="15">
        <v>11901.0</v>
      </c>
      <c r="H67" s="53">
        <f t="shared" si="1"/>
        <v>-0.00792482263</v>
      </c>
      <c r="I67" s="29">
        <f t="shared" si="2"/>
        <v>0.0006184354256</v>
      </c>
    </row>
    <row r="68">
      <c r="A68" s="13">
        <v>45558.0</v>
      </c>
      <c r="B68" s="14" t="s">
        <v>13</v>
      </c>
      <c r="C68" s="15">
        <v>1911.0</v>
      </c>
      <c r="D68" s="15">
        <v>231.0</v>
      </c>
      <c r="E68" s="15">
        <v>268516.0</v>
      </c>
      <c r="F68" s="15">
        <v>8.55</v>
      </c>
      <c r="G68" s="15">
        <v>24018.0</v>
      </c>
      <c r="H68" s="53">
        <f t="shared" si="1"/>
        <v>0.6256610407</v>
      </c>
      <c r="I68" s="29">
        <f t="shared" si="2"/>
        <v>0.0003559830127</v>
      </c>
    </row>
    <row r="69">
      <c r="A69" s="13">
        <v>45558.0</v>
      </c>
      <c r="B69" s="14" t="s">
        <v>24</v>
      </c>
      <c r="C69" s="15">
        <v>1218.0</v>
      </c>
      <c r="D69" s="15">
        <v>212.0</v>
      </c>
      <c r="E69" s="15">
        <v>63177.0</v>
      </c>
      <c r="F69" s="15">
        <v>8.13</v>
      </c>
      <c r="G69" s="15">
        <v>38883.0</v>
      </c>
      <c r="H69" s="53">
        <f t="shared" si="1"/>
        <v>1.592351647</v>
      </c>
      <c r="I69" s="29">
        <f t="shared" si="2"/>
        <v>0.0002090888049</v>
      </c>
    </row>
    <row r="70">
      <c r="A70" s="13">
        <v>45565.0</v>
      </c>
      <c r="B70" s="14" t="s">
        <v>27</v>
      </c>
      <c r="C70" s="15">
        <v>1433.0</v>
      </c>
      <c r="D70" s="15">
        <v>408.0</v>
      </c>
      <c r="E70" s="15">
        <v>370269.0</v>
      </c>
      <c r="F70" s="15">
        <v>3.3</v>
      </c>
      <c r="G70" s="15">
        <v>30575.0</v>
      </c>
      <c r="H70" s="53">
        <f t="shared" si="1"/>
        <v>0.2768257672</v>
      </c>
      <c r="I70" s="29">
        <f t="shared" si="2"/>
        <v>0.0001079313164</v>
      </c>
    </row>
    <row r="71">
      <c r="A71" s="13">
        <v>45565.0</v>
      </c>
      <c r="B71" s="14" t="s">
        <v>33</v>
      </c>
      <c r="C71" s="15">
        <v>250.0</v>
      </c>
      <c r="D71" s="15">
        <v>429.0</v>
      </c>
      <c r="E71" s="15">
        <v>453423.0</v>
      </c>
      <c r="F71" s="15">
        <v>1.77</v>
      </c>
      <c r="G71" s="15">
        <v>2315.0</v>
      </c>
      <c r="H71" s="53">
        <f t="shared" si="1"/>
        <v>-0.0394774857</v>
      </c>
      <c r="I71" s="29">
        <f t="shared" si="2"/>
        <v>0.0007645788337</v>
      </c>
    </row>
    <row r="72">
      <c r="A72" s="13">
        <v>45565.0</v>
      </c>
      <c r="B72" s="14" t="s">
        <v>13</v>
      </c>
      <c r="C72" s="15">
        <v>752.0</v>
      </c>
      <c r="D72" s="15">
        <v>153.0</v>
      </c>
      <c r="E72" s="15">
        <v>64906.0</v>
      </c>
      <c r="F72" s="15">
        <v>2.09</v>
      </c>
      <c r="G72" s="15">
        <v>12148.0</v>
      </c>
      <c r="H72" s="53">
        <f t="shared" si="1"/>
        <v>0.922873078</v>
      </c>
      <c r="I72" s="29">
        <f t="shared" si="2"/>
        <v>0.000172044781</v>
      </c>
    </row>
    <row r="73">
      <c r="A73" s="13">
        <v>45565.0</v>
      </c>
      <c r="B73" s="14" t="s">
        <v>24</v>
      </c>
      <c r="C73" s="15">
        <v>1918.0</v>
      </c>
      <c r="D73" s="15">
        <v>212.0</v>
      </c>
      <c r="E73" s="15">
        <v>94360.0</v>
      </c>
      <c r="F73" s="15">
        <v>7.36</v>
      </c>
      <c r="G73" s="15">
        <v>36851.0</v>
      </c>
      <c r="H73" s="53">
        <f t="shared" si="1"/>
        <v>1.807969479</v>
      </c>
      <c r="I73" s="29">
        <f t="shared" si="2"/>
        <v>0.0001997232097</v>
      </c>
    </row>
    <row r="74">
      <c r="A74" s="13">
        <v>45572.0</v>
      </c>
      <c r="B74" s="14" t="s">
        <v>27</v>
      </c>
      <c r="C74" s="15">
        <v>1939.0</v>
      </c>
      <c r="D74" s="15">
        <v>67.0</v>
      </c>
      <c r="E74" s="15">
        <v>187183.0</v>
      </c>
      <c r="F74" s="15">
        <v>6.25</v>
      </c>
      <c r="G74" s="15">
        <v>41215.0</v>
      </c>
      <c r="H74" s="53">
        <f t="shared" si="1"/>
        <v>1.00009082</v>
      </c>
      <c r="I74" s="29">
        <f t="shared" si="2"/>
        <v>0.000151643819</v>
      </c>
    </row>
    <row r="75">
      <c r="A75" s="13">
        <v>45572.0</v>
      </c>
      <c r="B75" s="14" t="s">
        <v>33</v>
      </c>
      <c r="C75" s="15">
        <v>1929.0</v>
      </c>
      <c r="D75" s="15">
        <v>267.0</v>
      </c>
      <c r="E75" s="15">
        <v>379363.0</v>
      </c>
      <c r="F75" s="15">
        <v>1.75</v>
      </c>
      <c r="G75" s="15">
        <v>43836.0</v>
      </c>
      <c r="H75" s="53">
        <f t="shared" si="1"/>
        <v>0.4381028197</v>
      </c>
      <c r="I75" s="29">
        <f t="shared" si="2"/>
        <v>0.00003992152569</v>
      </c>
    </row>
    <row r="76">
      <c r="A76" s="13">
        <v>45572.0</v>
      </c>
      <c r="B76" s="14" t="s">
        <v>13</v>
      </c>
      <c r="C76" s="15">
        <v>437.0</v>
      </c>
      <c r="D76" s="15">
        <v>330.0</v>
      </c>
      <c r="E76" s="15">
        <v>476486.0</v>
      </c>
      <c r="F76" s="15">
        <v>4.97</v>
      </c>
      <c r="G76" s="15">
        <v>4509.0</v>
      </c>
      <c r="H76" s="53">
        <f t="shared" si="1"/>
        <v>0.02245606377</v>
      </c>
      <c r="I76" s="29">
        <f t="shared" si="2"/>
        <v>0.001102239965</v>
      </c>
    </row>
    <row r="77">
      <c r="A77" s="13">
        <v>45572.0</v>
      </c>
      <c r="B77" s="14" t="s">
        <v>24</v>
      </c>
      <c r="C77" s="15">
        <v>307.0</v>
      </c>
      <c r="D77" s="15">
        <v>189.0</v>
      </c>
      <c r="E77" s="15">
        <v>117767.0</v>
      </c>
      <c r="F77" s="15">
        <v>9.3</v>
      </c>
      <c r="G77" s="15">
        <v>27822.0</v>
      </c>
      <c r="H77" s="53">
        <f t="shared" si="1"/>
        <v>0.1001978483</v>
      </c>
      <c r="I77" s="29">
        <f t="shared" si="2"/>
        <v>0.0003342678456</v>
      </c>
    </row>
    <row r="78">
      <c r="A78" s="13">
        <v>45579.0</v>
      </c>
      <c r="B78" s="14" t="s">
        <v>27</v>
      </c>
      <c r="C78" s="15">
        <v>1527.0</v>
      </c>
      <c r="D78" s="15">
        <v>303.0</v>
      </c>
      <c r="E78" s="15">
        <v>388555.0</v>
      </c>
      <c r="F78" s="15">
        <v>8.9</v>
      </c>
      <c r="G78" s="15">
        <v>36397.0</v>
      </c>
      <c r="H78" s="53">
        <f t="shared" si="1"/>
        <v>0.3150133186</v>
      </c>
      <c r="I78" s="29">
        <f t="shared" si="2"/>
        <v>0.0002445256477</v>
      </c>
    </row>
    <row r="79">
      <c r="A79" s="13">
        <v>45579.0</v>
      </c>
      <c r="B79" s="14" t="s">
        <v>33</v>
      </c>
      <c r="C79" s="15">
        <v>643.0</v>
      </c>
      <c r="D79" s="15">
        <v>358.0</v>
      </c>
      <c r="E79" s="15">
        <v>157599.0</v>
      </c>
      <c r="F79" s="15">
        <v>3.88</v>
      </c>
      <c r="G79" s="15">
        <v>7285.0</v>
      </c>
      <c r="H79" s="53">
        <f t="shared" si="1"/>
        <v>0.1808387109</v>
      </c>
      <c r="I79" s="29">
        <f t="shared" si="2"/>
        <v>0.0005326012354</v>
      </c>
    </row>
    <row r="80">
      <c r="A80" s="13">
        <v>45579.0</v>
      </c>
      <c r="B80" s="14" t="s">
        <v>13</v>
      </c>
      <c r="C80" s="15">
        <v>201.0</v>
      </c>
      <c r="D80" s="15">
        <v>221.0</v>
      </c>
      <c r="E80" s="15">
        <v>309772.0</v>
      </c>
      <c r="F80" s="15">
        <v>5.9</v>
      </c>
      <c r="G80" s="15">
        <v>33174.0</v>
      </c>
      <c r="H80" s="53">
        <f t="shared" si="1"/>
        <v>-0.006456361453</v>
      </c>
      <c r="I80" s="29">
        <f t="shared" si="2"/>
        <v>0.0001778501236</v>
      </c>
    </row>
    <row r="81">
      <c r="A81" s="13">
        <v>45579.0</v>
      </c>
      <c r="B81" s="14" t="s">
        <v>24</v>
      </c>
      <c r="C81" s="15">
        <v>414.0</v>
      </c>
      <c r="D81" s="15">
        <v>47.0</v>
      </c>
      <c r="E81" s="15">
        <v>199178.0</v>
      </c>
      <c r="F81" s="15">
        <v>1.53</v>
      </c>
      <c r="G81" s="15">
        <v>6742.0</v>
      </c>
      <c r="H81" s="53">
        <f t="shared" si="1"/>
        <v>0.1842572975</v>
      </c>
      <c r="I81" s="29">
        <f t="shared" si="2"/>
        <v>0.0002269356274</v>
      </c>
    </row>
    <row r="82">
      <c r="A82" s="13">
        <v>45586.0</v>
      </c>
      <c r="B82" s="14" t="s">
        <v>27</v>
      </c>
      <c r="C82" s="15">
        <v>703.0</v>
      </c>
      <c r="D82" s="15">
        <v>441.0</v>
      </c>
      <c r="E82" s="15">
        <v>357089.0</v>
      </c>
      <c r="F82" s="15">
        <v>6.5</v>
      </c>
      <c r="G82" s="15">
        <v>32478.0</v>
      </c>
      <c r="H82" s="53">
        <f t="shared" si="1"/>
        <v>0.07337106436</v>
      </c>
      <c r="I82" s="29">
        <f t="shared" si="2"/>
        <v>0.0002001354763</v>
      </c>
    </row>
    <row r="83">
      <c r="A83" s="13">
        <v>45586.0</v>
      </c>
      <c r="B83" s="14" t="s">
        <v>33</v>
      </c>
      <c r="C83" s="15">
        <v>508.0</v>
      </c>
      <c r="D83" s="15">
        <v>69.0</v>
      </c>
      <c r="E83" s="15">
        <v>23492.0</v>
      </c>
      <c r="F83" s="15">
        <v>3.16</v>
      </c>
      <c r="G83" s="15">
        <v>42824.0</v>
      </c>
      <c r="H83" s="53">
        <f t="shared" si="1"/>
        <v>1.868721267</v>
      </c>
      <c r="I83" s="29">
        <f t="shared" si="2"/>
        <v>0.00007379039791</v>
      </c>
    </row>
    <row r="84">
      <c r="A84" s="13">
        <v>45586.0</v>
      </c>
      <c r="B84" s="14" t="s">
        <v>13</v>
      </c>
      <c r="C84" s="15">
        <v>697.0</v>
      </c>
      <c r="D84" s="15">
        <v>61.0</v>
      </c>
      <c r="E84" s="15">
        <v>258287.0</v>
      </c>
      <c r="F84" s="15">
        <v>8.25</v>
      </c>
      <c r="G84" s="15">
        <v>21208.0</v>
      </c>
      <c r="H84" s="53">
        <f t="shared" si="1"/>
        <v>0.2462377123</v>
      </c>
      <c r="I84" s="29">
        <f t="shared" si="2"/>
        <v>0.0003890041494</v>
      </c>
    </row>
    <row r="85">
      <c r="A85" s="13">
        <v>45586.0</v>
      </c>
      <c r="B85" s="14" t="s">
        <v>24</v>
      </c>
      <c r="C85" s="15">
        <v>1707.0</v>
      </c>
      <c r="D85" s="15">
        <v>223.0</v>
      </c>
      <c r="E85" s="15">
        <v>256910.0</v>
      </c>
      <c r="F85" s="15">
        <v>5.41</v>
      </c>
      <c r="G85" s="15">
        <v>44321.0</v>
      </c>
      <c r="H85" s="53">
        <f t="shared" si="1"/>
        <v>0.577634191</v>
      </c>
      <c r="I85" s="29">
        <f t="shared" si="2"/>
        <v>0.0001220640329</v>
      </c>
    </row>
    <row r="86">
      <c r="A86" s="13">
        <v>45593.0</v>
      </c>
      <c r="B86" s="14" t="s">
        <v>27</v>
      </c>
      <c r="C86" s="15">
        <v>642.0</v>
      </c>
      <c r="D86" s="15">
        <v>66.0</v>
      </c>
      <c r="E86" s="15">
        <v>346522.0</v>
      </c>
      <c r="F86" s="15">
        <v>5.85</v>
      </c>
      <c r="G86" s="15">
        <v>13116.0</v>
      </c>
      <c r="H86" s="53">
        <f t="shared" si="1"/>
        <v>0.1662232124</v>
      </c>
      <c r="I86" s="29">
        <f t="shared" si="2"/>
        <v>0.0004460201281</v>
      </c>
    </row>
    <row r="87">
      <c r="A87" s="13">
        <v>45593.0</v>
      </c>
      <c r="B87" s="14" t="s">
        <v>33</v>
      </c>
      <c r="C87" s="15">
        <v>859.0</v>
      </c>
      <c r="D87" s="15">
        <v>473.0</v>
      </c>
      <c r="E87" s="15">
        <v>209987.0</v>
      </c>
      <c r="F87" s="15">
        <v>4.46</v>
      </c>
      <c r="G87" s="15">
        <v>30214.0</v>
      </c>
      <c r="H87" s="53">
        <f t="shared" si="1"/>
        <v>0.1838209032</v>
      </c>
      <c r="I87" s="29">
        <f t="shared" si="2"/>
        <v>0.000147613689</v>
      </c>
    </row>
    <row r="88">
      <c r="A88" s="13">
        <v>45593.0</v>
      </c>
      <c r="B88" s="14" t="s">
        <v>13</v>
      </c>
      <c r="C88" s="15">
        <v>191.0</v>
      </c>
      <c r="D88" s="15">
        <v>154.0</v>
      </c>
      <c r="E88" s="15">
        <v>240550.0</v>
      </c>
      <c r="F88" s="15">
        <v>5.22</v>
      </c>
      <c r="G88" s="15">
        <v>15827.0</v>
      </c>
      <c r="H88" s="53">
        <f t="shared" si="1"/>
        <v>0.01538141758</v>
      </c>
      <c r="I88" s="29">
        <f t="shared" si="2"/>
        <v>0.000329816137</v>
      </c>
    </row>
    <row r="89">
      <c r="A89" s="13">
        <v>45593.0</v>
      </c>
      <c r="B89" s="14" t="s">
        <v>24</v>
      </c>
      <c r="C89" s="15">
        <v>1814.0</v>
      </c>
      <c r="D89" s="15">
        <v>157.0</v>
      </c>
      <c r="E89" s="15">
        <v>305827.0</v>
      </c>
      <c r="F89" s="15">
        <v>1.99</v>
      </c>
      <c r="G89" s="15">
        <v>46643.0</v>
      </c>
      <c r="H89" s="53">
        <f t="shared" si="1"/>
        <v>0.5418095852</v>
      </c>
      <c r="I89" s="29">
        <f t="shared" si="2"/>
        <v>0.00004266449414</v>
      </c>
    </row>
    <row r="90">
      <c r="A90" s="13">
        <v>45600.0</v>
      </c>
      <c r="B90" s="14" t="s">
        <v>27</v>
      </c>
      <c r="C90" s="15">
        <v>1466.0</v>
      </c>
      <c r="D90" s="15">
        <v>69.0</v>
      </c>
      <c r="E90" s="15">
        <v>54935.0</v>
      </c>
      <c r="F90" s="15">
        <v>6.85</v>
      </c>
      <c r="G90" s="15">
        <v>36484.0</v>
      </c>
      <c r="H90" s="53">
        <f t="shared" si="1"/>
        <v>2.54300537</v>
      </c>
      <c r="I90" s="29">
        <f t="shared" si="2"/>
        <v>0.0001877535358</v>
      </c>
    </row>
    <row r="91">
      <c r="A91" s="13">
        <v>45600.0</v>
      </c>
      <c r="B91" s="14" t="s">
        <v>33</v>
      </c>
      <c r="C91" s="15">
        <v>947.0</v>
      </c>
      <c r="D91" s="15">
        <v>407.0</v>
      </c>
      <c r="E91" s="15">
        <v>319186.0</v>
      </c>
      <c r="F91" s="15">
        <v>3.32</v>
      </c>
      <c r="G91" s="15">
        <v>4996.0</v>
      </c>
      <c r="H91" s="53">
        <f t="shared" si="1"/>
        <v>0.1691803525</v>
      </c>
      <c r="I91" s="29">
        <f t="shared" si="2"/>
        <v>0.0006645316253</v>
      </c>
    </row>
    <row r="92">
      <c r="A92" s="13">
        <v>45600.0</v>
      </c>
      <c r="B92" s="14" t="s">
        <v>13</v>
      </c>
      <c r="C92" s="15">
        <v>1821.0</v>
      </c>
      <c r="D92" s="15">
        <v>218.0</v>
      </c>
      <c r="E92" s="15">
        <v>439080.0</v>
      </c>
      <c r="F92" s="15">
        <v>5.68</v>
      </c>
      <c r="G92" s="15">
        <v>36095.0</v>
      </c>
      <c r="H92" s="53">
        <f t="shared" si="1"/>
        <v>0.3650815341</v>
      </c>
      <c r="I92" s="29">
        <f t="shared" si="2"/>
        <v>0.0001573625156</v>
      </c>
    </row>
    <row r="93">
      <c r="A93" s="13">
        <v>45600.0</v>
      </c>
      <c r="B93" s="14" t="s">
        <v>24</v>
      </c>
      <c r="C93" s="15">
        <v>1507.0</v>
      </c>
      <c r="D93" s="15">
        <v>463.0</v>
      </c>
      <c r="E93" s="15">
        <v>258944.0</v>
      </c>
      <c r="F93" s="15">
        <v>6.08</v>
      </c>
      <c r="G93" s="15">
        <v>16443.0</v>
      </c>
      <c r="H93" s="53">
        <f t="shared" si="1"/>
        <v>0.4031759763</v>
      </c>
      <c r="I93" s="29">
        <f t="shared" si="2"/>
        <v>0.0003697622088</v>
      </c>
    </row>
    <row r="94">
      <c r="A94" s="13">
        <v>45607.0</v>
      </c>
      <c r="B94" s="14" t="s">
        <v>27</v>
      </c>
      <c r="C94" s="15">
        <v>1075.0</v>
      </c>
      <c r="D94" s="15">
        <v>173.0</v>
      </c>
      <c r="E94" s="15">
        <v>51395.0</v>
      </c>
      <c r="F94" s="15">
        <v>4.66</v>
      </c>
      <c r="G94" s="15">
        <v>47812.0</v>
      </c>
      <c r="H94" s="53">
        <f t="shared" si="1"/>
        <v>1.755034536</v>
      </c>
      <c r="I94" s="29">
        <f t="shared" si="2"/>
        <v>0.00009746507153</v>
      </c>
    </row>
    <row r="95">
      <c r="A95" s="13">
        <v>45607.0</v>
      </c>
      <c r="B95" s="14" t="s">
        <v>33</v>
      </c>
      <c r="C95" s="15">
        <v>171.0</v>
      </c>
      <c r="D95" s="15">
        <v>277.0</v>
      </c>
      <c r="E95" s="15">
        <v>309483.0</v>
      </c>
      <c r="F95" s="15">
        <v>8.7</v>
      </c>
      <c r="G95" s="15">
        <v>38452.0</v>
      </c>
      <c r="H95" s="53">
        <f t="shared" si="1"/>
        <v>-0.03425066967</v>
      </c>
      <c r="I95" s="29">
        <f t="shared" si="2"/>
        <v>0.0002262561115</v>
      </c>
    </row>
    <row r="96">
      <c r="A96" s="13">
        <v>45607.0</v>
      </c>
      <c r="B96" s="14" t="s">
        <v>13</v>
      </c>
      <c r="C96" s="15">
        <v>1487.0</v>
      </c>
      <c r="D96" s="15">
        <v>337.0</v>
      </c>
      <c r="E96" s="15">
        <v>87305.0</v>
      </c>
      <c r="F96" s="15">
        <v>2.46</v>
      </c>
      <c r="G96" s="15">
        <v>30428.0</v>
      </c>
      <c r="H96" s="53">
        <f t="shared" si="1"/>
        <v>1.317221236</v>
      </c>
      <c r="I96" s="29">
        <f t="shared" si="2"/>
        <v>0.00008084658867</v>
      </c>
    </row>
    <row r="97">
      <c r="A97" s="13">
        <v>45607.0</v>
      </c>
      <c r="B97" s="14" t="s">
        <v>24</v>
      </c>
      <c r="C97" s="15">
        <v>454.0</v>
      </c>
      <c r="D97" s="15">
        <v>105.0</v>
      </c>
      <c r="E97" s="15">
        <v>121091.0</v>
      </c>
      <c r="F97" s="15">
        <v>7.97</v>
      </c>
      <c r="G97" s="15">
        <v>9269.0</v>
      </c>
      <c r="H97" s="53">
        <f t="shared" si="1"/>
        <v>0.2882129968</v>
      </c>
      <c r="I97" s="29">
        <f t="shared" si="2"/>
        <v>0.0008598554321</v>
      </c>
    </row>
    <row r="98">
      <c r="A98" s="13">
        <v>45614.0</v>
      </c>
      <c r="B98" s="14" t="s">
        <v>27</v>
      </c>
      <c r="C98" s="15">
        <v>187.0</v>
      </c>
      <c r="D98" s="15">
        <v>236.0</v>
      </c>
      <c r="E98" s="15">
        <v>51087.0</v>
      </c>
      <c r="F98" s="15">
        <v>9.41</v>
      </c>
      <c r="G98" s="15">
        <v>29533.0</v>
      </c>
      <c r="H98" s="53">
        <f t="shared" si="1"/>
        <v>-0.09591481199</v>
      </c>
      <c r="I98" s="29">
        <f t="shared" si="2"/>
        <v>0.0003186266211</v>
      </c>
    </row>
    <row r="99">
      <c r="A99" s="13">
        <v>45614.0</v>
      </c>
      <c r="B99" s="14" t="s">
        <v>33</v>
      </c>
      <c r="C99" s="15">
        <v>513.0</v>
      </c>
      <c r="D99" s="15">
        <v>441.0</v>
      </c>
      <c r="E99" s="15">
        <v>338847.0</v>
      </c>
      <c r="F99" s="15">
        <v>2.68</v>
      </c>
      <c r="G99" s="15">
        <v>39997.0</v>
      </c>
      <c r="H99" s="53">
        <f t="shared" si="1"/>
        <v>0.0212485281</v>
      </c>
      <c r="I99" s="29">
        <f t="shared" si="2"/>
        <v>0.00006700502538</v>
      </c>
    </row>
    <row r="100">
      <c r="A100" s="13">
        <v>45614.0</v>
      </c>
      <c r="B100" s="14" t="s">
        <v>13</v>
      </c>
      <c r="C100" s="15">
        <v>628.0</v>
      </c>
      <c r="D100" s="15">
        <v>183.0</v>
      </c>
      <c r="E100" s="15">
        <v>487523.0</v>
      </c>
      <c r="F100" s="15">
        <v>7.32</v>
      </c>
      <c r="G100" s="15">
        <v>5391.0</v>
      </c>
      <c r="H100" s="53">
        <f t="shared" si="1"/>
        <v>0.09127774484</v>
      </c>
      <c r="I100" s="29">
        <f t="shared" si="2"/>
        <v>0.001357818587</v>
      </c>
    </row>
    <row r="101">
      <c r="A101" s="13">
        <v>45614.0</v>
      </c>
      <c r="B101" s="14" t="s">
        <v>24</v>
      </c>
      <c r="C101" s="15">
        <v>278.0</v>
      </c>
      <c r="D101" s="15">
        <v>218.0</v>
      </c>
      <c r="E101" s="15">
        <v>301695.0</v>
      </c>
      <c r="F101" s="15">
        <v>4.68</v>
      </c>
      <c r="G101" s="15">
        <v>22373.0</v>
      </c>
      <c r="H101" s="53">
        <f t="shared" si="1"/>
        <v>0.01988763486</v>
      </c>
      <c r="I101" s="29">
        <f t="shared" si="2"/>
        <v>0.0002091807089</v>
      </c>
    </row>
    <row r="102">
      <c r="A102" s="13">
        <v>45621.0</v>
      </c>
      <c r="B102" s="14" t="s">
        <v>27</v>
      </c>
      <c r="C102" s="15">
        <v>1854.0</v>
      </c>
      <c r="D102" s="15">
        <v>161.0</v>
      </c>
      <c r="E102" s="15">
        <v>282466.0</v>
      </c>
      <c r="F102" s="15">
        <v>5.17</v>
      </c>
      <c r="G102" s="15">
        <v>1810.0</v>
      </c>
      <c r="H102" s="53">
        <f t="shared" si="1"/>
        <v>0.5993641713</v>
      </c>
      <c r="I102" s="29">
        <f t="shared" si="2"/>
        <v>0.002856353591</v>
      </c>
    </row>
    <row r="103">
      <c r="A103" s="13">
        <v>45621.0</v>
      </c>
      <c r="B103" s="14" t="s">
        <v>33</v>
      </c>
      <c r="C103" s="15">
        <v>1710.0</v>
      </c>
      <c r="D103" s="15">
        <v>378.0</v>
      </c>
      <c r="E103" s="15">
        <v>336661.0</v>
      </c>
      <c r="F103" s="15">
        <v>6.2</v>
      </c>
      <c r="G103" s="15">
        <v>28498.0</v>
      </c>
      <c r="H103" s="53">
        <f t="shared" si="1"/>
        <v>0.3956502238</v>
      </c>
      <c r="I103" s="29">
        <f t="shared" si="2"/>
        <v>0.000217559127</v>
      </c>
    </row>
    <row r="104">
      <c r="A104" s="13">
        <v>45621.0</v>
      </c>
      <c r="B104" s="14" t="s">
        <v>13</v>
      </c>
      <c r="C104" s="15">
        <v>330.0</v>
      </c>
      <c r="D104" s="15">
        <v>232.0</v>
      </c>
      <c r="E104" s="15">
        <v>88455.0</v>
      </c>
      <c r="F104" s="15">
        <v>2.69</v>
      </c>
      <c r="G104" s="15">
        <v>39530.0</v>
      </c>
      <c r="H104" s="53">
        <f t="shared" si="1"/>
        <v>0.1107907976</v>
      </c>
      <c r="I104" s="29">
        <f t="shared" si="2"/>
        <v>0.0000680495826</v>
      </c>
    </row>
    <row r="105">
      <c r="A105" s="13">
        <v>45621.0</v>
      </c>
      <c r="B105" s="14" t="s">
        <v>24</v>
      </c>
      <c r="C105" s="15">
        <v>1293.0</v>
      </c>
      <c r="D105" s="15">
        <v>408.0</v>
      </c>
      <c r="E105" s="15">
        <v>62535.0</v>
      </c>
      <c r="F105" s="15">
        <v>8.9</v>
      </c>
      <c r="G105" s="15">
        <v>37876.0</v>
      </c>
      <c r="H105" s="53">
        <f t="shared" si="1"/>
        <v>1.415207484</v>
      </c>
      <c r="I105" s="29">
        <f t="shared" si="2"/>
        <v>0.0002349772943</v>
      </c>
    </row>
    <row r="106">
      <c r="A106" s="13">
        <v>45628.0</v>
      </c>
      <c r="B106" s="14" t="s">
        <v>27</v>
      </c>
      <c r="C106" s="15">
        <v>1696.0</v>
      </c>
      <c r="D106" s="15">
        <v>71.0</v>
      </c>
      <c r="E106" s="15">
        <v>421957.0</v>
      </c>
      <c r="F106" s="15">
        <v>3.79</v>
      </c>
      <c r="G106" s="15">
        <v>36103.0</v>
      </c>
      <c r="H106" s="53">
        <f t="shared" si="1"/>
        <v>0.3851103311</v>
      </c>
      <c r="I106" s="29">
        <f t="shared" si="2"/>
        <v>0.0001049774257</v>
      </c>
    </row>
    <row r="107">
      <c r="A107" s="13">
        <v>45628.0</v>
      </c>
      <c r="B107" s="14" t="s">
        <v>33</v>
      </c>
      <c r="C107" s="15">
        <v>1902.0</v>
      </c>
      <c r="D107" s="15">
        <v>196.0</v>
      </c>
      <c r="E107" s="15">
        <v>470269.0</v>
      </c>
      <c r="F107" s="15">
        <v>4.79</v>
      </c>
      <c r="G107" s="15">
        <v>26103.0</v>
      </c>
      <c r="H107" s="53">
        <f t="shared" si="1"/>
        <v>0.3627710948</v>
      </c>
      <c r="I107" s="29">
        <f t="shared" si="2"/>
        <v>0.0001835038118</v>
      </c>
    </row>
    <row r="108">
      <c r="A108" s="13">
        <v>45628.0</v>
      </c>
      <c r="B108" s="14" t="s">
        <v>13</v>
      </c>
      <c r="C108" s="15">
        <v>1441.0</v>
      </c>
      <c r="D108" s="15">
        <v>268.0</v>
      </c>
      <c r="E108" s="15">
        <v>309904.0</v>
      </c>
      <c r="F108" s="15">
        <v>6.37</v>
      </c>
      <c r="G108" s="15">
        <v>3455.0</v>
      </c>
      <c r="H108" s="53">
        <f t="shared" si="1"/>
        <v>0.378504311</v>
      </c>
      <c r="I108" s="29">
        <f t="shared" si="2"/>
        <v>0.001843704776</v>
      </c>
    </row>
    <row r="109">
      <c r="A109" s="13">
        <v>45628.0</v>
      </c>
      <c r="B109" s="14" t="s">
        <v>24</v>
      </c>
      <c r="C109" s="15">
        <v>452.0</v>
      </c>
      <c r="D109" s="15">
        <v>161.0</v>
      </c>
      <c r="E109" s="15">
        <v>221274.0</v>
      </c>
      <c r="F109" s="15">
        <v>2.65</v>
      </c>
      <c r="G109" s="15">
        <v>40888.0</v>
      </c>
      <c r="H109" s="53">
        <f t="shared" si="1"/>
        <v>0.1315111581</v>
      </c>
      <c r="I109" s="29">
        <f t="shared" si="2"/>
        <v>0.00006481119155</v>
      </c>
    </row>
    <row r="110">
      <c r="A110" s="13">
        <v>45635.0</v>
      </c>
      <c r="B110" s="14" t="s">
        <v>27</v>
      </c>
      <c r="C110" s="15">
        <v>1494.0</v>
      </c>
      <c r="D110" s="15">
        <v>375.0</v>
      </c>
      <c r="E110" s="15">
        <v>220616.0</v>
      </c>
      <c r="F110" s="15">
        <v>1.81</v>
      </c>
      <c r="G110" s="15">
        <v>22724.0</v>
      </c>
      <c r="H110" s="53">
        <f t="shared" si="1"/>
        <v>0.5072161584</v>
      </c>
      <c r="I110" s="29">
        <f t="shared" si="2"/>
        <v>0.00007965146981</v>
      </c>
    </row>
    <row r="111">
      <c r="A111" s="13">
        <v>45635.0</v>
      </c>
      <c r="B111" s="14" t="s">
        <v>33</v>
      </c>
      <c r="C111" s="15">
        <v>1514.0</v>
      </c>
      <c r="D111" s="15">
        <v>141.0</v>
      </c>
      <c r="E111" s="15">
        <v>35842.0</v>
      </c>
      <c r="F111" s="15">
        <v>7.47</v>
      </c>
      <c r="G111" s="15">
        <v>18601.0</v>
      </c>
      <c r="H111" s="53">
        <f t="shared" si="1"/>
        <v>3.830701412</v>
      </c>
      <c r="I111" s="29">
        <f t="shared" si="2"/>
        <v>0.0004015913123</v>
      </c>
    </row>
    <row r="112">
      <c r="A112" s="13">
        <v>45635.0</v>
      </c>
      <c r="B112" s="14" t="s">
        <v>13</v>
      </c>
      <c r="C112" s="15">
        <v>1937.0</v>
      </c>
      <c r="D112" s="15">
        <v>210.0</v>
      </c>
      <c r="E112" s="15">
        <v>20607.0</v>
      </c>
      <c r="F112" s="15">
        <v>4.2</v>
      </c>
      <c r="G112" s="15">
        <v>20861.0</v>
      </c>
      <c r="H112" s="53">
        <f t="shared" si="1"/>
        <v>8.380647353</v>
      </c>
      <c r="I112" s="29">
        <f t="shared" si="2"/>
        <v>0.0002013326303</v>
      </c>
    </row>
    <row r="113">
      <c r="A113" s="13">
        <v>45635.0</v>
      </c>
      <c r="B113" s="14" t="s">
        <v>24</v>
      </c>
      <c r="C113" s="15">
        <v>736.0</v>
      </c>
      <c r="D113" s="15">
        <v>163.0</v>
      </c>
      <c r="E113" s="15">
        <v>451894.0</v>
      </c>
      <c r="F113" s="15">
        <v>5.43</v>
      </c>
      <c r="G113" s="15">
        <v>46625.0</v>
      </c>
      <c r="H113" s="53">
        <f t="shared" si="1"/>
        <v>0.1267996477</v>
      </c>
      <c r="I113" s="29">
        <f t="shared" si="2"/>
        <v>0.000116461126</v>
      </c>
    </row>
    <row r="114">
      <c r="A114" s="13">
        <v>45642.0</v>
      </c>
      <c r="B114" s="14" t="s">
        <v>27</v>
      </c>
      <c r="C114" s="15">
        <v>1502.0</v>
      </c>
      <c r="D114" s="15">
        <v>70.0</v>
      </c>
      <c r="E114" s="15">
        <v>465553.0</v>
      </c>
      <c r="F114" s="15">
        <v>3.32</v>
      </c>
      <c r="G114" s="15">
        <v>20692.0</v>
      </c>
      <c r="H114" s="53">
        <f t="shared" si="1"/>
        <v>0.3075911873</v>
      </c>
      <c r="I114" s="29">
        <f t="shared" si="2"/>
        <v>0.0001604484825</v>
      </c>
    </row>
    <row r="115">
      <c r="A115" s="13">
        <v>45642.0</v>
      </c>
      <c r="B115" s="14" t="s">
        <v>33</v>
      </c>
      <c r="C115" s="15">
        <v>1623.0</v>
      </c>
      <c r="D115" s="15">
        <v>246.0</v>
      </c>
      <c r="E115" s="15">
        <v>415815.0</v>
      </c>
      <c r="F115" s="15">
        <v>8.11</v>
      </c>
      <c r="G115" s="15">
        <v>18656.0</v>
      </c>
      <c r="H115" s="53">
        <f t="shared" si="1"/>
        <v>0.3311568847</v>
      </c>
      <c r="I115" s="29">
        <f t="shared" si="2"/>
        <v>0.000434712693</v>
      </c>
    </row>
    <row r="116">
      <c r="A116" s="13">
        <v>45642.0</v>
      </c>
      <c r="B116" s="14" t="s">
        <v>13</v>
      </c>
      <c r="C116" s="15">
        <v>1592.0</v>
      </c>
      <c r="D116" s="15">
        <v>233.0</v>
      </c>
      <c r="E116" s="15">
        <v>327183.0</v>
      </c>
      <c r="F116" s="15">
        <v>6.66</v>
      </c>
      <c r="G116" s="15">
        <v>13316.0</v>
      </c>
      <c r="H116" s="53">
        <f t="shared" si="1"/>
        <v>0.4153638789</v>
      </c>
      <c r="I116" s="29">
        <f t="shared" si="2"/>
        <v>0.0005001501953</v>
      </c>
    </row>
    <row r="117">
      <c r="A117" s="13">
        <v>45642.0</v>
      </c>
      <c r="B117" s="14" t="s">
        <v>24</v>
      </c>
      <c r="C117" s="15">
        <v>1004.0</v>
      </c>
      <c r="D117" s="15">
        <v>128.0</v>
      </c>
      <c r="E117" s="15">
        <v>488901.0</v>
      </c>
      <c r="F117" s="15">
        <v>8.09</v>
      </c>
      <c r="G117" s="15">
        <v>49558.0</v>
      </c>
      <c r="H117" s="53">
        <f t="shared" si="1"/>
        <v>0.1791773795</v>
      </c>
      <c r="I117" s="29">
        <f t="shared" si="2"/>
        <v>0.0001632430687</v>
      </c>
    </row>
    <row r="118">
      <c r="A118" s="13">
        <v>45649.0</v>
      </c>
      <c r="B118" s="14" t="s">
        <v>27</v>
      </c>
      <c r="C118" s="15">
        <v>1092.0</v>
      </c>
      <c r="D118" s="15">
        <v>408.0</v>
      </c>
      <c r="E118" s="15">
        <v>280795.0</v>
      </c>
      <c r="F118" s="15">
        <v>8.44</v>
      </c>
      <c r="G118" s="15">
        <v>4683.0</v>
      </c>
      <c r="H118" s="53">
        <f t="shared" si="1"/>
        <v>0.2435940811</v>
      </c>
      <c r="I118" s="29">
        <f t="shared" si="2"/>
        <v>0.001802263506</v>
      </c>
    </row>
    <row r="119">
      <c r="A119" s="13">
        <v>45649.0</v>
      </c>
      <c r="B119" s="14" t="s">
        <v>33</v>
      </c>
      <c r="C119" s="15">
        <v>1155.0</v>
      </c>
      <c r="D119" s="15">
        <v>425.0</v>
      </c>
      <c r="E119" s="15">
        <v>93347.0</v>
      </c>
      <c r="F119" s="15">
        <v>2.02</v>
      </c>
      <c r="G119" s="15">
        <v>47502.0</v>
      </c>
      <c r="H119" s="53">
        <f t="shared" si="1"/>
        <v>0.7820283458</v>
      </c>
      <c r="I119" s="29">
        <f t="shared" si="2"/>
        <v>0.00004252452528</v>
      </c>
    </row>
    <row r="120">
      <c r="A120" s="13">
        <v>45649.0</v>
      </c>
      <c r="B120" s="14" t="s">
        <v>13</v>
      </c>
      <c r="C120" s="15">
        <v>1137.0</v>
      </c>
      <c r="D120" s="15">
        <v>226.0</v>
      </c>
      <c r="E120" s="15">
        <v>81119.0</v>
      </c>
      <c r="F120" s="15">
        <v>7.74</v>
      </c>
      <c r="G120" s="15">
        <v>35359.0</v>
      </c>
      <c r="H120" s="53">
        <f t="shared" si="1"/>
        <v>1.123041458</v>
      </c>
      <c r="I120" s="29">
        <f t="shared" si="2"/>
        <v>0.0002188975933</v>
      </c>
    </row>
    <row r="121">
      <c r="A121" s="13">
        <v>45649.0</v>
      </c>
      <c r="B121" s="14" t="s">
        <v>24</v>
      </c>
      <c r="C121" s="15">
        <v>1900.0</v>
      </c>
      <c r="D121" s="15">
        <v>311.0</v>
      </c>
      <c r="E121" s="15">
        <v>25177.0</v>
      </c>
      <c r="F121" s="15">
        <v>2.89</v>
      </c>
      <c r="G121" s="15">
        <v>14154.0</v>
      </c>
      <c r="H121" s="53">
        <f t="shared" si="1"/>
        <v>6.311315884</v>
      </c>
      <c r="I121" s="29">
        <f t="shared" si="2"/>
        <v>0.0002041825632</v>
      </c>
    </row>
    <row r="122">
      <c r="A122" s="13">
        <v>45656.0</v>
      </c>
      <c r="B122" s="14" t="s">
        <v>27</v>
      </c>
      <c r="C122" s="15">
        <v>1814.0</v>
      </c>
      <c r="D122" s="15">
        <v>49.0</v>
      </c>
      <c r="E122" s="15">
        <v>140804.0</v>
      </c>
      <c r="F122" s="15">
        <v>1.76</v>
      </c>
      <c r="G122" s="15">
        <v>4313.0</v>
      </c>
      <c r="H122" s="53">
        <f t="shared" si="1"/>
        <v>1.253515525</v>
      </c>
      <c r="I122" s="29">
        <f t="shared" si="2"/>
        <v>0.0004080686297</v>
      </c>
    </row>
    <row r="123">
      <c r="A123" s="13">
        <v>45656.0</v>
      </c>
      <c r="B123" s="14" t="s">
        <v>33</v>
      </c>
      <c r="C123" s="15">
        <v>1980.0</v>
      </c>
      <c r="D123" s="15">
        <v>204.0</v>
      </c>
      <c r="E123" s="15">
        <v>379431.0</v>
      </c>
      <c r="F123" s="15">
        <v>3.09</v>
      </c>
      <c r="G123" s="15">
        <v>25140.0</v>
      </c>
      <c r="H123" s="53">
        <f t="shared" si="1"/>
        <v>0.4680692932</v>
      </c>
      <c r="I123" s="29">
        <f t="shared" si="2"/>
        <v>0.0001229116945</v>
      </c>
    </row>
    <row r="124">
      <c r="A124" s="13">
        <v>45656.0</v>
      </c>
      <c r="B124" s="14" t="s">
        <v>13</v>
      </c>
      <c r="C124" s="15">
        <v>1786.0</v>
      </c>
      <c r="D124" s="15">
        <v>257.0</v>
      </c>
      <c r="E124" s="15">
        <v>274831.0</v>
      </c>
      <c r="F124" s="15">
        <v>4.68</v>
      </c>
      <c r="G124" s="15">
        <v>9118.0</v>
      </c>
      <c r="H124" s="53">
        <f t="shared" si="1"/>
        <v>0.5563418974</v>
      </c>
      <c r="I124" s="29">
        <f t="shared" si="2"/>
        <v>0.000513270454</v>
      </c>
    </row>
    <row r="125">
      <c r="A125" s="13">
        <v>45656.0</v>
      </c>
      <c r="B125" s="14" t="s">
        <v>24</v>
      </c>
      <c r="C125" s="15">
        <v>1495.0</v>
      </c>
      <c r="D125" s="15">
        <v>35.0</v>
      </c>
      <c r="E125" s="15">
        <v>136845.0</v>
      </c>
      <c r="F125" s="15">
        <v>4.48</v>
      </c>
      <c r="G125" s="15">
        <v>39931.0</v>
      </c>
      <c r="H125" s="53">
        <f t="shared" si="1"/>
        <v>1.066900508</v>
      </c>
      <c r="I125" s="29">
        <f t="shared" si="2"/>
        <v>0.0001121935338</v>
      </c>
    </row>
    <row r="126">
      <c r="A126" s="13">
        <v>45663.0</v>
      </c>
      <c r="B126" s="14" t="s">
        <v>27</v>
      </c>
      <c r="C126" s="15">
        <v>1013.0</v>
      </c>
      <c r="D126" s="15">
        <v>110.0</v>
      </c>
      <c r="E126" s="15">
        <v>466382.0</v>
      </c>
      <c r="F126" s="15">
        <v>5.3</v>
      </c>
      <c r="G126" s="15">
        <v>37132.0</v>
      </c>
      <c r="H126" s="53">
        <f t="shared" si="1"/>
        <v>0.193618107</v>
      </c>
      <c r="I126" s="29">
        <f t="shared" si="2"/>
        <v>0.0001427340299</v>
      </c>
    </row>
    <row r="127">
      <c r="A127" s="13">
        <v>45663.0</v>
      </c>
      <c r="B127" s="14" t="s">
        <v>33</v>
      </c>
      <c r="C127" s="15">
        <v>816.0</v>
      </c>
      <c r="D127" s="15">
        <v>196.0</v>
      </c>
      <c r="E127" s="15">
        <v>95728.0</v>
      </c>
      <c r="F127" s="15">
        <v>8.2</v>
      </c>
      <c r="G127" s="15">
        <v>17951.0</v>
      </c>
      <c r="H127" s="53">
        <f t="shared" si="1"/>
        <v>0.6476683938</v>
      </c>
      <c r="I127" s="29">
        <f t="shared" si="2"/>
        <v>0.0004567990641</v>
      </c>
    </row>
    <row r="128">
      <c r="A128" s="13">
        <v>45663.0</v>
      </c>
      <c r="B128" s="14" t="s">
        <v>13</v>
      </c>
      <c r="C128" s="15">
        <v>1633.0</v>
      </c>
      <c r="D128" s="15">
        <v>445.0</v>
      </c>
      <c r="E128" s="15">
        <v>371156.0</v>
      </c>
      <c r="F128" s="15">
        <v>2.22</v>
      </c>
      <c r="G128" s="15">
        <v>2798.0</v>
      </c>
      <c r="H128" s="53">
        <f t="shared" si="1"/>
        <v>0.3200810441</v>
      </c>
      <c r="I128" s="29">
        <f t="shared" si="2"/>
        <v>0.0007934238742</v>
      </c>
    </row>
    <row r="129">
      <c r="A129" s="13">
        <v>45663.0</v>
      </c>
      <c r="B129" s="14" t="s">
        <v>24</v>
      </c>
      <c r="C129" s="15">
        <v>891.0</v>
      </c>
      <c r="D129" s="15">
        <v>45.0</v>
      </c>
      <c r="E129" s="15">
        <v>95410.0</v>
      </c>
      <c r="F129" s="15">
        <v>8.33</v>
      </c>
      <c r="G129" s="15">
        <v>15045.0</v>
      </c>
      <c r="H129" s="53">
        <f t="shared" si="1"/>
        <v>0.8866995074</v>
      </c>
      <c r="I129" s="29">
        <f t="shared" si="2"/>
        <v>0.0005536723164</v>
      </c>
    </row>
    <row r="130">
      <c r="A130" s="13">
        <v>45670.0</v>
      </c>
      <c r="B130" s="14" t="s">
        <v>27</v>
      </c>
      <c r="C130" s="15">
        <v>1855.0</v>
      </c>
      <c r="D130" s="15">
        <v>133.0</v>
      </c>
      <c r="E130" s="15">
        <v>349413.0</v>
      </c>
      <c r="F130" s="15">
        <v>3.3</v>
      </c>
      <c r="G130" s="15">
        <v>14548.0</v>
      </c>
      <c r="H130" s="53">
        <f t="shared" si="1"/>
        <v>0.4928265405</v>
      </c>
      <c r="I130" s="29">
        <f t="shared" si="2"/>
        <v>0.0002268353038</v>
      </c>
    </row>
    <row r="131">
      <c r="A131" s="13">
        <v>45670.0</v>
      </c>
      <c r="B131" s="14" t="s">
        <v>33</v>
      </c>
      <c r="C131" s="15">
        <v>651.0</v>
      </c>
      <c r="D131" s="15">
        <v>353.0</v>
      </c>
      <c r="E131" s="15">
        <v>224699.0</v>
      </c>
      <c r="F131" s="15">
        <v>5.61</v>
      </c>
      <c r="G131" s="15">
        <v>45708.0</v>
      </c>
      <c r="H131" s="53">
        <f t="shared" si="1"/>
        <v>0.132621863</v>
      </c>
      <c r="I131" s="29">
        <f t="shared" si="2"/>
        <v>0.0001227356261</v>
      </c>
    </row>
    <row r="132">
      <c r="A132" s="13">
        <v>45670.0</v>
      </c>
      <c r="B132" s="14" t="s">
        <v>13</v>
      </c>
      <c r="C132" s="15">
        <v>118.0</v>
      </c>
      <c r="D132" s="15">
        <v>262.0</v>
      </c>
      <c r="E132" s="15">
        <v>487896.0</v>
      </c>
      <c r="F132" s="15">
        <v>2.56</v>
      </c>
      <c r="G132" s="15">
        <v>12350.0</v>
      </c>
      <c r="H132" s="53">
        <f t="shared" si="1"/>
        <v>-0.02951448669</v>
      </c>
      <c r="I132" s="29">
        <f t="shared" si="2"/>
        <v>0.0002072874494</v>
      </c>
    </row>
    <row r="133">
      <c r="A133" s="13">
        <v>45670.0</v>
      </c>
      <c r="B133" s="14" t="s">
        <v>24</v>
      </c>
      <c r="C133" s="15">
        <v>1331.0</v>
      </c>
      <c r="D133" s="15">
        <v>430.0</v>
      </c>
      <c r="E133" s="15">
        <v>14437.0</v>
      </c>
      <c r="F133" s="15">
        <v>3.29</v>
      </c>
      <c r="G133" s="15">
        <v>40868.0</v>
      </c>
      <c r="H133" s="53">
        <f t="shared" si="1"/>
        <v>6.240908776</v>
      </c>
      <c r="I133" s="29">
        <f t="shared" si="2"/>
        <v>0.0000805030831</v>
      </c>
    </row>
    <row r="134">
      <c r="A134" s="13">
        <v>45677.0</v>
      </c>
      <c r="B134" s="14" t="s">
        <v>27</v>
      </c>
      <c r="C134" s="15">
        <v>1748.0</v>
      </c>
      <c r="D134" s="15">
        <v>176.0</v>
      </c>
      <c r="E134" s="15">
        <v>383681.0</v>
      </c>
      <c r="F134" s="15">
        <v>9.24</v>
      </c>
      <c r="G134" s="15">
        <v>43122.0</v>
      </c>
      <c r="H134" s="53">
        <f t="shared" si="1"/>
        <v>0.4097153625</v>
      </c>
      <c r="I134" s="29">
        <f t="shared" si="2"/>
        <v>0.0002142757757</v>
      </c>
    </row>
    <row r="135">
      <c r="A135" s="13">
        <v>45677.0</v>
      </c>
      <c r="B135" s="14" t="s">
        <v>33</v>
      </c>
      <c r="C135" s="15">
        <v>663.0</v>
      </c>
      <c r="D135" s="15">
        <v>236.0</v>
      </c>
      <c r="E135" s="15">
        <v>479490.0</v>
      </c>
      <c r="F135" s="15">
        <v>4.51</v>
      </c>
      <c r="G135" s="15">
        <v>23853.0</v>
      </c>
      <c r="H135" s="53">
        <f t="shared" si="1"/>
        <v>0.08905295209</v>
      </c>
      <c r="I135" s="29">
        <f t="shared" si="2"/>
        <v>0.0001890747495</v>
      </c>
    </row>
    <row r="136">
      <c r="A136" s="13">
        <v>45677.0</v>
      </c>
      <c r="B136" s="14" t="s">
        <v>13</v>
      </c>
      <c r="C136" s="15">
        <v>1040.0</v>
      </c>
      <c r="D136" s="15">
        <v>149.0</v>
      </c>
      <c r="E136" s="15">
        <v>124404.0</v>
      </c>
      <c r="F136" s="15">
        <v>5.23</v>
      </c>
      <c r="G136" s="15">
        <v>45380.0</v>
      </c>
      <c r="H136" s="53">
        <f t="shared" si="1"/>
        <v>0.7162149127</v>
      </c>
      <c r="I136" s="29">
        <f t="shared" si="2"/>
        <v>0.0001152490084</v>
      </c>
    </row>
    <row r="137">
      <c r="A137" s="13">
        <v>45677.0</v>
      </c>
      <c r="B137" s="14" t="s">
        <v>24</v>
      </c>
      <c r="C137" s="15">
        <v>1166.0</v>
      </c>
      <c r="D137" s="15">
        <v>442.0</v>
      </c>
      <c r="E137" s="15">
        <v>336949.0</v>
      </c>
      <c r="F137" s="15">
        <v>4.68</v>
      </c>
      <c r="G137" s="15">
        <v>7705.0</v>
      </c>
      <c r="H137" s="53">
        <f t="shared" si="1"/>
        <v>0.2148693126</v>
      </c>
      <c r="I137" s="29">
        <f t="shared" si="2"/>
        <v>0.0006073977936</v>
      </c>
    </row>
    <row r="138">
      <c r="A138" s="13">
        <v>45684.0</v>
      </c>
      <c r="B138" s="14" t="s">
        <v>27</v>
      </c>
      <c r="C138" s="15">
        <v>115.0</v>
      </c>
      <c r="D138" s="15">
        <v>281.0</v>
      </c>
      <c r="E138" s="15">
        <v>357265.0</v>
      </c>
      <c r="F138" s="15">
        <v>9.23</v>
      </c>
      <c r="G138" s="15">
        <v>25525.0</v>
      </c>
      <c r="H138" s="53">
        <f t="shared" si="1"/>
        <v>-0.04646410927</v>
      </c>
      <c r="I138" s="29">
        <f t="shared" si="2"/>
        <v>0.0003616062684</v>
      </c>
    </row>
    <row r="139">
      <c r="A139" s="13">
        <v>45684.0</v>
      </c>
      <c r="B139" s="14" t="s">
        <v>33</v>
      </c>
      <c r="C139" s="15">
        <v>1249.0</v>
      </c>
      <c r="D139" s="15">
        <v>351.0</v>
      </c>
      <c r="E139" s="15">
        <v>321307.0</v>
      </c>
      <c r="F139" s="15">
        <v>6.37</v>
      </c>
      <c r="G139" s="15">
        <v>20560.0</v>
      </c>
      <c r="H139" s="53">
        <f t="shared" si="1"/>
        <v>0.2794834846</v>
      </c>
      <c r="I139" s="29">
        <f t="shared" si="2"/>
        <v>0.0003098249027</v>
      </c>
    </row>
    <row r="140">
      <c r="A140" s="13">
        <v>45684.0</v>
      </c>
      <c r="B140" s="14" t="s">
        <v>13</v>
      </c>
      <c r="C140" s="15">
        <v>1501.0</v>
      </c>
      <c r="D140" s="15">
        <v>75.0</v>
      </c>
      <c r="E140" s="15">
        <v>262569.0</v>
      </c>
      <c r="F140" s="15">
        <v>2.01</v>
      </c>
      <c r="G140" s="15">
        <v>19119.0</v>
      </c>
      <c r="H140" s="53">
        <f t="shared" si="1"/>
        <v>0.5430953387</v>
      </c>
      <c r="I140" s="29">
        <f t="shared" si="2"/>
        <v>0.0001051310215</v>
      </c>
    </row>
    <row r="141">
      <c r="A141" s="13">
        <v>45684.0</v>
      </c>
      <c r="B141" s="14" t="s">
        <v>24</v>
      </c>
      <c r="C141" s="15">
        <v>1411.0</v>
      </c>
      <c r="D141" s="15">
        <v>186.0</v>
      </c>
      <c r="E141" s="15">
        <v>461669.0</v>
      </c>
      <c r="F141" s="15">
        <v>3.72</v>
      </c>
      <c r="G141" s="15">
        <v>43999.0</v>
      </c>
      <c r="H141" s="53">
        <f t="shared" si="1"/>
        <v>0.2653416192</v>
      </c>
      <c r="I141" s="29">
        <f t="shared" si="2"/>
        <v>0.00008454737608</v>
      </c>
    </row>
    <row r="142">
      <c r="A142" s="13">
        <v>45691.0</v>
      </c>
      <c r="B142" s="14" t="s">
        <v>27</v>
      </c>
      <c r="C142" s="15">
        <v>1556.0</v>
      </c>
      <c r="D142" s="15">
        <v>476.0</v>
      </c>
      <c r="E142" s="15">
        <v>351556.0</v>
      </c>
      <c r="F142" s="15">
        <v>3.89</v>
      </c>
      <c r="G142" s="15">
        <v>10825.0</v>
      </c>
      <c r="H142" s="53">
        <f t="shared" si="1"/>
        <v>0.3072056799</v>
      </c>
      <c r="I142" s="29">
        <f t="shared" si="2"/>
        <v>0.0003593533487</v>
      </c>
    </row>
    <row r="143">
      <c r="A143" s="13">
        <v>45691.0</v>
      </c>
      <c r="B143" s="14" t="s">
        <v>33</v>
      </c>
      <c r="C143" s="15">
        <v>1159.0</v>
      </c>
      <c r="D143" s="15">
        <v>411.0</v>
      </c>
      <c r="E143" s="15">
        <v>135987.0</v>
      </c>
      <c r="F143" s="15">
        <v>8.7</v>
      </c>
      <c r="G143" s="15">
        <v>40323.0</v>
      </c>
      <c r="H143" s="53">
        <f t="shared" si="1"/>
        <v>0.5500525786</v>
      </c>
      <c r="I143" s="29">
        <f t="shared" si="2"/>
        <v>0.0002157577561</v>
      </c>
    </row>
    <row r="144">
      <c r="A144" s="13">
        <v>45691.0</v>
      </c>
      <c r="B144" s="14" t="s">
        <v>13</v>
      </c>
      <c r="C144" s="15">
        <v>927.0</v>
      </c>
      <c r="D144" s="15">
        <v>358.0</v>
      </c>
      <c r="E144" s="15">
        <v>177554.0</v>
      </c>
      <c r="F144" s="15">
        <v>6.95</v>
      </c>
      <c r="G144" s="15">
        <v>48270.0</v>
      </c>
      <c r="H144" s="53">
        <f t="shared" si="1"/>
        <v>0.3204658864</v>
      </c>
      <c r="I144" s="29">
        <f t="shared" si="2"/>
        <v>0.0001439817692</v>
      </c>
    </row>
    <row r="145">
      <c r="A145" s="13">
        <v>45691.0</v>
      </c>
      <c r="B145" s="14" t="s">
        <v>24</v>
      </c>
      <c r="C145" s="15">
        <v>152.0</v>
      </c>
      <c r="D145" s="15">
        <v>355.0</v>
      </c>
      <c r="E145" s="15">
        <v>270766.0</v>
      </c>
      <c r="F145" s="15">
        <v>9.48</v>
      </c>
      <c r="G145" s="15">
        <v>18001.0</v>
      </c>
      <c r="H145" s="53">
        <f t="shared" si="1"/>
        <v>-0.07497248547</v>
      </c>
      <c r="I145" s="29">
        <f t="shared" si="2"/>
        <v>0.000526637409</v>
      </c>
    </row>
    <row r="146">
      <c r="A146" s="13">
        <v>45698.0</v>
      </c>
      <c r="B146" s="14" t="s">
        <v>27</v>
      </c>
      <c r="C146" s="15">
        <v>1957.0</v>
      </c>
      <c r="D146" s="15">
        <v>234.0</v>
      </c>
      <c r="E146" s="15">
        <v>222126.0</v>
      </c>
      <c r="F146" s="15">
        <v>4.61</v>
      </c>
      <c r="G146" s="15">
        <v>3314.0</v>
      </c>
      <c r="H146" s="53">
        <f t="shared" si="1"/>
        <v>0.775685872</v>
      </c>
      <c r="I146" s="29">
        <f t="shared" si="2"/>
        <v>0.001391068196</v>
      </c>
    </row>
    <row r="147">
      <c r="A147" s="13">
        <v>45698.0</v>
      </c>
      <c r="B147" s="14" t="s">
        <v>33</v>
      </c>
      <c r="C147" s="15">
        <v>1294.0</v>
      </c>
      <c r="D147" s="15">
        <v>382.0</v>
      </c>
      <c r="E147" s="15">
        <v>309914.0</v>
      </c>
      <c r="F147" s="15">
        <v>8.03</v>
      </c>
      <c r="G147" s="15">
        <v>23489.0</v>
      </c>
      <c r="H147" s="53">
        <f t="shared" si="1"/>
        <v>0.294275186</v>
      </c>
      <c r="I147" s="29">
        <f t="shared" si="2"/>
        <v>0.0003418621482</v>
      </c>
    </row>
    <row r="148">
      <c r="A148" s="13">
        <v>45698.0</v>
      </c>
      <c r="B148" s="14" t="s">
        <v>13</v>
      </c>
      <c r="C148" s="15">
        <v>1587.0</v>
      </c>
      <c r="D148" s="15">
        <v>385.0</v>
      </c>
      <c r="E148" s="15">
        <v>126582.0</v>
      </c>
      <c r="F148" s="15">
        <v>6.99</v>
      </c>
      <c r="G148" s="15">
        <v>42832.0</v>
      </c>
      <c r="H148" s="53">
        <f t="shared" si="1"/>
        <v>0.9495820891</v>
      </c>
      <c r="I148" s="29">
        <f t="shared" si="2"/>
        <v>0.0001631957415</v>
      </c>
    </row>
    <row r="149">
      <c r="A149" s="13">
        <v>45698.0</v>
      </c>
      <c r="B149" s="14" t="s">
        <v>24</v>
      </c>
      <c r="C149" s="15">
        <v>1707.0</v>
      </c>
      <c r="D149" s="15">
        <v>263.0</v>
      </c>
      <c r="E149" s="15">
        <v>485280.0</v>
      </c>
      <c r="F149" s="15">
        <v>9.03</v>
      </c>
      <c r="G149" s="15">
        <v>24494.0</v>
      </c>
      <c r="H149" s="53">
        <f t="shared" si="1"/>
        <v>0.2975601714</v>
      </c>
      <c r="I149" s="29">
        <f t="shared" si="2"/>
        <v>0.0003686617131</v>
      </c>
    </row>
    <row r="150">
      <c r="A150" s="13">
        <v>45705.0</v>
      </c>
      <c r="B150" s="14" t="s">
        <v>27</v>
      </c>
      <c r="C150" s="15">
        <v>1138.0</v>
      </c>
      <c r="D150" s="15">
        <v>173.0</v>
      </c>
      <c r="E150" s="15">
        <v>453243.0</v>
      </c>
      <c r="F150" s="15">
        <v>2.86</v>
      </c>
      <c r="G150" s="15">
        <v>44097.0</v>
      </c>
      <c r="H150" s="53">
        <f t="shared" si="1"/>
        <v>0.2129100725</v>
      </c>
      <c r="I150" s="29">
        <f t="shared" si="2"/>
        <v>0.00006485701975</v>
      </c>
    </row>
    <row r="151">
      <c r="A151" s="13">
        <v>45705.0</v>
      </c>
      <c r="B151" s="14" t="s">
        <v>33</v>
      </c>
      <c r="C151" s="15">
        <v>1895.0</v>
      </c>
      <c r="D151" s="15">
        <v>305.0</v>
      </c>
      <c r="E151" s="15">
        <v>104967.0</v>
      </c>
      <c r="F151" s="15">
        <v>3.85</v>
      </c>
      <c r="G151" s="15">
        <v>31853.0</v>
      </c>
      <c r="H151" s="53">
        <f t="shared" si="1"/>
        <v>1.514761782</v>
      </c>
      <c r="I151" s="29">
        <f t="shared" si="2"/>
        <v>0.0001208677362</v>
      </c>
    </row>
    <row r="152">
      <c r="A152" s="13">
        <v>45705.0</v>
      </c>
      <c r="B152" s="14" t="s">
        <v>13</v>
      </c>
      <c r="C152" s="15">
        <v>362.0</v>
      </c>
      <c r="D152" s="15">
        <v>399.0</v>
      </c>
      <c r="E152" s="15">
        <v>145608.0</v>
      </c>
      <c r="F152" s="15">
        <v>7.3</v>
      </c>
      <c r="G152" s="15">
        <v>37636.0</v>
      </c>
      <c r="H152" s="53">
        <f t="shared" si="1"/>
        <v>-0.02541069172</v>
      </c>
      <c r="I152" s="29">
        <f t="shared" si="2"/>
        <v>0.0001939632267</v>
      </c>
    </row>
    <row r="153">
      <c r="A153" s="13">
        <v>45705.0</v>
      </c>
      <c r="B153" s="14" t="s">
        <v>24</v>
      </c>
      <c r="C153" s="15">
        <v>1662.0</v>
      </c>
      <c r="D153" s="15">
        <v>487.0</v>
      </c>
      <c r="E153" s="15">
        <v>105980.0</v>
      </c>
      <c r="F153" s="15">
        <v>9.08</v>
      </c>
      <c r="G153" s="15">
        <v>22996.0</v>
      </c>
      <c r="H153" s="53">
        <f t="shared" si="1"/>
        <v>1.108699755</v>
      </c>
      <c r="I153" s="29">
        <f t="shared" si="2"/>
        <v>0.0003948512785</v>
      </c>
    </row>
    <row r="154">
      <c r="A154" s="13">
        <v>45712.0</v>
      </c>
      <c r="B154" s="14" t="s">
        <v>27</v>
      </c>
      <c r="C154" s="15">
        <v>1440.0</v>
      </c>
      <c r="D154" s="15">
        <v>65.0</v>
      </c>
      <c r="E154" s="15">
        <v>126524.0</v>
      </c>
      <c r="F154" s="15">
        <v>4.34</v>
      </c>
      <c r="G154" s="15">
        <v>49772.0</v>
      </c>
      <c r="H154" s="53">
        <f t="shared" si="1"/>
        <v>1.08675034</v>
      </c>
      <c r="I154" s="29">
        <f t="shared" si="2"/>
        <v>0.00008719762115</v>
      </c>
    </row>
    <row r="155">
      <c r="A155" s="13">
        <v>45712.0</v>
      </c>
      <c r="B155" s="14" t="s">
        <v>33</v>
      </c>
      <c r="C155" s="15">
        <v>1884.0</v>
      </c>
      <c r="D155" s="15">
        <v>177.0</v>
      </c>
      <c r="E155" s="15">
        <v>230448.0</v>
      </c>
      <c r="F155" s="15">
        <v>7.8</v>
      </c>
      <c r="G155" s="15">
        <v>22713.0</v>
      </c>
      <c r="H155" s="53">
        <f t="shared" si="1"/>
        <v>0.7407310977</v>
      </c>
      <c r="I155" s="29">
        <f t="shared" si="2"/>
        <v>0.000343415665</v>
      </c>
    </row>
    <row r="156">
      <c r="A156" s="13">
        <v>45712.0</v>
      </c>
      <c r="B156" s="14" t="s">
        <v>13</v>
      </c>
      <c r="C156" s="15">
        <v>861.0</v>
      </c>
      <c r="D156" s="15">
        <v>153.0</v>
      </c>
      <c r="E156" s="15">
        <v>317007.0</v>
      </c>
      <c r="F156" s="15">
        <v>3.85</v>
      </c>
      <c r="G156" s="15">
        <v>8718.0</v>
      </c>
      <c r="H156" s="53">
        <f t="shared" si="1"/>
        <v>0.2233389168</v>
      </c>
      <c r="I156" s="29">
        <f t="shared" si="2"/>
        <v>0.0004416150493</v>
      </c>
    </row>
    <row r="157">
      <c r="A157" s="13">
        <v>45712.0</v>
      </c>
      <c r="B157" s="14" t="s">
        <v>24</v>
      </c>
      <c r="C157" s="15">
        <v>1063.0</v>
      </c>
      <c r="D157" s="15">
        <v>47.0</v>
      </c>
      <c r="E157" s="15">
        <v>464239.0</v>
      </c>
      <c r="F157" s="15">
        <v>6.58</v>
      </c>
      <c r="G157" s="15">
        <v>39031.0</v>
      </c>
      <c r="H157" s="53">
        <f t="shared" si="1"/>
        <v>0.2188527892</v>
      </c>
      <c r="I157" s="29">
        <f t="shared" si="2"/>
        <v>0.0001685839461</v>
      </c>
    </row>
    <row r="158">
      <c r="A158" s="13">
        <v>45719.0</v>
      </c>
      <c r="B158" s="14" t="s">
        <v>27</v>
      </c>
      <c r="C158" s="15">
        <v>1371.0</v>
      </c>
      <c r="D158" s="15">
        <v>56.0</v>
      </c>
      <c r="E158" s="15">
        <v>257579.0</v>
      </c>
      <c r="F158" s="15">
        <v>8.62</v>
      </c>
      <c r="G158" s="15">
        <v>33799.0</v>
      </c>
      <c r="H158" s="53">
        <f t="shared" si="1"/>
        <v>0.5105229852</v>
      </c>
      <c r="I158" s="29">
        <f t="shared" si="2"/>
        <v>0.0002550371313</v>
      </c>
    </row>
    <row r="159">
      <c r="A159" s="13">
        <v>45719.0</v>
      </c>
      <c r="B159" s="14" t="s">
        <v>33</v>
      </c>
      <c r="C159" s="15">
        <v>345.0</v>
      </c>
      <c r="D159" s="15">
        <v>464.0</v>
      </c>
      <c r="E159" s="15">
        <v>366881.0</v>
      </c>
      <c r="F159" s="15">
        <v>4.55</v>
      </c>
      <c r="G159" s="15">
        <v>20553.0</v>
      </c>
      <c r="H159" s="53">
        <f t="shared" si="1"/>
        <v>-0.03243558538</v>
      </c>
      <c r="I159" s="29">
        <f t="shared" si="2"/>
        <v>0.0002213788741</v>
      </c>
    </row>
    <row r="160">
      <c r="A160" s="13">
        <v>45719.0</v>
      </c>
      <c r="B160" s="14" t="s">
        <v>13</v>
      </c>
      <c r="C160" s="15">
        <v>946.0</v>
      </c>
      <c r="D160" s="15">
        <v>47.0</v>
      </c>
      <c r="E160" s="15">
        <v>466575.0</v>
      </c>
      <c r="F160" s="15">
        <v>8.33</v>
      </c>
      <c r="G160" s="15">
        <v>10002.0</v>
      </c>
      <c r="H160" s="53">
        <f t="shared" si="1"/>
        <v>0.1926807051</v>
      </c>
      <c r="I160" s="29">
        <f t="shared" si="2"/>
        <v>0.0008328334333</v>
      </c>
    </row>
    <row r="161">
      <c r="A161" s="13">
        <v>45719.0</v>
      </c>
      <c r="B161" s="14" t="s">
        <v>24</v>
      </c>
      <c r="C161" s="15">
        <v>510.0</v>
      </c>
      <c r="D161" s="15">
        <v>195.0</v>
      </c>
      <c r="E161" s="15">
        <v>224534.0</v>
      </c>
      <c r="F161" s="15">
        <v>9.4</v>
      </c>
      <c r="G161" s="15">
        <v>30987.0</v>
      </c>
      <c r="H161" s="53">
        <f t="shared" si="1"/>
        <v>0.1402905573</v>
      </c>
      <c r="I161" s="29">
        <f t="shared" si="2"/>
        <v>0.000303353019</v>
      </c>
    </row>
    <row r="162">
      <c r="A162" s="13">
        <v>45726.0</v>
      </c>
      <c r="B162" s="14" t="s">
        <v>27</v>
      </c>
      <c r="C162" s="15">
        <v>393.0</v>
      </c>
      <c r="D162" s="15">
        <v>181.0</v>
      </c>
      <c r="E162" s="15">
        <v>462142.0</v>
      </c>
      <c r="F162" s="15">
        <v>7.23</v>
      </c>
      <c r="G162" s="15">
        <v>6296.0</v>
      </c>
      <c r="H162" s="53">
        <f t="shared" si="1"/>
        <v>0.04587334629</v>
      </c>
      <c r="I162" s="29">
        <f t="shared" si="2"/>
        <v>0.001148348158</v>
      </c>
    </row>
    <row r="163">
      <c r="A163" s="13">
        <v>45726.0</v>
      </c>
      <c r="B163" s="14" t="s">
        <v>33</v>
      </c>
      <c r="C163" s="15">
        <v>1098.0</v>
      </c>
      <c r="D163" s="15">
        <v>190.0</v>
      </c>
      <c r="E163" s="15">
        <v>340842.0</v>
      </c>
      <c r="F163" s="15">
        <v>9.39</v>
      </c>
      <c r="G163" s="15">
        <v>21539.0</v>
      </c>
      <c r="H163" s="53">
        <f t="shared" si="1"/>
        <v>0.266399094</v>
      </c>
      <c r="I163" s="29">
        <f t="shared" si="2"/>
        <v>0.0004359533869</v>
      </c>
    </row>
    <row r="164">
      <c r="A164" s="13">
        <v>45726.0</v>
      </c>
      <c r="B164" s="14" t="s">
        <v>13</v>
      </c>
      <c r="C164" s="15">
        <v>1399.0</v>
      </c>
      <c r="D164" s="15">
        <v>49.0</v>
      </c>
      <c r="E164" s="15">
        <v>12471.0</v>
      </c>
      <c r="F164" s="15">
        <v>5.12</v>
      </c>
      <c r="G164" s="15">
        <v>14722.0</v>
      </c>
      <c r="H164" s="53">
        <f t="shared" si="1"/>
        <v>10.82511427</v>
      </c>
      <c r="I164" s="29">
        <f t="shared" si="2"/>
        <v>0.0003477788344</v>
      </c>
    </row>
    <row r="165">
      <c r="A165" s="13">
        <v>45726.0</v>
      </c>
      <c r="B165" s="14" t="s">
        <v>24</v>
      </c>
      <c r="C165" s="15">
        <v>1658.0</v>
      </c>
      <c r="D165" s="15">
        <v>416.0</v>
      </c>
      <c r="E165" s="15">
        <v>98397.0</v>
      </c>
      <c r="F165" s="15">
        <v>6.11</v>
      </c>
      <c r="G165" s="15">
        <v>11383.0</v>
      </c>
      <c r="H165" s="53">
        <f t="shared" si="1"/>
        <v>1.262233605</v>
      </c>
      <c r="I165" s="29">
        <f t="shared" si="2"/>
        <v>0.0005367653518</v>
      </c>
    </row>
    <row r="166">
      <c r="A166" s="13">
        <v>45733.0</v>
      </c>
      <c r="B166" s="14" t="s">
        <v>27</v>
      </c>
      <c r="C166" s="15">
        <v>1102.0</v>
      </c>
      <c r="D166" s="15">
        <v>422.0</v>
      </c>
      <c r="E166" s="15">
        <v>410330.0</v>
      </c>
      <c r="F166" s="15">
        <v>7.74</v>
      </c>
      <c r="G166" s="15">
        <v>9480.0</v>
      </c>
      <c r="H166" s="53">
        <f t="shared" si="1"/>
        <v>0.1657202739</v>
      </c>
      <c r="I166" s="29">
        <f t="shared" si="2"/>
        <v>0.0008164556962</v>
      </c>
    </row>
    <row r="167">
      <c r="A167" s="13">
        <v>45733.0</v>
      </c>
      <c r="B167" s="14" t="s">
        <v>33</v>
      </c>
      <c r="C167" s="15">
        <v>1358.0</v>
      </c>
      <c r="D167" s="15">
        <v>242.0</v>
      </c>
      <c r="E167" s="15">
        <v>342129.0</v>
      </c>
      <c r="F167" s="15">
        <v>4.94</v>
      </c>
      <c r="G167" s="15">
        <v>29116.0</v>
      </c>
      <c r="H167" s="53">
        <f t="shared" si="1"/>
        <v>0.3261927519</v>
      </c>
      <c r="I167" s="29">
        <f t="shared" si="2"/>
        <v>0.0001696661629</v>
      </c>
    </row>
    <row r="168">
      <c r="A168" s="13">
        <v>45733.0</v>
      </c>
      <c r="B168" s="14" t="s">
        <v>13</v>
      </c>
      <c r="C168" s="15">
        <v>1077.0</v>
      </c>
      <c r="D168" s="15">
        <v>216.0</v>
      </c>
      <c r="E168" s="15">
        <v>12447.0</v>
      </c>
      <c r="F168" s="15">
        <v>1.8</v>
      </c>
      <c r="G168" s="15">
        <v>14068.0</v>
      </c>
      <c r="H168" s="53">
        <f t="shared" si="1"/>
        <v>6.917329477</v>
      </c>
      <c r="I168" s="29">
        <f t="shared" si="2"/>
        <v>0.0001279499574</v>
      </c>
    </row>
    <row r="169">
      <c r="A169" s="13">
        <v>45733.0</v>
      </c>
      <c r="B169" s="14" t="s">
        <v>24</v>
      </c>
      <c r="C169" s="15">
        <v>1596.0</v>
      </c>
      <c r="D169" s="15">
        <v>211.0</v>
      </c>
      <c r="E169" s="15">
        <v>17380.0</v>
      </c>
      <c r="F169" s="15">
        <v>8.64</v>
      </c>
      <c r="G169" s="15">
        <v>35801.0</v>
      </c>
      <c r="H169" s="53">
        <f t="shared" si="1"/>
        <v>7.968929804</v>
      </c>
      <c r="I169" s="29">
        <f t="shared" si="2"/>
        <v>0.0002413340409</v>
      </c>
    </row>
    <row r="170">
      <c r="A170" s="13">
        <v>45740.0</v>
      </c>
      <c r="B170" s="14" t="s">
        <v>27</v>
      </c>
      <c r="C170" s="15">
        <v>490.0</v>
      </c>
      <c r="D170" s="15">
        <v>29.0</v>
      </c>
      <c r="E170" s="15">
        <v>364810.0</v>
      </c>
      <c r="F170" s="15">
        <v>1.53</v>
      </c>
      <c r="G170" s="15">
        <v>49077.0</v>
      </c>
      <c r="H170" s="53">
        <f t="shared" si="1"/>
        <v>0.12636715</v>
      </c>
      <c r="I170" s="29">
        <f t="shared" si="2"/>
        <v>0.00003117549972</v>
      </c>
    </row>
    <row r="171">
      <c r="A171" s="13">
        <v>45740.0</v>
      </c>
      <c r="B171" s="14" t="s">
        <v>33</v>
      </c>
      <c r="C171" s="15">
        <v>609.0</v>
      </c>
      <c r="D171" s="15">
        <v>135.0</v>
      </c>
      <c r="E171" s="15">
        <v>373606.0</v>
      </c>
      <c r="F171" s="15">
        <v>8.52</v>
      </c>
      <c r="G171" s="15">
        <v>21453.0</v>
      </c>
      <c r="H171" s="53">
        <f t="shared" si="1"/>
        <v>0.1268716241</v>
      </c>
      <c r="I171" s="29">
        <f t="shared" si="2"/>
        <v>0.0003971472521</v>
      </c>
    </row>
    <row r="172">
      <c r="A172" s="13">
        <v>45740.0</v>
      </c>
      <c r="B172" s="14" t="s">
        <v>13</v>
      </c>
      <c r="C172" s="15">
        <v>364.0</v>
      </c>
      <c r="D172" s="15">
        <v>72.0</v>
      </c>
      <c r="E172" s="15">
        <v>211090.0</v>
      </c>
      <c r="F172" s="15">
        <v>5.53</v>
      </c>
      <c r="G172" s="15">
        <v>21061.0</v>
      </c>
      <c r="H172" s="53">
        <f t="shared" si="1"/>
        <v>0.1383296224</v>
      </c>
      <c r="I172" s="29">
        <f t="shared" si="2"/>
        <v>0.0002625706282</v>
      </c>
    </row>
    <row r="173">
      <c r="A173" s="13">
        <v>45740.0</v>
      </c>
      <c r="B173" s="14" t="s">
        <v>24</v>
      </c>
      <c r="C173" s="15">
        <v>442.0</v>
      </c>
      <c r="D173" s="15">
        <v>53.0</v>
      </c>
      <c r="E173" s="15">
        <v>441931.0</v>
      </c>
      <c r="F173" s="15">
        <v>1.87</v>
      </c>
      <c r="G173" s="15">
        <v>20059.0</v>
      </c>
      <c r="H173" s="53">
        <f t="shared" si="1"/>
        <v>0.08802279089</v>
      </c>
      <c r="I173" s="29">
        <f t="shared" si="2"/>
        <v>0.00009322498629</v>
      </c>
    </row>
    <row r="174">
      <c r="A174" s="13">
        <v>45747.0</v>
      </c>
      <c r="B174" s="14" t="s">
        <v>27</v>
      </c>
      <c r="C174" s="15">
        <v>1033.0</v>
      </c>
      <c r="D174" s="15">
        <v>392.0</v>
      </c>
      <c r="E174" s="15">
        <v>282780.0</v>
      </c>
      <c r="F174" s="15">
        <v>6.27</v>
      </c>
      <c r="G174" s="15">
        <v>23140.0</v>
      </c>
      <c r="H174" s="53">
        <f t="shared" si="1"/>
        <v>0.2266779829</v>
      </c>
      <c r="I174" s="29">
        <f t="shared" si="2"/>
        <v>0.0002709593777</v>
      </c>
    </row>
    <row r="175">
      <c r="A175" s="13">
        <v>45747.0</v>
      </c>
      <c r="B175" s="14" t="s">
        <v>33</v>
      </c>
      <c r="C175" s="15">
        <v>988.0</v>
      </c>
      <c r="D175" s="15">
        <v>474.0</v>
      </c>
      <c r="E175" s="15">
        <v>370070.0</v>
      </c>
      <c r="F175" s="15">
        <v>9.46</v>
      </c>
      <c r="G175" s="15">
        <v>23461.0</v>
      </c>
      <c r="H175" s="53">
        <f t="shared" si="1"/>
        <v>0.1388926419</v>
      </c>
      <c r="I175" s="29">
        <f t="shared" si="2"/>
        <v>0.000403222369</v>
      </c>
    </row>
    <row r="176">
      <c r="A176" s="13">
        <v>45747.0</v>
      </c>
      <c r="B176" s="14" t="s">
        <v>13</v>
      </c>
      <c r="C176" s="15">
        <v>1946.0</v>
      </c>
      <c r="D176" s="15">
        <v>270.0</v>
      </c>
      <c r="E176" s="15">
        <v>198350.0</v>
      </c>
      <c r="F176" s="15">
        <v>7.5</v>
      </c>
      <c r="G176" s="15">
        <v>11805.0</v>
      </c>
      <c r="H176" s="53">
        <f t="shared" si="1"/>
        <v>0.8449710108</v>
      </c>
      <c r="I176" s="29">
        <f t="shared" si="2"/>
        <v>0.0006353240152</v>
      </c>
    </row>
    <row r="177">
      <c r="A177" s="13">
        <v>45747.0</v>
      </c>
      <c r="B177" s="14" t="s">
        <v>24</v>
      </c>
      <c r="C177" s="15">
        <v>1957.0</v>
      </c>
      <c r="D177" s="15">
        <v>490.0</v>
      </c>
      <c r="E177" s="15">
        <v>435726.0</v>
      </c>
      <c r="F177" s="15">
        <v>4.73</v>
      </c>
      <c r="G177" s="15">
        <v>15969.0</v>
      </c>
      <c r="H177" s="53">
        <f t="shared" si="1"/>
        <v>0.3366794729</v>
      </c>
      <c r="I177" s="29">
        <f t="shared" si="2"/>
        <v>0.0002961988853</v>
      </c>
    </row>
    <row r="178">
      <c r="A178" s="13">
        <v>45754.0</v>
      </c>
      <c r="B178" s="14" t="s">
        <v>27</v>
      </c>
      <c r="C178" s="15">
        <v>559.0</v>
      </c>
      <c r="D178" s="15">
        <v>392.0</v>
      </c>
      <c r="E178" s="15">
        <v>78789.0</v>
      </c>
      <c r="F178" s="15">
        <v>3.19</v>
      </c>
      <c r="G178" s="15">
        <v>2436.0</v>
      </c>
      <c r="H178" s="53">
        <f t="shared" si="1"/>
        <v>0.2119585221</v>
      </c>
      <c r="I178" s="29">
        <f t="shared" si="2"/>
        <v>0.00130952381</v>
      </c>
    </row>
    <row r="179">
      <c r="A179" s="13">
        <v>45754.0</v>
      </c>
      <c r="B179" s="14" t="s">
        <v>33</v>
      </c>
      <c r="C179" s="15">
        <v>1307.0</v>
      </c>
      <c r="D179" s="15">
        <v>278.0</v>
      </c>
      <c r="E179" s="15">
        <v>98596.0</v>
      </c>
      <c r="F179" s="15">
        <v>2.49</v>
      </c>
      <c r="G179" s="15">
        <v>47603.0</v>
      </c>
      <c r="H179" s="53">
        <f t="shared" si="1"/>
        <v>1.043652887</v>
      </c>
      <c r="I179" s="29">
        <f t="shared" si="2"/>
        <v>0.00005230762767</v>
      </c>
    </row>
    <row r="180">
      <c r="A180" s="13">
        <v>45754.0</v>
      </c>
      <c r="B180" s="14" t="s">
        <v>13</v>
      </c>
      <c r="C180" s="15">
        <v>1432.0</v>
      </c>
      <c r="D180" s="15">
        <v>425.0</v>
      </c>
      <c r="E180" s="15">
        <v>29589.0</v>
      </c>
      <c r="F180" s="15">
        <v>4.5</v>
      </c>
      <c r="G180" s="15">
        <v>42964.0</v>
      </c>
      <c r="H180" s="53">
        <f t="shared" si="1"/>
        <v>3.403291764</v>
      </c>
      <c r="I180" s="29">
        <f t="shared" si="2"/>
        <v>0.0001047388511</v>
      </c>
    </row>
    <row r="181">
      <c r="A181" s="13">
        <v>45754.0</v>
      </c>
      <c r="B181" s="14" t="s">
        <v>24</v>
      </c>
      <c r="C181" s="15">
        <v>623.0</v>
      </c>
      <c r="D181" s="15">
        <v>414.0</v>
      </c>
      <c r="E181" s="15">
        <v>290354.0</v>
      </c>
      <c r="F181" s="15">
        <v>6.49</v>
      </c>
      <c r="G181" s="15">
        <v>39923.0</v>
      </c>
      <c r="H181" s="53">
        <f t="shared" si="1"/>
        <v>0.07198109893</v>
      </c>
      <c r="I181" s="29">
        <f t="shared" si="2"/>
        <v>0.0001625629336</v>
      </c>
    </row>
    <row r="182">
      <c r="A182" s="13">
        <v>45761.0</v>
      </c>
      <c r="B182" s="14" t="s">
        <v>27</v>
      </c>
      <c r="C182" s="15">
        <v>198.0</v>
      </c>
      <c r="D182" s="15">
        <v>358.0</v>
      </c>
      <c r="E182" s="15">
        <v>66682.0</v>
      </c>
      <c r="F182" s="15">
        <v>6.73</v>
      </c>
      <c r="G182" s="15">
        <v>2293.0</v>
      </c>
      <c r="H182" s="53">
        <f t="shared" si="1"/>
        <v>-0.2399448127</v>
      </c>
      <c r="I182" s="29">
        <f t="shared" si="2"/>
        <v>0.002935019625</v>
      </c>
    </row>
    <row r="183">
      <c r="A183" s="13">
        <v>45761.0</v>
      </c>
      <c r="B183" s="14" t="s">
        <v>33</v>
      </c>
      <c r="C183" s="15">
        <v>198.0</v>
      </c>
      <c r="D183" s="15">
        <v>373.0</v>
      </c>
      <c r="E183" s="15">
        <v>70707.0</v>
      </c>
      <c r="F183" s="15">
        <v>4.83</v>
      </c>
      <c r="G183" s="15">
        <v>25920.0</v>
      </c>
      <c r="H183" s="53">
        <f t="shared" si="1"/>
        <v>-0.2475002475</v>
      </c>
      <c r="I183" s="29">
        <f t="shared" si="2"/>
        <v>0.0001863425926</v>
      </c>
    </row>
    <row r="184">
      <c r="A184" s="13">
        <v>45761.0</v>
      </c>
      <c r="B184" s="14" t="s">
        <v>13</v>
      </c>
      <c r="C184" s="15">
        <v>353.0</v>
      </c>
      <c r="D184" s="15">
        <v>300.0</v>
      </c>
      <c r="E184" s="15">
        <v>142507.0</v>
      </c>
      <c r="F184" s="15">
        <v>5.3</v>
      </c>
      <c r="G184" s="15">
        <v>11035.0</v>
      </c>
      <c r="H184" s="53">
        <f t="shared" si="1"/>
        <v>0.03719115552</v>
      </c>
      <c r="I184" s="29">
        <f t="shared" si="2"/>
        <v>0.0004802899864</v>
      </c>
    </row>
    <row r="185">
      <c r="A185" s="13">
        <v>45761.0</v>
      </c>
      <c r="B185" s="14" t="s">
        <v>24</v>
      </c>
      <c r="C185" s="15">
        <v>520.0</v>
      </c>
      <c r="D185" s="15">
        <v>375.0</v>
      </c>
      <c r="E185" s="15">
        <v>369525.0</v>
      </c>
      <c r="F185" s="15">
        <v>6.54</v>
      </c>
      <c r="G185" s="15">
        <v>20733.0</v>
      </c>
      <c r="H185" s="53">
        <f t="shared" si="1"/>
        <v>0.03923956431</v>
      </c>
      <c r="I185" s="29">
        <f t="shared" si="2"/>
        <v>0.000315439155</v>
      </c>
    </row>
    <row r="186">
      <c r="A186" s="13">
        <v>45768.0</v>
      </c>
      <c r="B186" s="14" t="s">
        <v>27</v>
      </c>
      <c r="C186" s="15">
        <v>961.0</v>
      </c>
      <c r="D186" s="15">
        <v>358.0</v>
      </c>
      <c r="E186" s="15">
        <v>62942.0</v>
      </c>
      <c r="F186" s="15">
        <v>6.8</v>
      </c>
      <c r="G186" s="15">
        <v>18693.0</v>
      </c>
      <c r="H186" s="53">
        <f t="shared" si="1"/>
        <v>0.9580248483</v>
      </c>
      <c r="I186" s="29">
        <f t="shared" si="2"/>
        <v>0.0003637725352</v>
      </c>
    </row>
    <row r="187">
      <c r="A187" s="13">
        <v>45768.0</v>
      </c>
      <c r="B187" s="14" t="s">
        <v>33</v>
      </c>
      <c r="C187" s="15">
        <v>1375.0</v>
      </c>
      <c r="D187" s="15">
        <v>330.0</v>
      </c>
      <c r="E187" s="15">
        <v>377382.0</v>
      </c>
      <c r="F187" s="15">
        <v>2.6</v>
      </c>
      <c r="G187" s="15">
        <v>7875.0</v>
      </c>
      <c r="H187" s="53">
        <f t="shared" si="1"/>
        <v>0.2769077486</v>
      </c>
      <c r="I187" s="29">
        <f t="shared" si="2"/>
        <v>0.0003301587302</v>
      </c>
    </row>
    <row r="188">
      <c r="A188" s="13">
        <v>45768.0</v>
      </c>
      <c r="B188" s="14" t="s">
        <v>13</v>
      </c>
      <c r="C188" s="15">
        <v>1147.0</v>
      </c>
      <c r="D188" s="15">
        <v>388.0</v>
      </c>
      <c r="E188" s="15">
        <v>333851.0</v>
      </c>
      <c r="F188" s="15">
        <v>2.44</v>
      </c>
      <c r="G188" s="15">
        <v>8471.0</v>
      </c>
      <c r="H188" s="53">
        <f t="shared" si="1"/>
        <v>0.2273469302</v>
      </c>
      <c r="I188" s="29">
        <f t="shared" si="2"/>
        <v>0.0002880415535</v>
      </c>
    </row>
    <row r="189">
      <c r="A189" s="13">
        <v>45768.0</v>
      </c>
      <c r="B189" s="14" t="s">
        <v>24</v>
      </c>
      <c r="C189" s="15">
        <v>1707.0</v>
      </c>
      <c r="D189" s="15">
        <v>74.0</v>
      </c>
      <c r="E189" s="15">
        <v>270958.0</v>
      </c>
      <c r="F189" s="15">
        <v>3.09</v>
      </c>
      <c r="G189" s="15">
        <v>14090.0</v>
      </c>
      <c r="H189" s="53">
        <f t="shared" si="1"/>
        <v>0.6026764296</v>
      </c>
      <c r="I189" s="29">
        <f t="shared" si="2"/>
        <v>0.0002193044713</v>
      </c>
    </row>
    <row r="190">
      <c r="A190" s="13">
        <v>45775.0</v>
      </c>
      <c r="B190" s="14" t="s">
        <v>27</v>
      </c>
      <c r="C190" s="15">
        <v>1693.0</v>
      </c>
      <c r="D190" s="15">
        <v>154.0</v>
      </c>
      <c r="E190" s="15">
        <v>445944.0</v>
      </c>
      <c r="F190" s="15">
        <v>5.69</v>
      </c>
      <c r="G190" s="15">
        <v>14216.0</v>
      </c>
      <c r="H190" s="53">
        <f t="shared" si="1"/>
        <v>0.3451105968</v>
      </c>
      <c r="I190" s="29">
        <f t="shared" si="2"/>
        <v>0.0004002532358</v>
      </c>
    </row>
    <row r="191">
      <c r="A191" s="13">
        <v>45775.0</v>
      </c>
      <c r="B191" s="14" t="s">
        <v>33</v>
      </c>
      <c r="C191" s="15">
        <v>833.0</v>
      </c>
      <c r="D191" s="15">
        <v>380.0</v>
      </c>
      <c r="E191" s="15">
        <v>224830.0</v>
      </c>
      <c r="F191" s="15">
        <v>3.86</v>
      </c>
      <c r="G191" s="15">
        <v>3582.0</v>
      </c>
      <c r="H191" s="53">
        <f t="shared" si="1"/>
        <v>0.2014855669</v>
      </c>
      <c r="I191" s="29">
        <f t="shared" si="2"/>
        <v>0.001077610274</v>
      </c>
    </row>
    <row r="192">
      <c r="A192" s="13">
        <v>45775.0</v>
      </c>
      <c r="B192" s="14" t="s">
        <v>13</v>
      </c>
      <c r="C192" s="15">
        <v>1222.0</v>
      </c>
      <c r="D192" s="15">
        <v>274.0</v>
      </c>
      <c r="E192" s="15">
        <v>487289.0</v>
      </c>
      <c r="F192" s="15">
        <v>3.16</v>
      </c>
      <c r="G192" s="15">
        <v>32500.0</v>
      </c>
      <c r="H192" s="53">
        <f t="shared" si="1"/>
        <v>0.1945457418</v>
      </c>
      <c r="I192" s="29">
        <f t="shared" si="2"/>
        <v>0.00009723076923</v>
      </c>
    </row>
    <row r="193">
      <c r="A193" s="13">
        <v>45775.0</v>
      </c>
      <c r="B193" s="14" t="s">
        <v>24</v>
      </c>
      <c r="C193" s="15">
        <v>777.0</v>
      </c>
      <c r="D193" s="15">
        <v>140.0</v>
      </c>
      <c r="E193" s="15">
        <v>11435.0</v>
      </c>
      <c r="F193" s="15">
        <v>1.6</v>
      </c>
      <c r="G193" s="15">
        <v>6832.0</v>
      </c>
      <c r="H193" s="53">
        <f t="shared" si="1"/>
        <v>5.570616528</v>
      </c>
      <c r="I193" s="29">
        <f t="shared" si="2"/>
        <v>0.0002341920375</v>
      </c>
    </row>
    <row r="194">
      <c r="A194" s="13">
        <v>45782.0</v>
      </c>
      <c r="B194" s="14" t="s">
        <v>27</v>
      </c>
      <c r="C194" s="15">
        <v>1957.0</v>
      </c>
      <c r="D194" s="15">
        <v>76.0</v>
      </c>
      <c r="E194" s="15">
        <v>447902.0</v>
      </c>
      <c r="F194" s="15">
        <v>6.09</v>
      </c>
      <c r="G194" s="15">
        <v>33381.0</v>
      </c>
      <c r="H194" s="53">
        <f t="shared" si="1"/>
        <v>0.4199579372</v>
      </c>
      <c r="I194" s="29">
        <f t="shared" si="2"/>
        <v>0.0001824391121</v>
      </c>
    </row>
    <row r="195">
      <c r="A195" s="13">
        <v>45782.0</v>
      </c>
      <c r="B195" s="14" t="s">
        <v>33</v>
      </c>
      <c r="C195" s="15">
        <v>405.0</v>
      </c>
      <c r="D195" s="15">
        <v>66.0</v>
      </c>
      <c r="E195" s="15">
        <v>418696.0</v>
      </c>
      <c r="F195" s="15">
        <v>5.59</v>
      </c>
      <c r="G195" s="15">
        <v>48419.0</v>
      </c>
      <c r="H195" s="53">
        <f t="shared" si="1"/>
        <v>0.08096566483</v>
      </c>
      <c r="I195" s="29">
        <f t="shared" si="2"/>
        <v>0.0001154505463</v>
      </c>
    </row>
    <row r="196">
      <c r="A196" s="13">
        <v>45782.0</v>
      </c>
      <c r="B196" s="14" t="s">
        <v>13</v>
      </c>
      <c r="C196" s="15">
        <v>1581.0</v>
      </c>
      <c r="D196" s="15">
        <v>71.0</v>
      </c>
      <c r="E196" s="15">
        <v>484364.0</v>
      </c>
      <c r="F196" s="15">
        <v>3.55</v>
      </c>
      <c r="G196" s="15">
        <v>16149.0</v>
      </c>
      <c r="H196" s="53">
        <f t="shared" si="1"/>
        <v>0.3117490152</v>
      </c>
      <c r="I196" s="29">
        <f t="shared" si="2"/>
        <v>0.0002198278531</v>
      </c>
    </row>
    <row r="197">
      <c r="A197" s="13">
        <v>45782.0</v>
      </c>
      <c r="B197" s="14" t="s">
        <v>24</v>
      </c>
      <c r="C197" s="15">
        <v>1035.0</v>
      </c>
      <c r="D197" s="15">
        <v>171.0</v>
      </c>
      <c r="E197" s="15">
        <v>148477.0</v>
      </c>
      <c r="F197" s="15">
        <v>5.21</v>
      </c>
      <c r="G197" s="15">
        <v>7541.0</v>
      </c>
      <c r="H197" s="53">
        <f t="shared" si="1"/>
        <v>0.581908309</v>
      </c>
      <c r="I197" s="29">
        <f t="shared" si="2"/>
        <v>0.0006908898024</v>
      </c>
    </row>
    <row r="198">
      <c r="A198" s="13">
        <v>45789.0</v>
      </c>
      <c r="B198" s="14" t="s">
        <v>27</v>
      </c>
      <c r="C198" s="15">
        <v>1765.0</v>
      </c>
      <c r="D198" s="15">
        <v>109.0</v>
      </c>
      <c r="E198" s="15">
        <v>468301.0</v>
      </c>
      <c r="F198" s="15">
        <v>1.82</v>
      </c>
      <c r="G198" s="15">
        <v>20042.0</v>
      </c>
      <c r="H198" s="53">
        <f t="shared" si="1"/>
        <v>0.3536187196</v>
      </c>
      <c r="I198" s="29">
        <f t="shared" si="2"/>
        <v>0.00009080930047</v>
      </c>
    </row>
    <row r="199">
      <c r="A199" s="13">
        <v>45789.0</v>
      </c>
      <c r="B199" s="14" t="s">
        <v>33</v>
      </c>
      <c r="C199" s="15">
        <v>837.0</v>
      </c>
      <c r="D199" s="15">
        <v>430.0</v>
      </c>
      <c r="E199" s="15">
        <v>364820.0</v>
      </c>
      <c r="F199" s="15">
        <v>4.0</v>
      </c>
      <c r="G199" s="15">
        <v>49400.0</v>
      </c>
      <c r="H199" s="53">
        <f t="shared" si="1"/>
        <v>0.1115618661</v>
      </c>
      <c r="I199" s="29">
        <f t="shared" si="2"/>
        <v>0.00008097165992</v>
      </c>
    </row>
    <row r="200">
      <c r="A200" s="13">
        <v>45789.0</v>
      </c>
      <c r="B200" s="14" t="s">
        <v>13</v>
      </c>
      <c r="C200" s="15">
        <v>337.0</v>
      </c>
      <c r="D200" s="15">
        <v>68.0</v>
      </c>
      <c r="E200" s="15">
        <v>456298.0</v>
      </c>
      <c r="F200" s="15">
        <v>7.57</v>
      </c>
      <c r="G200" s="15">
        <v>4007.0</v>
      </c>
      <c r="H200" s="53">
        <f t="shared" si="1"/>
        <v>0.05895270196</v>
      </c>
      <c r="I200" s="29">
        <f t="shared" si="2"/>
        <v>0.001889193911</v>
      </c>
    </row>
    <row r="201">
      <c r="A201" s="13">
        <v>45789.0</v>
      </c>
      <c r="B201" s="14" t="s">
        <v>24</v>
      </c>
      <c r="C201" s="15">
        <v>119.0</v>
      </c>
      <c r="D201" s="15">
        <v>456.0</v>
      </c>
      <c r="E201" s="15">
        <v>82558.0</v>
      </c>
      <c r="F201" s="15">
        <v>6.81</v>
      </c>
      <c r="G201" s="15">
        <v>12174.0</v>
      </c>
      <c r="H201" s="53">
        <f t="shared" si="1"/>
        <v>-0.408197873</v>
      </c>
      <c r="I201" s="29">
        <f t="shared" si="2"/>
        <v>0.0005593888615</v>
      </c>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3.88"/>
    <col customWidth="1" min="3" max="3" width="32.38"/>
  </cols>
  <sheetData>
    <row r="1">
      <c r="A1" s="55" t="s">
        <v>1</v>
      </c>
      <c r="B1" s="56" t="s">
        <v>397</v>
      </c>
      <c r="C1" s="57" t="s">
        <v>398</v>
      </c>
    </row>
    <row r="2">
      <c r="A2" s="42"/>
      <c r="B2" s="58"/>
      <c r="C2" s="58"/>
    </row>
    <row r="3">
      <c r="A3" s="42" t="s">
        <v>33</v>
      </c>
      <c r="B3" s="45">
        <v>0.5464990683297263</v>
      </c>
      <c r="C3" s="45">
        <v>3.089951786573533E-4</v>
      </c>
    </row>
    <row r="4">
      <c r="A4" s="42" t="s">
        <v>27</v>
      </c>
      <c r="B4" s="45">
        <v>0.5762532126495181</v>
      </c>
      <c r="C4" s="45">
        <v>5.320300412066525E-4</v>
      </c>
    </row>
    <row r="5">
      <c r="A5" s="42" t="s">
        <v>13</v>
      </c>
      <c r="B5" s="45">
        <v>0.9280025676621338</v>
      </c>
      <c r="C5" s="45">
        <v>4.4517295851588204E-4</v>
      </c>
    </row>
    <row r="6">
      <c r="A6" s="42" t="s">
        <v>24</v>
      </c>
      <c r="B6" s="45">
        <v>0.9021066631336007</v>
      </c>
      <c r="C6" s="45">
        <v>3.278738023167919E-4</v>
      </c>
    </row>
    <row r="7">
      <c r="A7" s="38" t="s">
        <v>387</v>
      </c>
      <c r="B7" s="46">
        <v>0.7382153779437454</v>
      </c>
      <c r="C7" s="46">
        <v>4.035179951741702E-4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0"/>
    <col customWidth="1" min="5" max="5" width="14.63"/>
    <col customWidth="1" min="7" max="7" width="64.0"/>
    <col customWidth="1" min="8" max="8" width="31.88"/>
    <col customWidth="1" min="10" max="10" width="15.25"/>
  </cols>
  <sheetData>
    <row r="1">
      <c r="A1" s="59" t="s">
        <v>399</v>
      </c>
      <c r="B1" s="59" t="s">
        <v>1</v>
      </c>
      <c r="C1" s="59" t="s">
        <v>400</v>
      </c>
      <c r="D1" s="25"/>
      <c r="E1" s="25" t="s">
        <v>1</v>
      </c>
      <c r="F1" s="25" t="s">
        <v>401</v>
      </c>
      <c r="I1" s="25"/>
      <c r="J1" s="25"/>
    </row>
    <row r="2">
      <c r="A2" s="28" t="s">
        <v>365</v>
      </c>
      <c r="B2" s="28" t="s">
        <v>27</v>
      </c>
      <c r="C2" s="29">
        <v>75000.0</v>
      </c>
      <c r="D2" s="28"/>
      <c r="E2" s="28" t="s">
        <v>27</v>
      </c>
      <c r="F2" s="29">
        <f t="shared" ref="F2:F5" si="1">SUMIF(B$2:B$10, E2, C$2:C$10)
</f>
        <v>285000</v>
      </c>
      <c r="I2" s="28"/>
      <c r="J2" s="60"/>
    </row>
    <row r="3">
      <c r="A3" s="28" t="s">
        <v>365</v>
      </c>
      <c r="B3" s="28" t="s">
        <v>33</v>
      </c>
      <c r="C3" s="29">
        <v>75000.0</v>
      </c>
      <c r="D3" s="28"/>
      <c r="E3" s="28" t="s">
        <v>33</v>
      </c>
      <c r="F3" s="29">
        <f t="shared" si="1"/>
        <v>135000</v>
      </c>
      <c r="I3" s="28"/>
      <c r="J3" s="60"/>
    </row>
    <row r="4">
      <c r="A4" s="28" t="s">
        <v>368</v>
      </c>
      <c r="B4" s="28" t="s">
        <v>27</v>
      </c>
      <c r="C4" s="29">
        <v>100000.0</v>
      </c>
      <c r="D4" s="28"/>
      <c r="E4" s="28" t="s">
        <v>13</v>
      </c>
      <c r="F4" s="29">
        <f t="shared" si="1"/>
        <v>110000</v>
      </c>
      <c r="I4" s="28"/>
      <c r="J4" s="60"/>
    </row>
    <row r="5">
      <c r="A5" s="28" t="s">
        <v>368</v>
      </c>
      <c r="B5" s="28" t="s">
        <v>24</v>
      </c>
      <c r="C5" s="29">
        <v>100000.0</v>
      </c>
      <c r="D5" s="28"/>
      <c r="E5" s="28" t="s">
        <v>24</v>
      </c>
      <c r="F5" s="29">
        <f t="shared" si="1"/>
        <v>100000</v>
      </c>
      <c r="I5" s="28"/>
      <c r="J5" s="60"/>
    </row>
    <row r="6">
      <c r="A6" s="28" t="s">
        <v>372</v>
      </c>
      <c r="B6" s="28" t="s">
        <v>27</v>
      </c>
      <c r="C6" s="29">
        <v>60000.0</v>
      </c>
    </row>
    <row r="7">
      <c r="A7" s="28" t="s">
        <v>372</v>
      </c>
      <c r="B7" s="28" t="s">
        <v>33</v>
      </c>
      <c r="C7" s="29">
        <v>60000.0</v>
      </c>
    </row>
    <row r="8">
      <c r="A8" s="28" t="s">
        <v>372</v>
      </c>
      <c r="B8" s="28" t="s">
        <v>13</v>
      </c>
      <c r="C8" s="29">
        <v>60000.0</v>
      </c>
    </row>
    <row r="9">
      <c r="A9" s="28" t="s">
        <v>375</v>
      </c>
      <c r="B9" s="28" t="s">
        <v>27</v>
      </c>
      <c r="C9" s="29">
        <v>50000.0</v>
      </c>
    </row>
    <row r="10">
      <c r="A10" s="28" t="s">
        <v>375</v>
      </c>
      <c r="B10" s="28" t="s">
        <v>13</v>
      </c>
      <c r="C10" s="29">
        <v>50000.0</v>
      </c>
    </row>
    <row r="13">
      <c r="A13" s="25"/>
      <c r="B13" s="25"/>
    </row>
    <row r="14">
      <c r="A14" s="25"/>
      <c r="B14" s="25"/>
    </row>
    <row r="15">
      <c r="A15" s="28"/>
      <c r="B15" s="60"/>
    </row>
    <row r="16">
      <c r="A16" s="28"/>
      <c r="B16" s="60"/>
    </row>
    <row r="17">
      <c r="A17" s="28"/>
      <c r="B17" s="60"/>
    </row>
    <row r="18">
      <c r="A18" s="28"/>
      <c r="B18" s="60"/>
    </row>
    <row r="20">
      <c r="H20" s="28"/>
    </row>
    <row r="21">
      <c r="E21" s="28"/>
      <c r="H21" s="28"/>
    </row>
    <row r="22">
      <c r="E22" s="51"/>
      <c r="H22" s="28"/>
    </row>
    <row r="23">
      <c r="H23" s="28"/>
    </row>
    <row r="24">
      <c r="H24" s="28"/>
    </row>
    <row r="25">
      <c r="H25" s="28"/>
    </row>
    <row r="26">
      <c r="H26" s="28"/>
    </row>
    <row r="27">
      <c r="H27" s="28"/>
    </row>
    <row r="28">
      <c r="H28" s="28"/>
    </row>
    <row r="29">
      <c r="H29" s="28"/>
    </row>
    <row r="30">
      <c r="H30" s="28"/>
    </row>
    <row r="31">
      <c r="H31" s="28"/>
    </row>
    <row r="32">
      <c r="H32" s="28"/>
    </row>
    <row r="33">
      <c r="H33" s="28"/>
    </row>
    <row r="34">
      <c r="H34" s="28"/>
    </row>
    <row r="35">
      <c r="G35" s="28"/>
      <c r="H35" s="28"/>
    </row>
    <row r="36">
      <c r="G36" s="51" t="s">
        <v>402</v>
      </c>
      <c r="H36" s="28"/>
    </row>
    <row r="37">
      <c r="H37" s="28"/>
    </row>
    <row r="38">
      <c r="H38" s="28"/>
    </row>
    <row r="39">
      <c r="H39" s="28"/>
    </row>
    <row r="40">
      <c r="H40" s="28"/>
    </row>
    <row r="41">
      <c r="H41" s="28"/>
    </row>
    <row r="42">
      <c r="H42" s="28"/>
    </row>
    <row r="43">
      <c r="H43" s="51"/>
    </row>
    <row r="44">
      <c r="H44" s="28"/>
    </row>
    <row r="45">
      <c r="H45" s="2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3.5"/>
    <col customWidth="1" min="16" max="16" width="19.75"/>
  </cols>
  <sheetData>
    <row r="1">
      <c r="A1" s="1" t="s">
        <v>403</v>
      </c>
      <c r="B1" s="2" t="s">
        <v>1</v>
      </c>
      <c r="C1" s="3" t="s">
        <v>2</v>
      </c>
      <c r="D1" s="2" t="s">
        <v>3</v>
      </c>
      <c r="E1" s="2" t="s">
        <v>4</v>
      </c>
      <c r="F1" s="1" t="s">
        <v>5</v>
      </c>
      <c r="G1" s="1" t="s">
        <v>6</v>
      </c>
      <c r="H1" s="2" t="s">
        <v>7</v>
      </c>
      <c r="I1" s="2" t="s">
        <v>8</v>
      </c>
      <c r="J1" s="1" t="s">
        <v>9</v>
      </c>
      <c r="K1" s="1" t="s">
        <v>10</v>
      </c>
      <c r="L1" s="11" t="s">
        <v>11</v>
      </c>
      <c r="M1" s="17"/>
      <c r="N1" s="17"/>
      <c r="O1" s="61" t="s">
        <v>404</v>
      </c>
      <c r="P1" s="25" t="s">
        <v>405</v>
      </c>
    </row>
    <row r="2">
      <c r="A2" s="10" t="s">
        <v>12</v>
      </c>
      <c r="B2" s="10" t="s">
        <v>13</v>
      </c>
      <c r="C2" s="26">
        <v>45649.0</v>
      </c>
      <c r="D2" s="10" t="s">
        <v>14</v>
      </c>
      <c r="E2" s="10" t="s">
        <v>15</v>
      </c>
      <c r="F2" s="27">
        <v>1461.0</v>
      </c>
      <c r="G2" s="27">
        <v>184.0</v>
      </c>
      <c r="H2" s="27">
        <v>344.0</v>
      </c>
      <c r="I2" s="27">
        <v>21915.0</v>
      </c>
      <c r="J2" s="27">
        <v>21675.0</v>
      </c>
      <c r="K2" s="27">
        <v>15.0</v>
      </c>
      <c r="L2" s="28" t="s">
        <v>16</v>
      </c>
      <c r="M2" s="28" t="s">
        <v>17</v>
      </c>
      <c r="N2" s="10"/>
      <c r="O2" s="28" t="str">
        <f t="shared" ref="O2:O301" si="1">L2&amp;M2&amp;N2</f>
        <v>#LiveForNow#AnytimeIsPepsiTime</v>
      </c>
      <c r="P2" s="27">
        <f t="shared" ref="P2:P301" si="2">F2 + H2</f>
        <v>1805</v>
      </c>
    </row>
    <row r="3">
      <c r="A3" s="10" t="s">
        <v>18</v>
      </c>
      <c r="B3" s="10" t="s">
        <v>13</v>
      </c>
      <c r="C3" s="26">
        <v>45750.0</v>
      </c>
      <c r="D3" s="10" t="s">
        <v>19</v>
      </c>
      <c r="E3" s="10" t="s">
        <v>20</v>
      </c>
      <c r="F3" s="27">
        <v>4054.0</v>
      </c>
      <c r="G3" s="27">
        <v>389.0</v>
      </c>
      <c r="H3" s="27">
        <v>493.0</v>
      </c>
      <c r="I3" s="27">
        <v>64864.0</v>
      </c>
      <c r="J3" s="27">
        <v>64383.0</v>
      </c>
      <c r="K3" s="27">
        <v>117.0</v>
      </c>
      <c r="L3" s="28" t="s">
        <v>21</v>
      </c>
      <c r="M3" s="28" t="s">
        <v>22</v>
      </c>
      <c r="N3" s="10"/>
      <c r="O3" s="28" t="str">
        <f t="shared" si="1"/>
        <v>#PepsiCoRefresh#BetterWithPepsi</v>
      </c>
      <c r="P3" s="27">
        <f t="shared" si="2"/>
        <v>4547</v>
      </c>
    </row>
    <row r="4">
      <c r="A4" s="10" t="s">
        <v>23</v>
      </c>
      <c r="B4" s="10" t="s">
        <v>24</v>
      </c>
      <c r="C4" s="26">
        <v>45789.0</v>
      </c>
      <c r="D4" s="10" t="s">
        <v>14</v>
      </c>
      <c r="E4" s="10" t="s">
        <v>25</v>
      </c>
      <c r="F4" s="27">
        <v>2795.0</v>
      </c>
      <c r="G4" s="27">
        <v>105.0</v>
      </c>
      <c r="H4" s="27">
        <v>49.0</v>
      </c>
      <c r="I4" s="27">
        <v>53105.0</v>
      </c>
      <c r="J4" s="27">
        <v>52307.0</v>
      </c>
      <c r="K4" s="27">
        <v>204.0</v>
      </c>
      <c r="L4" s="28" t="s">
        <v>21</v>
      </c>
      <c r="M4" s="10"/>
      <c r="N4" s="10"/>
      <c r="O4" s="28" t="str">
        <f t="shared" si="1"/>
        <v>#PepsiCoRefresh</v>
      </c>
      <c r="P4" s="27">
        <f t="shared" si="2"/>
        <v>2844</v>
      </c>
    </row>
    <row r="5">
      <c r="A5" s="10" t="s">
        <v>26</v>
      </c>
      <c r="B5" s="10" t="s">
        <v>27</v>
      </c>
      <c r="C5" s="26">
        <v>45516.0</v>
      </c>
      <c r="D5" s="10" t="s">
        <v>28</v>
      </c>
      <c r="E5" s="10" t="s">
        <v>29</v>
      </c>
      <c r="F5" s="27">
        <v>2404.0</v>
      </c>
      <c r="G5" s="27">
        <v>363.0</v>
      </c>
      <c r="H5" s="27">
        <v>138.0</v>
      </c>
      <c r="I5" s="27">
        <v>19232.0</v>
      </c>
      <c r="J5" s="27">
        <v>18636.0</v>
      </c>
      <c r="K5" s="27">
        <v>128.0</v>
      </c>
      <c r="L5" s="28" t="s">
        <v>30</v>
      </c>
      <c r="M5" s="10"/>
      <c r="N5" s="10"/>
      <c r="O5" s="28" t="str">
        <f t="shared" si="1"/>
        <v>#ThirstyForMore</v>
      </c>
      <c r="P5" s="27">
        <f t="shared" si="2"/>
        <v>2542</v>
      </c>
    </row>
    <row r="6">
      <c r="A6" s="10" t="s">
        <v>31</v>
      </c>
      <c r="B6" s="10" t="s">
        <v>24</v>
      </c>
      <c r="C6" s="26">
        <v>45469.0</v>
      </c>
      <c r="D6" s="10" t="s">
        <v>14</v>
      </c>
      <c r="E6" s="10" t="s">
        <v>25</v>
      </c>
      <c r="F6" s="27">
        <v>3557.0</v>
      </c>
      <c r="G6" s="27">
        <v>687.0</v>
      </c>
      <c r="H6" s="27">
        <v>424.0</v>
      </c>
      <c r="I6" s="27">
        <v>71140.0</v>
      </c>
      <c r="J6" s="27">
        <v>70701.0</v>
      </c>
      <c r="K6" s="27">
        <v>224.0</v>
      </c>
      <c r="L6" s="28" t="s">
        <v>30</v>
      </c>
      <c r="M6" s="28" t="s">
        <v>21</v>
      </c>
      <c r="N6" s="10"/>
      <c r="O6" s="28" t="str">
        <f t="shared" si="1"/>
        <v>#ThirstyForMore#PepsiCoRefresh</v>
      </c>
      <c r="P6" s="27">
        <f t="shared" si="2"/>
        <v>3981</v>
      </c>
    </row>
    <row r="7">
      <c r="A7" s="10" t="s">
        <v>32</v>
      </c>
      <c r="B7" s="10" t="s">
        <v>33</v>
      </c>
      <c r="C7" s="26">
        <v>45596.0</v>
      </c>
      <c r="D7" s="10" t="s">
        <v>34</v>
      </c>
      <c r="E7" s="10" t="s">
        <v>35</v>
      </c>
      <c r="F7" s="27">
        <v>2945.0</v>
      </c>
      <c r="G7" s="27">
        <v>930.0</v>
      </c>
      <c r="H7" s="27">
        <v>355.0</v>
      </c>
      <c r="I7" s="27">
        <v>23560.0</v>
      </c>
      <c r="J7" s="27">
        <v>23275.0</v>
      </c>
      <c r="K7" s="27">
        <v>256.0</v>
      </c>
      <c r="L7" s="28" t="s">
        <v>21</v>
      </c>
      <c r="M7" s="10"/>
      <c r="N7" s="10"/>
      <c r="O7" s="28" t="str">
        <f t="shared" si="1"/>
        <v>#PepsiCoRefresh</v>
      </c>
      <c r="P7" s="27">
        <f t="shared" si="2"/>
        <v>3300</v>
      </c>
    </row>
    <row r="8">
      <c r="A8" s="10" t="s">
        <v>36</v>
      </c>
      <c r="B8" s="10" t="s">
        <v>13</v>
      </c>
      <c r="C8" s="26">
        <v>45467.0</v>
      </c>
      <c r="D8" s="10" t="s">
        <v>34</v>
      </c>
      <c r="E8" s="10" t="s">
        <v>37</v>
      </c>
      <c r="F8" s="27">
        <v>3860.0</v>
      </c>
      <c r="G8" s="27">
        <v>201.0</v>
      </c>
      <c r="H8" s="27">
        <v>279.0</v>
      </c>
      <c r="I8" s="27">
        <v>61760.0</v>
      </c>
      <c r="J8" s="27">
        <v>61660.0</v>
      </c>
      <c r="K8" s="27">
        <v>235.0</v>
      </c>
      <c r="L8" s="28" t="s">
        <v>21</v>
      </c>
      <c r="M8" s="10"/>
      <c r="N8" s="10"/>
      <c r="O8" s="28" t="str">
        <f t="shared" si="1"/>
        <v>#PepsiCoRefresh</v>
      </c>
      <c r="P8" s="27">
        <f t="shared" si="2"/>
        <v>4139</v>
      </c>
    </row>
    <row r="9">
      <c r="A9" s="10" t="s">
        <v>38</v>
      </c>
      <c r="B9" s="10" t="s">
        <v>24</v>
      </c>
      <c r="C9" s="26">
        <v>45486.0</v>
      </c>
      <c r="D9" s="10" t="s">
        <v>39</v>
      </c>
      <c r="E9" s="10" t="s">
        <v>40</v>
      </c>
      <c r="F9" s="27">
        <v>3929.0</v>
      </c>
      <c r="G9" s="27">
        <v>262.0</v>
      </c>
      <c r="H9" s="27">
        <v>278.0</v>
      </c>
      <c r="I9" s="27">
        <v>43219.0</v>
      </c>
      <c r="J9" s="27">
        <v>42841.0</v>
      </c>
      <c r="K9" s="27">
        <v>39.0</v>
      </c>
      <c r="L9" s="28" t="s">
        <v>30</v>
      </c>
      <c r="M9" s="10"/>
      <c r="N9" s="10"/>
      <c r="O9" s="28" t="str">
        <f t="shared" si="1"/>
        <v>#ThirstyForMore</v>
      </c>
      <c r="P9" s="27">
        <f t="shared" si="2"/>
        <v>4207</v>
      </c>
    </row>
    <row r="10">
      <c r="A10" s="10" t="s">
        <v>41</v>
      </c>
      <c r="B10" s="10" t="s">
        <v>33</v>
      </c>
      <c r="C10" s="26">
        <v>45534.0</v>
      </c>
      <c r="D10" s="10" t="s">
        <v>19</v>
      </c>
      <c r="E10" s="10" t="s">
        <v>42</v>
      </c>
      <c r="F10" s="27">
        <v>3784.0</v>
      </c>
      <c r="G10" s="27">
        <v>808.0</v>
      </c>
      <c r="H10" s="27">
        <v>404.0</v>
      </c>
      <c r="I10" s="27">
        <v>56760.0</v>
      </c>
      <c r="J10" s="27">
        <v>56343.0</v>
      </c>
      <c r="K10" s="27">
        <v>131.0</v>
      </c>
      <c r="L10" s="28" t="s">
        <v>21</v>
      </c>
      <c r="M10" s="10"/>
      <c r="N10" s="10"/>
      <c r="O10" s="28" t="str">
        <f t="shared" si="1"/>
        <v>#PepsiCoRefresh</v>
      </c>
      <c r="P10" s="27">
        <f t="shared" si="2"/>
        <v>4188</v>
      </c>
    </row>
    <row r="11">
      <c r="A11" s="10" t="s">
        <v>43</v>
      </c>
      <c r="B11" s="10" t="s">
        <v>33</v>
      </c>
      <c r="C11" s="26">
        <v>45727.0</v>
      </c>
      <c r="D11" s="10" t="s">
        <v>39</v>
      </c>
      <c r="E11" s="10" t="s">
        <v>44</v>
      </c>
      <c r="F11" s="27">
        <v>4241.0</v>
      </c>
      <c r="G11" s="27">
        <v>902.0</v>
      </c>
      <c r="H11" s="27">
        <v>47.0</v>
      </c>
      <c r="I11" s="27">
        <v>72097.0</v>
      </c>
      <c r="J11" s="27">
        <v>71598.0</v>
      </c>
      <c r="K11" s="27">
        <v>167.0</v>
      </c>
      <c r="L11" s="28" t="s">
        <v>21</v>
      </c>
      <c r="M11" s="10"/>
      <c r="N11" s="10"/>
      <c r="O11" s="28" t="str">
        <f t="shared" si="1"/>
        <v>#PepsiCoRefresh</v>
      </c>
      <c r="P11" s="27">
        <f t="shared" si="2"/>
        <v>4288</v>
      </c>
    </row>
    <row r="12">
      <c r="A12" s="10" t="s">
        <v>45</v>
      </c>
      <c r="B12" s="10" t="s">
        <v>27</v>
      </c>
      <c r="C12" s="26">
        <v>45690.0</v>
      </c>
      <c r="D12" s="10" t="s">
        <v>28</v>
      </c>
      <c r="E12" s="10" t="s">
        <v>29</v>
      </c>
      <c r="F12" s="27">
        <v>1792.0</v>
      </c>
      <c r="G12" s="27">
        <v>614.0</v>
      </c>
      <c r="H12" s="27">
        <v>497.0</v>
      </c>
      <c r="I12" s="27">
        <v>25088.0</v>
      </c>
      <c r="J12" s="27">
        <v>24675.0</v>
      </c>
      <c r="K12" s="27">
        <v>65.0</v>
      </c>
      <c r="L12" s="28" t="s">
        <v>16</v>
      </c>
      <c r="M12" s="10"/>
      <c r="N12" s="10"/>
      <c r="O12" s="28" t="str">
        <f t="shared" si="1"/>
        <v>#LiveForNow</v>
      </c>
      <c r="P12" s="27">
        <f t="shared" si="2"/>
        <v>2289</v>
      </c>
    </row>
    <row r="13">
      <c r="A13" s="10" t="s">
        <v>46</v>
      </c>
      <c r="B13" s="10" t="s">
        <v>33</v>
      </c>
      <c r="C13" s="26">
        <v>45494.0</v>
      </c>
      <c r="D13" s="10" t="s">
        <v>14</v>
      </c>
      <c r="E13" s="10" t="s">
        <v>47</v>
      </c>
      <c r="F13" s="27">
        <v>1946.0</v>
      </c>
      <c r="G13" s="27">
        <v>686.0</v>
      </c>
      <c r="H13" s="27">
        <v>377.0</v>
      </c>
      <c r="I13" s="27">
        <v>23352.0</v>
      </c>
      <c r="J13" s="27">
        <v>22982.0</v>
      </c>
      <c r="K13" s="27">
        <v>213.0</v>
      </c>
      <c r="L13" s="28" t="s">
        <v>16</v>
      </c>
      <c r="M13" s="10"/>
      <c r="N13" s="10"/>
      <c r="O13" s="28" t="str">
        <f t="shared" si="1"/>
        <v>#LiveForNow</v>
      </c>
      <c r="P13" s="27">
        <f t="shared" si="2"/>
        <v>2323</v>
      </c>
    </row>
    <row r="14">
      <c r="A14" s="10" t="s">
        <v>48</v>
      </c>
      <c r="B14" s="10" t="s">
        <v>24</v>
      </c>
      <c r="C14" s="26">
        <v>45614.0</v>
      </c>
      <c r="D14" s="10" t="s">
        <v>34</v>
      </c>
      <c r="E14" s="10" t="s">
        <v>49</v>
      </c>
      <c r="F14" s="27">
        <v>1171.0</v>
      </c>
      <c r="G14" s="27">
        <v>286.0</v>
      </c>
      <c r="H14" s="27">
        <v>231.0</v>
      </c>
      <c r="I14" s="27">
        <v>22249.0</v>
      </c>
      <c r="J14" s="27">
        <v>21282.0</v>
      </c>
      <c r="K14" s="27">
        <v>114.0</v>
      </c>
      <c r="L14" s="28" t="s">
        <v>30</v>
      </c>
      <c r="M14" s="10"/>
      <c r="N14" s="10"/>
      <c r="O14" s="28" t="str">
        <f t="shared" si="1"/>
        <v>#ThirstyForMore</v>
      </c>
      <c r="P14" s="27">
        <f t="shared" si="2"/>
        <v>1402</v>
      </c>
    </row>
    <row r="15">
      <c r="A15" s="10" t="s">
        <v>50</v>
      </c>
      <c r="B15" s="10" t="s">
        <v>33</v>
      </c>
      <c r="C15" s="26">
        <v>45704.0</v>
      </c>
      <c r="D15" s="10" t="s">
        <v>28</v>
      </c>
      <c r="E15" s="10" t="s">
        <v>51</v>
      </c>
      <c r="F15" s="27">
        <v>4242.0</v>
      </c>
      <c r="G15" s="27">
        <v>555.0</v>
      </c>
      <c r="H15" s="27">
        <v>131.0</v>
      </c>
      <c r="I15" s="27">
        <v>33936.0</v>
      </c>
      <c r="J15" s="27">
        <v>33802.0</v>
      </c>
      <c r="K15" s="27">
        <v>265.0</v>
      </c>
      <c r="L15" s="28" t="s">
        <v>16</v>
      </c>
      <c r="M15" s="10"/>
      <c r="N15" s="10"/>
      <c r="O15" s="28" t="str">
        <f t="shared" si="1"/>
        <v>#LiveForNow</v>
      </c>
      <c r="P15" s="27">
        <f t="shared" si="2"/>
        <v>4373</v>
      </c>
    </row>
    <row r="16">
      <c r="A16" s="10" t="s">
        <v>52</v>
      </c>
      <c r="B16" s="10" t="s">
        <v>33</v>
      </c>
      <c r="C16" s="26">
        <v>45589.0</v>
      </c>
      <c r="D16" s="10" t="s">
        <v>53</v>
      </c>
      <c r="E16" s="10" t="s">
        <v>54</v>
      </c>
      <c r="F16" s="27">
        <v>3888.0</v>
      </c>
      <c r="G16" s="27">
        <v>604.0</v>
      </c>
      <c r="H16" s="27">
        <v>128.0</v>
      </c>
      <c r="I16" s="27">
        <v>77760.0</v>
      </c>
      <c r="J16" s="27">
        <v>77167.0</v>
      </c>
      <c r="K16" s="27">
        <v>20.0</v>
      </c>
      <c r="L16" s="28" t="s">
        <v>16</v>
      </c>
      <c r="M16" s="10"/>
      <c r="N16" s="10"/>
      <c r="O16" s="28" t="str">
        <f t="shared" si="1"/>
        <v>#LiveForNow</v>
      </c>
      <c r="P16" s="27">
        <f t="shared" si="2"/>
        <v>4016</v>
      </c>
    </row>
    <row r="17">
      <c r="A17" s="10" t="s">
        <v>55</v>
      </c>
      <c r="B17" s="10" t="s">
        <v>33</v>
      </c>
      <c r="C17" s="26">
        <v>45530.0</v>
      </c>
      <c r="D17" s="10" t="s">
        <v>19</v>
      </c>
      <c r="E17" s="10" t="s">
        <v>42</v>
      </c>
      <c r="F17" s="27">
        <v>3452.0</v>
      </c>
      <c r="G17" s="27">
        <v>377.0</v>
      </c>
      <c r="H17" s="27">
        <v>360.0</v>
      </c>
      <c r="I17" s="27">
        <v>55232.0</v>
      </c>
      <c r="J17" s="27">
        <v>55075.0</v>
      </c>
      <c r="K17" s="27">
        <v>87.0</v>
      </c>
      <c r="L17" s="28" t="s">
        <v>16</v>
      </c>
      <c r="M17" s="10"/>
      <c r="N17" s="10"/>
      <c r="O17" s="28" t="str">
        <f t="shared" si="1"/>
        <v>#LiveForNow</v>
      </c>
      <c r="P17" s="27">
        <f t="shared" si="2"/>
        <v>3812</v>
      </c>
    </row>
    <row r="18">
      <c r="A18" s="10" t="s">
        <v>56</v>
      </c>
      <c r="B18" s="10" t="s">
        <v>33</v>
      </c>
      <c r="C18" s="26">
        <v>45782.0</v>
      </c>
      <c r="D18" s="10" t="s">
        <v>19</v>
      </c>
      <c r="E18" s="10" t="s">
        <v>42</v>
      </c>
      <c r="F18" s="27">
        <v>4441.0</v>
      </c>
      <c r="G18" s="27">
        <v>511.0</v>
      </c>
      <c r="H18" s="27">
        <v>70.0</v>
      </c>
      <c r="I18" s="27">
        <v>53292.0</v>
      </c>
      <c r="J18" s="27">
        <v>53082.0</v>
      </c>
      <c r="K18" s="27">
        <v>159.0</v>
      </c>
      <c r="L18" s="28" t="s">
        <v>30</v>
      </c>
      <c r="M18" s="10"/>
      <c r="N18" s="10"/>
      <c r="O18" s="28" t="str">
        <f t="shared" si="1"/>
        <v>#ThirstyForMore</v>
      </c>
      <c r="P18" s="27">
        <f t="shared" si="2"/>
        <v>4511</v>
      </c>
    </row>
    <row r="19">
      <c r="A19" s="10" t="s">
        <v>57</v>
      </c>
      <c r="B19" s="10" t="s">
        <v>27</v>
      </c>
      <c r="C19" s="26">
        <v>45523.0</v>
      </c>
      <c r="D19" s="10" t="s">
        <v>14</v>
      </c>
      <c r="E19" s="10" t="s">
        <v>58</v>
      </c>
      <c r="F19" s="27">
        <v>3000.0</v>
      </c>
      <c r="G19" s="27">
        <v>382.0</v>
      </c>
      <c r="H19" s="27">
        <v>325.0</v>
      </c>
      <c r="I19" s="27">
        <v>36000.0</v>
      </c>
      <c r="J19" s="27">
        <v>35819.0</v>
      </c>
      <c r="K19" s="27">
        <v>19.0</v>
      </c>
      <c r="L19" s="28" t="s">
        <v>16</v>
      </c>
      <c r="M19" s="10"/>
      <c r="N19" s="10"/>
      <c r="O19" s="28" t="str">
        <f t="shared" si="1"/>
        <v>#LiveForNow</v>
      </c>
      <c r="P19" s="27">
        <f t="shared" si="2"/>
        <v>3325</v>
      </c>
    </row>
    <row r="20">
      <c r="A20" s="10" t="s">
        <v>59</v>
      </c>
      <c r="B20" s="10" t="s">
        <v>27</v>
      </c>
      <c r="C20" s="26">
        <v>45466.0</v>
      </c>
      <c r="D20" s="10" t="s">
        <v>53</v>
      </c>
      <c r="E20" s="10" t="s">
        <v>60</v>
      </c>
      <c r="F20" s="27">
        <v>1071.0</v>
      </c>
      <c r="G20" s="27">
        <v>519.0</v>
      </c>
      <c r="H20" s="27">
        <v>22.0</v>
      </c>
      <c r="I20" s="27">
        <v>16065.0</v>
      </c>
      <c r="J20" s="27">
        <v>15865.0</v>
      </c>
      <c r="K20" s="27">
        <v>103.0</v>
      </c>
      <c r="L20" s="28" t="s">
        <v>21</v>
      </c>
      <c r="M20" s="10"/>
      <c r="N20" s="10"/>
      <c r="O20" s="28" t="str">
        <f t="shared" si="1"/>
        <v>#PepsiCoRefresh</v>
      </c>
      <c r="P20" s="27">
        <f t="shared" si="2"/>
        <v>1093</v>
      </c>
    </row>
    <row r="21">
      <c r="A21" s="10" t="s">
        <v>61</v>
      </c>
      <c r="B21" s="10" t="s">
        <v>27</v>
      </c>
      <c r="C21" s="26">
        <v>45544.0</v>
      </c>
      <c r="D21" s="10" t="s">
        <v>34</v>
      </c>
      <c r="E21" s="10" t="s">
        <v>62</v>
      </c>
      <c r="F21" s="27">
        <v>4054.0</v>
      </c>
      <c r="G21" s="27">
        <v>488.0</v>
      </c>
      <c r="H21" s="27">
        <v>373.0</v>
      </c>
      <c r="I21" s="27">
        <v>77026.0</v>
      </c>
      <c r="J21" s="27">
        <v>76881.0</v>
      </c>
      <c r="K21" s="27">
        <v>25.0</v>
      </c>
      <c r="L21" s="28" t="s">
        <v>21</v>
      </c>
      <c r="M21" s="10"/>
      <c r="N21" s="10"/>
      <c r="O21" s="28" t="str">
        <f t="shared" si="1"/>
        <v>#PepsiCoRefresh</v>
      </c>
      <c r="P21" s="27">
        <f t="shared" si="2"/>
        <v>4427</v>
      </c>
    </row>
    <row r="22">
      <c r="A22" s="10" t="s">
        <v>63</v>
      </c>
      <c r="B22" s="10" t="s">
        <v>27</v>
      </c>
      <c r="C22" s="26">
        <v>45661.0</v>
      </c>
      <c r="D22" s="10" t="s">
        <v>14</v>
      </c>
      <c r="E22" s="10" t="s">
        <v>58</v>
      </c>
      <c r="F22" s="27">
        <v>4838.0</v>
      </c>
      <c r="G22" s="27">
        <v>640.0</v>
      </c>
      <c r="H22" s="27">
        <v>128.0</v>
      </c>
      <c r="I22" s="27">
        <v>72570.0</v>
      </c>
      <c r="J22" s="27">
        <v>72396.0</v>
      </c>
      <c r="K22" s="27">
        <v>83.0</v>
      </c>
      <c r="L22" s="28" t="s">
        <v>16</v>
      </c>
      <c r="M22" s="10"/>
      <c r="N22" s="10"/>
      <c r="O22" s="28" t="str">
        <f t="shared" si="1"/>
        <v>#LiveForNow</v>
      </c>
      <c r="P22" s="27">
        <f t="shared" si="2"/>
        <v>4966</v>
      </c>
    </row>
    <row r="23">
      <c r="A23" s="10" t="s">
        <v>64</v>
      </c>
      <c r="B23" s="10" t="s">
        <v>33</v>
      </c>
      <c r="C23" s="26">
        <v>45715.0</v>
      </c>
      <c r="D23" s="10" t="s">
        <v>19</v>
      </c>
      <c r="E23" s="10" t="s">
        <v>42</v>
      </c>
      <c r="F23" s="27">
        <v>1570.0</v>
      </c>
      <c r="G23" s="27">
        <v>187.0</v>
      </c>
      <c r="H23" s="27">
        <v>260.0</v>
      </c>
      <c r="I23" s="27">
        <v>25120.0</v>
      </c>
      <c r="J23" s="27">
        <v>24613.0</v>
      </c>
      <c r="K23" s="27">
        <v>133.0</v>
      </c>
      <c r="L23" s="28" t="s">
        <v>21</v>
      </c>
      <c r="M23" s="10"/>
      <c r="N23" s="10"/>
      <c r="O23" s="28" t="str">
        <f t="shared" si="1"/>
        <v>#PepsiCoRefresh</v>
      </c>
      <c r="P23" s="27">
        <f t="shared" si="2"/>
        <v>1830</v>
      </c>
    </row>
    <row r="24">
      <c r="A24" s="10" t="s">
        <v>65</v>
      </c>
      <c r="B24" s="10" t="s">
        <v>33</v>
      </c>
      <c r="C24" s="26">
        <v>45602.0</v>
      </c>
      <c r="D24" s="10" t="s">
        <v>53</v>
      </c>
      <c r="E24" s="10" t="s">
        <v>54</v>
      </c>
      <c r="F24" s="27">
        <v>1606.0</v>
      </c>
      <c r="G24" s="27">
        <v>547.0</v>
      </c>
      <c r="H24" s="27">
        <v>316.0</v>
      </c>
      <c r="I24" s="27">
        <v>32120.0</v>
      </c>
      <c r="J24" s="27">
        <v>31736.0</v>
      </c>
      <c r="K24" s="27">
        <v>225.0</v>
      </c>
      <c r="L24" s="28" t="s">
        <v>21</v>
      </c>
      <c r="M24" s="28" t="s">
        <v>17</v>
      </c>
      <c r="N24" s="10"/>
      <c r="O24" s="28" t="str">
        <f t="shared" si="1"/>
        <v>#PepsiCoRefresh#AnytimeIsPepsiTime</v>
      </c>
      <c r="P24" s="27">
        <f t="shared" si="2"/>
        <v>1922</v>
      </c>
    </row>
    <row r="25">
      <c r="A25" s="10" t="s">
        <v>66</v>
      </c>
      <c r="B25" s="10" t="s">
        <v>33</v>
      </c>
      <c r="C25" s="26">
        <v>45680.0</v>
      </c>
      <c r="D25" s="10" t="s">
        <v>53</v>
      </c>
      <c r="E25" s="10" t="s">
        <v>54</v>
      </c>
      <c r="F25" s="27">
        <v>3961.0</v>
      </c>
      <c r="G25" s="27">
        <v>761.0</v>
      </c>
      <c r="H25" s="27">
        <v>131.0</v>
      </c>
      <c r="I25" s="27">
        <v>67337.0</v>
      </c>
      <c r="J25" s="27">
        <v>66615.0</v>
      </c>
      <c r="K25" s="27">
        <v>161.0</v>
      </c>
      <c r="L25" s="28" t="s">
        <v>16</v>
      </c>
      <c r="M25" s="10"/>
      <c r="N25" s="10"/>
      <c r="O25" s="28" t="str">
        <f t="shared" si="1"/>
        <v>#LiveForNow</v>
      </c>
      <c r="P25" s="27">
        <f t="shared" si="2"/>
        <v>4092</v>
      </c>
    </row>
    <row r="26">
      <c r="A26" s="10" t="s">
        <v>67</v>
      </c>
      <c r="B26" s="10" t="s">
        <v>13</v>
      </c>
      <c r="C26" s="26">
        <v>45757.0</v>
      </c>
      <c r="D26" s="10" t="s">
        <v>34</v>
      </c>
      <c r="E26" s="10" t="s">
        <v>37</v>
      </c>
      <c r="F26" s="27">
        <v>3128.0</v>
      </c>
      <c r="G26" s="27">
        <v>211.0</v>
      </c>
      <c r="H26" s="27">
        <v>197.0</v>
      </c>
      <c r="I26" s="27">
        <v>59432.0</v>
      </c>
      <c r="J26" s="27">
        <v>59182.0</v>
      </c>
      <c r="K26" s="27">
        <v>238.0</v>
      </c>
      <c r="L26" s="28" t="s">
        <v>30</v>
      </c>
      <c r="M26" s="10"/>
      <c r="N26" s="10"/>
      <c r="O26" s="28" t="str">
        <f t="shared" si="1"/>
        <v>#ThirstyForMore</v>
      </c>
      <c r="P26" s="27">
        <f t="shared" si="2"/>
        <v>3325</v>
      </c>
    </row>
    <row r="27">
      <c r="A27" s="10" t="s">
        <v>68</v>
      </c>
      <c r="B27" s="10" t="s">
        <v>24</v>
      </c>
      <c r="C27" s="26">
        <v>45752.0</v>
      </c>
      <c r="D27" s="10" t="s">
        <v>14</v>
      </c>
      <c r="E27" s="10" t="s">
        <v>25</v>
      </c>
      <c r="F27" s="27">
        <v>3009.0</v>
      </c>
      <c r="G27" s="27">
        <v>413.0</v>
      </c>
      <c r="H27" s="27">
        <v>358.0</v>
      </c>
      <c r="I27" s="27">
        <v>42126.0</v>
      </c>
      <c r="J27" s="27">
        <v>41309.0</v>
      </c>
      <c r="K27" s="27">
        <v>211.0</v>
      </c>
      <c r="L27" s="28" t="s">
        <v>16</v>
      </c>
      <c r="M27" s="10"/>
      <c r="N27" s="10"/>
      <c r="O27" s="28" t="str">
        <f t="shared" si="1"/>
        <v>#LiveForNow</v>
      </c>
      <c r="P27" s="27">
        <f t="shared" si="2"/>
        <v>3367</v>
      </c>
    </row>
    <row r="28">
      <c r="A28" s="10" t="s">
        <v>69</v>
      </c>
      <c r="B28" s="10" t="s">
        <v>24</v>
      </c>
      <c r="C28" s="26">
        <v>45552.0</v>
      </c>
      <c r="D28" s="10" t="s">
        <v>19</v>
      </c>
      <c r="E28" s="10" t="s">
        <v>70</v>
      </c>
      <c r="F28" s="27">
        <v>2076.0</v>
      </c>
      <c r="G28" s="27">
        <v>195.0</v>
      </c>
      <c r="H28" s="27">
        <v>104.0</v>
      </c>
      <c r="I28" s="27">
        <v>33216.0</v>
      </c>
      <c r="J28" s="27">
        <v>32244.0</v>
      </c>
      <c r="K28" s="27">
        <v>51.0</v>
      </c>
      <c r="L28" s="28" t="s">
        <v>16</v>
      </c>
      <c r="M28" s="10"/>
      <c r="N28" s="10"/>
      <c r="O28" s="28" t="str">
        <f t="shared" si="1"/>
        <v>#LiveForNow</v>
      </c>
      <c r="P28" s="27">
        <f t="shared" si="2"/>
        <v>2180</v>
      </c>
    </row>
    <row r="29">
      <c r="A29" s="10" t="s">
        <v>71</v>
      </c>
      <c r="B29" s="10" t="s">
        <v>27</v>
      </c>
      <c r="C29" s="26">
        <v>45720.0</v>
      </c>
      <c r="D29" s="10" t="s">
        <v>53</v>
      </c>
      <c r="E29" s="10" t="s">
        <v>60</v>
      </c>
      <c r="F29" s="27">
        <v>432.0</v>
      </c>
      <c r="G29" s="27">
        <v>624.0</v>
      </c>
      <c r="H29" s="27">
        <v>123.0</v>
      </c>
      <c r="I29" s="27">
        <v>6912.0</v>
      </c>
      <c r="J29" s="27">
        <v>6259.0</v>
      </c>
      <c r="K29" s="27">
        <v>79.0</v>
      </c>
      <c r="L29" s="28" t="s">
        <v>16</v>
      </c>
      <c r="M29" s="10"/>
      <c r="N29" s="10"/>
      <c r="O29" s="28" t="str">
        <f t="shared" si="1"/>
        <v>#LiveForNow</v>
      </c>
      <c r="P29" s="27">
        <f t="shared" si="2"/>
        <v>555</v>
      </c>
    </row>
    <row r="30">
      <c r="A30" s="10" t="s">
        <v>72</v>
      </c>
      <c r="B30" s="10" t="s">
        <v>27</v>
      </c>
      <c r="C30" s="26">
        <v>45688.0</v>
      </c>
      <c r="D30" s="10" t="s">
        <v>34</v>
      </c>
      <c r="E30" s="10" t="s">
        <v>62</v>
      </c>
      <c r="F30" s="27">
        <v>2566.0</v>
      </c>
      <c r="G30" s="27">
        <v>118.0</v>
      </c>
      <c r="H30" s="27">
        <v>37.0</v>
      </c>
      <c r="I30" s="27">
        <v>12830.0</v>
      </c>
      <c r="J30" s="27">
        <v>12264.0</v>
      </c>
      <c r="K30" s="27">
        <v>221.0</v>
      </c>
      <c r="L30" s="28" t="s">
        <v>16</v>
      </c>
      <c r="M30" s="10"/>
      <c r="N30" s="10"/>
      <c r="O30" s="28" t="str">
        <f t="shared" si="1"/>
        <v>#LiveForNow</v>
      </c>
      <c r="P30" s="27">
        <f t="shared" si="2"/>
        <v>2603</v>
      </c>
    </row>
    <row r="31">
      <c r="A31" s="10" t="s">
        <v>73</v>
      </c>
      <c r="B31" s="10" t="s">
        <v>27</v>
      </c>
      <c r="C31" s="26">
        <v>45713.0</v>
      </c>
      <c r="D31" s="10" t="s">
        <v>53</v>
      </c>
      <c r="E31" s="10" t="s">
        <v>60</v>
      </c>
      <c r="F31" s="27">
        <v>3095.0</v>
      </c>
      <c r="G31" s="27">
        <v>39.0</v>
      </c>
      <c r="H31" s="27">
        <v>78.0</v>
      </c>
      <c r="I31" s="27">
        <v>55710.0</v>
      </c>
      <c r="J31" s="27">
        <v>54808.0</v>
      </c>
      <c r="K31" s="27">
        <v>93.0</v>
      </c>
      <c r="L31" s="28" t="s">
        <v>30</v>
      </c>
      <c r="M31" s="10"/>
      <c r="N31" s="10"/>
      <c r="O31" s="28" t="str">
        <f t="shared" si="1"/>
        <v>#ThirstyForMore</v>
      </c>
      <c r="P31" s="27">
        <f t="shared" si="2"/>
        <v>3173</v>
      </c>
    </row>
    <row r="32">
      <c r="A32" s="10" t="s">
        <v>74</v>
      </c>
      <c r="B32" s="10" t="s">
        <v>27</v>
      </c>
      <c r="C32" s="26">
        <v>45642.0</v>
      </c>
      <c r="D32" s="10" t="s">
        <v>19</v>
      </c>
      <c r="E32" s="10" t="s">
        <v>75</v>
      </c>
      <c r="F32" s="27">
        <v>438.0</v>
      </c>
      <c r="G32" s="27">
        <v>153.0</v>
      </c>
      <c r="H32" s="27">
        <v>275.0</v>
      </c>
      <c r="I32" s="27">
        <v>3066.0</v>
      </c>
      <c r="J32" s="27">
        <v>2701.0</v>
      </c>
      <c r="K32" s="27">
        <v>282.0</v>
      </c>
      <c r="L32" s="28" t="s">
        <v>21</v>
      </c>
      <c r="M32" s="10"/>
      <c r="N32" s="10"/>
      <c r="O32" s="28" t="str">
        <f t="shared" si="1"/>
        <v>#PepsiCoRefresh</v>
      </c>
      <c r="P32" s="27">
        <f t="shared" si="2"/>
        <v>713</v>
      </c>
    </row>
    <row r="33">
      <c r="A33" s="10" t="s">
        <v>76</v>
      </c>
      <c r="B33" s="10" t="s">
        <v>13</v>
      </c>
      <c r="C33" s="26">
        <v>45504.0</v>
      </c>
      <c r="D33" s="10" t="s">
        <v>34</v>
      </c>
      <c r="E33" s="10" t="s">
        <v>37</v>
      </c>
      <c r="F33" s="27">
        <v>2278.0</v>
      </c>
      <c r="G33" s="27">
        <v>10.0</v>
      </c>
      <c r="H33" s="27">
        <v>321.0</v>
      </c>
      <c r="I33" s="27">
        <v>13668.0</v>
      </c>
      <c r="J33" s="27">
        <v>12676.0</v>
      </c>
      <c r="K33" s="27">
        <v>275.0</v>
      </c>
      <c r="L33" s="28" t="s">
        <v>30</v>
      </c>
      <c r="M33" s="10"/>
      <c r="N33" s="10"/>
      <c r="O33" s="28" t="str">
        <f t="shared" si="1"/>
        <v>#ThirstyForMore</v>
      </c>
      <c r="P33" s="27">
        <f t="shared" si="2"/>
        <v>2599</v>
      </c>
    </row>
    <row r="34">
      <c r="A34" s="10" t="s">
        <v>77</v>
      </c>
      <c r="B34" s="10" t="s">
        <v>33</v>
      </c>
      <c r="C34" s="26">
        <v>45525.0</v>
      </c>
      <c r="D34" s="10" t="s">
        <v>39</v>
      </c>
      <c r="E34" s="10" t="s">
        <v>44</v>
      </c>
      <c r="F34" s="27">
        <v>1407.0</v>
      </c>
      <c r="G34" s="27">
        <v>400.0</v>
      </c>
      <c r="H34" s="27">
        <v>351.0</v>
      </c>
      <c r="I34" s="27">
        <v>16884.0</v>
      </c>
      <c r="J34" s="27">
        <v>15954.0</v>
      </c>
      <c r="K34" s="27">
        <v>113.0</v>
      </c>
      <c r="L34" s="28" t="s">
        <v>21</v>
      </c>
      <c r="M34" s="10"/>
      <c r="N34" s="10"/>
      <c r="O34" s="28" t="str">
        <f t="shared" si="1"/>
        <v>#PepsiCoRefresh</v>
      </c>
      <c r="P34" s="27">
        <f t="shared" si="2"/>
        <v>1758</v>
      </c>
    </row>
    <row r="35">
      <c r="A35" s="10" t="s">
        <v>78</v>
      </c>
      <c r="B35" s="10" t="s">
        <v>33</v>
      </c>
      <c r="C35" s="26">
        <v>45742.0</v>
      </c>
      <c r="D35" s="10" t="s">
        <v>19</v>
      </c>
      <c r="E35" s="10" t="s">
        <v>42</v>
      </c>
      <c r="F35" s="27">
        <v>1652.0</v>
      </c>
      <c r="G35" s="27">
        <v>89.0</v>
      </c>
      <c r="H35" s="27">
        <v>357.0</v>
      </c>
      <c r="I35" s="27">
        <v>29736.0</v>
      </c>
      <c r="J35" s="27">
        <v>28771.0</v>
      </c>
      <c r="K35" s="27">
        <v>215.0</v>
      </c>
      <c r="L35" s="28" t="s">
        <v>21</v>
      </c>
      <c r="M35" s="10"/>
      <c r="N35" s="10"/>
      <c r="O35" s="28" t="str">
        <f t="shared" si="1"/>
        <v>#PepsiCoRefresh</v>
      </c>
      <c r="P35" s="27">
        <f t="shared" si="2"/>
        <v>2009</v>
      </c>
    </row>
    <row r="36">
      <c r="A36" s="10" t="s">
        <v>79</v>
      </c>
      <c r="B36" s="10" t="s">
        <v>27</v>
      </c>
      <c r="C36" s="26">
        <v>45626.0</v>
      </c>
      <c r="D36" s="10" t="s">
        <v>53</v>
      </c>
      <c r="E36" s="10" t="s">
        <v>60</v>
      </c>
      <c r="F36" s="27">
        <v>3775.0</v>
      </c>
      <c r="G36" s="27">
        <v>16.0</v>
      </c>
      <c r="H36" s="27">
        <v>239.0</v>
      </c>
      <c r="I36" s="27">
        <v>33975.0</v>
      </c>
      <c r="J36" s="27">
        <v>33310.0</v>
      </c>
      <c r="K36" s="27">
        <v>271.0</v>
      </c>
      <c r="L36" s="28" t="s">
        <v>16</v>
      </c>
      <c r="M36" s="10"/>
      <c r="N36" s="10"/>
      <c r="O36" s="28" t="str">
        <f t="shared" si="1"/>
        <v>#LiveForNow</v>
      </c>
      <c r="P36" s="27">
        <f t="shared" si="2"/>
        <v>4014</v>
      </c>
    </row>
    <row r="37">
      <c r="A37" s="10" t="s">
        <v>80</v>
      </c>
      <c r="B37" s="10" t="s">
        <v>27</v>
      </c>
      <c r="C37" s="26">
        <v>45766.0</v>
      </c>
      <c r="D37" s="10" t="s">
        <v>28</v>
      </c>
      <c r="E37" s="10" t="s">
        <v>29</v>
      </c>
      <c r="F37" s="27">
        <v>4518.0</v>
      </c>
      <c r="G37" s="27">
        <v>285.0</v>
      </c>
      <c r="H37" s="27">
        <v>383.0</v>
      </c>
      <c r="I37" s="27">
        <v>67770.0</v>
      </c>
      <c r="J37" s="27">
        <v>67621.0</v>
      </c>
      <c r="K37" s="27">
        <v>31.0</v>
      </c>
      <c r="L37" s="28" t="s">
        <v>30</v>
      </c>
      <c r="M37" s="10"/>
      <c r="N37" s="10"/>
      <c r="O37" s="28" t="str">
        <f t="shared" si="1"/>
        <v>#ThirstyForMore</v>
      </c>
      <c r="P37" s="27">
        <f t="shared" si="2"/>
        <v>4901</v>
      </c>
    </row>
    <row r="38">
      <c r="A38" s="10" t="s">
        <v>81</v>
      </c>
      <c r="B38" s="10" t="s">
        <v>33</v>
      </c>
      <c r="C38" s="26">
        <v>45663.0</v>
      </c>
      <c r="D38" s="10" t="s">
        <v>34</v>
      </c>
      <c r="E38" s="10" t="s">
        <v>35</v>
      </c>
      <c r="F38" s="27">
        <v>3024.0</v>
      </c>
      <c r="G38" s="27">
        <v>925.0</v>
      </c>
      <c r="H38" s="27">
        <v>350.0</v>
      </c>
      <c r="I38" s="27">
        <v>24192.0</v>
      </c>
      <c r="J38" s="27">
        <v>23518.0</v>
      </c>
      <c r="K38" s="27">
        <v>36.0</v>
      </c>
      <c r="L38" s="28" t="s">
        <v>30</v>
      </c>
      <c r="M38" s="10"/>
      <c r="N38" s="10"/>
      <c r="O38" s="28" t="str">
        <f t="shared" si="1"/>
        <v>#ThirstyForMore</v>
      </c>
      <c r="P38" s="27">
        <f t="shared" si="2"/>
        <v>3374</v>
      </c>
    </row>
    <row r="39">
      <c r="A39" s="10" t="s">
        <v>82</v>
      </c>
      <c r="B39" s="10" t="s">
        <v>24</v>
      </c>
      <c r="C39" s="26">
        <v>45705.0</v>
      </c>
      <c r="D39" s="10" t="s">
        <v>14</v>
      </c>
      <c r="E39" s="10" t="s">
        <v>25</v>
      </c>
      <c r="F39" s="27">
        <v>3138.0</v>
      </c>
      <c r="G39" s="27">
        <v>123.0</v>
      </c>
      <c r="H39" s="27">
        <v>291.0</v>
      </c>
      <c r="I39" s="27">
        <v>28242.0</v>
      </c>
      <c r="J39" s="27">
        <v>27550.0</v>
      </c>
      <c r="K39" s="27">
        <v>87.0</v>
      </c>
      <c r="L39" s="28" t="s">
        <v>21</v>
      </c>
      <c r="M39" s="10"/>
      <c r="N39" s="10"/>
      <c r="O39" s="28" t="str">
        <f t="shared" si="1"/>
        <v>#PepsiCoRefresh</v>
      </c>
      <c r="P39" s="27">
        <f t="shared" si="2"/>
        <v>3429</v>
      </c>
    </row>
    <row r="40">
      <c r="A40" s="10" t="s">
        <v>83</v>
      </c>
      <c r="B40" s="10" t="s">
        <v>33</v>
      </c>
      <c r="C40" s="26">
        <v>45621.0</v>
      </c>
      <c r="D40" s="10" t="s">
        <v>39</v>
      </c>
      <c r="E40" s="10" t="s">
        <v>44</v>
      </c>
      <c r="F40" s="27">
        <v>3564.0</v>
      </c>
      <c r="G40" s="27">
        <v>629.0</v>
      </c>
      <c r="H40" s="27">
        <v>177.0</v>
      </c>
      <c r="I40" s="27">
        <v>60588.0</v>
      </c>
      <c r="J40" s="27">
        <v>59627.0</v>
      </c>
      <c r="K40" s="27">
        <v>92.0</v>
      </c>
      <c r="L40" s="28" t="s">
        <v>21</v>
      </c>
      <c r="M40" s="10"/>
      <c r="N40" s="10"/>
      <c r="O40" s="28" t="str">
        <f t="shared" si="1"/>
        <v>#PepsiCoRefresh</v>
      </c>
      <c r="P40" s="27">
        <f t="shared" si="2"/>
        <v>3741</v>
      </c>
    </row>
    <row r="41">
      <c r="A41" s="10" t="s">
        <v>84</v>
      </c>
      <c r="B41" s="10" t="s">
        <v>13</v>
      </c>
      <c r="C41" s="26">
        <v>45723.0</v>
      </c>
      <c r="D41" s="10" t="s">
        <v>39</v>
      </c>
      <c r="E41" s="10" t="s">
        <v>85</v>
      </c>
      <c r="F41" s="27">
        <v>4750.0</v>
      </c>
      <c r="G41" s="27">
        <v>151.0</v>
      </c>
      <c r="H41" s="27">
        <v>415.0</v>
      </c>
      <c r="I41" s="27">
        <v>38000.0</v>
      </c>
      <c r="J41" s="27">
        <v>37792.0</v>
      </c>
      <c r="K41" s="27">
        <v>299.0</v>
      </c>
      <c r="L41" s="28" t="s">
        <v>30</v>
      </c>
      <c r="M41" s="10"/>
      <c r="N41" s="10"/>
      <c r="O41" s="28" t="str">
        <f t="shared" si="1"/>
        <v>#ThirstyForMore</v>
      </c>
      <c r="P41" s="27">
        <f t="shared" si="2"/>
        <v>5165</v>
      </c>
    </row>
    <row r="42">
      <c r="A42" s="10" t="s">
        <v>86</v>
      </c>
      <c r="B42" s="10" t="s">
        <v>27</v>
      </c>
      <c r="C42" s="26">
        <v>45724.0</v>
      </c>
      <c r="D42" s="10" t="s">
        <v>14</v>
      </c>
      <c r="E42" s="10" t="s">
        <v>58</v>
      </c>
      <c r="F42" s="27">
        <v>456.0</v>
      </c>
      <c r="G42" s="27">
        <v>629.0</v>
      </c>
      <c r="H42" s="27">
        <v>428.0</v>
      </c>
      <c r="I42" s="27">
        <v>8208.0</v>
      </c>
      <c r="J42" s="27">
        <v>7377.0</v>
      </c>
      <c r="K42" s="27">
        <v>205.0</v>
      </c>
      <c r="L42" s="28" t="s">
        <v>16</v>
      </c>
      <c r="M42" s="10"/>
      <c r="N42" s="10"/>
      <c r="O42" s="28" t="str">
        <f t="shared" si="1"/>
        <v>#LiveForNow</v>
      </c>
      <c r="P42" s="27">
        <f t="shared" si="2"/>
        <v>884</v>
      </c>
    </row>
    <row r="43">
      <c r="A43" s="10" t="s">
        <v>87</v>
      </c>
      <c r="B43" s="10" t="s">
        <v>24</v>
      </c>
      <c r="C43" s="26">
        <v>45721.0</v>
      </c>
      <c r="D43" s="10" t="s">
        <v>14</v>
      </c>
      <c r="E43" s="10" t="s">
        <v>25</v>
      </c>
      <c r="F43" s="27">
        <v>1543.0</v>
      </c>
      <c r="G43" s="27">
        <v>820.0</v>
      </c>
      <c r="H43" s="27">
        <v>333.0</v>
      </c>
      <c r="I43" s="27">
        <v>12344.0</v>
      </c>
      <c r="J43" s="27">
        <v>11496.0</v>
      </c>
      <c r="K43" s="27">
        <v>241.0</v>
      </c>
      <c r="L43" s="28" t="s">
        <v>30</v>
      </c>
      <c r="M43" s="10"/>
      <c r="N43" s="10"/>
      <c r="O43" s="28" t="str">
        <f t="shared" si="1"/>
        <v>#ThirstyForMore</v>
      </c>
      <c r="P43" s="27">
        <f t="shared" si="2"/>
        <v>1876</v>
      </c>
    </row>
    <row r="44">
      <c r="A44" s="10" t="s">
        <v>88</v>
      </c>
      <c r="B44" s="10" t="s">
        <v>27</v>
      </c>
      <c r="C44" s="26">
        <v>45640.0</v>
      </c>
      <c r="D44" s="10" t="s">
        <v>34</v>
      </c>
      <c r="E44" s="10" t="s">
        <v>62</v>
      </c>
      <c r="F44" s="27">
        <v>2174.0</v>
      </c>
      <c r="G44" s="27">
        <v>658.0</v>
      </c>
      <c r="H44" s="27">
        <v>15.0</v>
      </c>
      <c r="I44" s="27">
        <v>13044.0</v>
      </c>
      <c r="J44" s="27">
        <v>12206.0</v>
      </c>
      <c r="K44" s="27">
        <v>137.0</v>
      </c>
      <c r="L44" s="28" t="s">
        <v>21</v>
      </c>
      <c r="M44" s="10"/>
      <c r="N44" s="10"/>
      <c r="O44" s="28" t="str">
        <f t="shared" si="1"/>
        <v>#PepsiCoRefresh</v>
      </c>
      <c r="P44" s="27">
        <f t="shared" si="2"/>
        <v>2189</v>
      </c>
    </row>
    <row r="45">
      <c r="A45" s="10" t="s">
        <v>89</v>
      </c>
      <c r="B45" s="10" t="s">
        <v>13</v>
      </c>
      <c r="C45" s="26">
        <v>45718.0</v>
      </c>
      <c r="D45" s="10" t="s">
        <v>39</v>
      </c>
      <c r="E45" s="10" t="s">
        <v>85</v>
      </c>
      <c r="F45" s="27">
        <v>2358.0</v>
      </c>
      <c r="G45" s="27">
        <v>784.0</v>
      </c>
      <c r="H45" s="27">
        <v>344.0</v>
      </c>
      <c r="I45" s="27">
        <v>35370.0</v>
      </c>
      <c r="J45" s="27">
        <v>34475.0</v>
      </c>
      <c r="K45" s="27">
        <v>216.0</v>
      </c>
      <c r="L45" s="28" t="s">
        <v>21</v>
      </c>
      <c r="M45" s="10"/>
      <c r="N45" s="10"/>
      <c r="O45" s="28" t="str">
        <f t="shared" si="1"/>
        <v>#PepsiCoRefresh</v>
      </c>
      <c r="P45" s="27">
        <f t="shared" si="2"/>
        <v>2702</v>
      </c>
    </row>
    <row r="46">
      <c r="A46" s="10" t="s">
        <v>90</v>
      </c>
      <c r="B46" s="10" t="s">
        <v>33</v>
      </c>
      <c r="C46" s="26">
        <v>45597.0</v>
      </c>
      <c r="D46" s="10" t="s">
        <v>53</v>
      </c>
      <c r="E46" s="10" t="s">
        <v>54</v>
      </c>
      <c r="F46" s="27">
        <v>3371.0</v>
      </c>
      <c r="G46" s="27">
        <v>106.0</v>
      </c>
      <c r="H46" s="27">
        <v>327.0</v>
      </c>
      <c r="I46" s="27">
        <v>50565.0</v>
      </c>
      <c r="J46" s="27">
        <v>49816.0</v>
      </c>
      <c r="K46" s="27">
        <v>176.0</v>
      </c>
      <c r="L46" s="28" t="s">
        <v>16</v>
      </c>
      <c r="M46" s="10"/>
      <c r="N46" s="10"/>
      <c r="O46" s="28" t="str">
        <f t="shared" si="1"/>
        <v>#LiveForNow</v>
      </c>
      <c r="P46" s="27">
        <f t="shared" si="2"/>
        <v>3698</v>
      </c>
    </row>
    <row r="47">
      <c r="A47" s="10" t="s">
        <v>91</v>
      </c>
      <c r="B47" s="10" t="s">
        <v>13</v>
      </c>
      <c r="C47" s="26">
        <v>45779.0</v>
      </c>
      <c r="D47" s="10" t="s">
        <v>53</v>
      </c>
      <c r="E47" s="10" t="s">
        <v>92</v>
      </c>
      <c r="F47" s="27">
        <v>1108.0</v>
      </c>
      <c r="G47" s="27">
        <v>177.0</v>
      </c>
      <c r="H47" s="27">
        <v>212.0</v>
      </c>
      <c r="I47" s="27">
        <v>8864.0</v>
      </c>
      <c r="J47" s="27">
        <v>8710.0</v>
      </c>
      <c r="K47" s="27">
        <v>97.0</v>
      </c>
      <c r="L47" s="28" t="s">
        <v>21</v>
      </c>
      <c r="M47" s="10"/>
      <c r="N47" s="10"/>
      <c r="O47" s="28" t="str">
        <f t="shared" si="1"/>
        <v>#PepsiCoRefresh</v>
      </c>
      <c r="P47" s="27">
        <f t="shared" si="2"/>
        <v>1320</v>
      </c>
    </row>
    <row r="48">
      <c r="A48" s="10" t="s">
        <v>93</v>
      </c>
      <c r="B48" s="10" t="s">
        <v>13</v>
      </c>
      <c r="C48" s="26">
        <v>45712.0</v>
      </c>
      <c r="D48" s="10" t="s">
        <v>34</v>
      </c>
      <c r="E48" s="10" t="s">
        <v>37</v>
      </c>
      <c r="F48" s="27">
        <v>2704.0</v>
      </c>
      <c r="G48" s="27">
        <v>752.0</v>
      </c>
      <c r="H48" s="27">
        <v>153.0</v>
      </c>
      <c r="I48" s="27">
        <v>21632.0</v>
      </c>
      <c r="J48" s="27">
        <v>20792.0</v>
      </c>
      <c r="K48" s="27">
        <v>127.0</v>
      </c>
      <c r="L48" s="28" t="s">
        <v>16</v>
      </c>
      <c r="M48" s="10"/>
      <c r="N48" s="10"/>
      <c r="O48" s="28" t="str">
        <f t="shared" si="1"/>
        <v>#LiveForNow</v>
      </c>
      <c r="P48" s="27">
        <f t="shared" si="2"/>
        <v>2857</v>
      </c>
    </row>
    <row r="49">
      <c r="A49" s="10" t="s">
        <v>94</v>
      </c>
      <c r="B49" s="10" t="s">
        <v>13</v>
      </c>
      <c r="C49" s="26">
        <v>45727.0</v>
      </c>
      <c r="D49" s="10" t="s">
        <v>28</v>
      </c>
      <c r="E49" s="10" t="s">
        <v>95</v>
      </c>
      <c r="F49" s="27">
        <v>1950.0</v>
      </c>
      <c r="G49" s="27">
        <v>295.0</v>
      </c>
      <c r="H49" s="27">
        <v>478.0</v>
      </c>
      <c r="I49" s="27">
        <v>37050.0</v>
      </c>
      <c r="J49" s="27">
        <v>36272.0</v>
      </c>
      <c r="K49" s="27">
        <v>119.0</v>
      </c>
      <c r="L49" s="28" t="s">
        <v>21</v>
      </c>
      <c r="M49" s="10"/>
      <c r="N49" s="10"/>
      <c r="O49" s="28" t="str">
        <f t="shared" si="1"/>
        <v>#PepsiCoRefresh</v>
      </c>
      <c r="P49" s="27">
        <f t="shared" si="2"/>
        <v>2428</v>
      </c>
    </row>
    <row r="50">
      <c r="A50" s="10" t="s">
        <v>96</v>
      </c>
      <c r="B50" s="10" t="s">
        <v>13</v>
      </c>
      <c r="C50" s="26">
        <v>45453.0</v>
      </c>
      <c r="D50" s="10" t="s">
        <v>28</v>
      </c>
      <c r="E50" s="10" t="s">
        <v>95</v>
      </c>
      <c r="F50" s="27">
        <v>2164.0</v>
      </c>
      <c r="G50" s="27">
        <v>549.0</v>
      </c>
      <c r="H50" s="27">
        <v>274.0</v>
      </c>
      <c r="I50" s="27">
        <v>28132.0</v>
      </c>
      <c r="J50" s="27">
        <v>27361.0</v>
      </c>
      <c r="K50" s="27">
        <v>177.0</v>
      </c>
      <c r="L50" s="28" t="s">
        <v>21</v>
      </c>
      <c r="M50" s="10"/>
      <c r="N50" s="10"/>
      <c r="O50" s="28" t="str">
        <f t="shared" si="1"/>
        <v>#PepsiCoRefresh</v>
      </c>
      <c r="P50" s="27">
        <f t="shared" si="2"/>
        <v>2438</v>
      </c>
    </row>
    <row r="51">
      <c r="A51" s="10" t="s">
        <v>97</v>
      </c>
      <c r="B51" s="10" t="s">
        <v>24</v>
      </c>
      <c r="C51" s="26">
        <v>45476.0</v>
      </c>
      <c r="D51" s="10" t="s">
        <v>28</v>
      </c>
      <c r="E51" s="10" t="s">
        <v>98</v>
      </c>
      <c r="F51" s="27">
        <v>2754.0</v>
      </c>
      <c r="G51" s="27">
        <v>130.0</v>
      </c>
      <c r="H51" s="27">
        <v>90.0</v>
      </c>
      <c r="I51" s="27">
        <v>22032.0</v>
      </c>
      <c r="J51" s="27">
        <v>21288.0</v>
      </c>
      <c r="K51" s="27">
        <v>112.0</v>
      </c>
      <c r="L51" s="28" t="s">
        <v>21</v>
      </c>
      <c r="M51" s="10"/>
      <c r="N51" s="10"/>
      <c r="O51" s="28" t="str">
        <f t="shared" si="1"/>
        <v>#PepsiCoRefresh</v>
      </c>
      <c r="P51" s="27">
        <f t="shared" si="2"/>
        <v>2844</v>
      </c>
    </row>
    <row r="52">
      <c r="A52" s="10" t="s">
        <v>99</v>
      </c>
      <c r="B52" s="10" t="s">
        <v>33</v>
      </c>
      <c r="C52" s="26">
        <v>45456.0</v>
      </c>
      <c r="D52" s="10" t="s">
        <v>34</v>
      </c>
      <c r="E52" s="10" t="s">
        <v>35</v>
      </c>
      <c r="F52" s="27">
        <v>2200.0</v>
      </c>
      <c r="G52" s="27">
        <v>504.0</v>
      </c>
      <c r="H52" s="27">
        <v>239.0</v>
      </c>
      <c r="I52" s="27">
        <v>37400.0</v>
      </c>
      <c r="J52" s="27">
        <v>36938.0</v>
      </c>
      <c r="K52" s="27">
        <v>225.0</v>
      </c>
      <c r="L52" s="28" t="s">
        <v>16</v>
      </c>
      <c r="M52" s="10"/>
      <c r="N52" s="10"/>
      <c r="O52" s="28" t="str">
        <f t="shared" si="1"/>
        <v>#LiveForNow</v>
      </c>
      <c r="P52" s="27">
        <f t="shared" si="2"/>
        <v>2439</v>
      </c>
    </row>
    <row r="53">
      <c r="A53" s="10" t="s">
        <v>100</v>
      </c>
      <c r="B53" s="10" t="s">
        <v>33</v>
      </c>
      <c r="C53" s="26">
        <v>45660.0</v>
      </c>
      <c r="D53" s="10" t="s">
        <v>39</v>
      </c>
      <c r="E53" s="10" t="s">
        <v>44</v>
      </c>
      <c r="F53" s="27">
        <v>947.0</v>
      </c>
      <c r="G53" s="27">
        <v>338.0</v>
      </c>
      <c r="H53" s="27">
        <v>350.0</v>
      </c>
      <c r="I53" s="27">
        <v>10417.0</v>
      </c>
      <c r="J53" s="27">
        <v>9730.0</v>
      </c>
      <c r="K53" s="27">
        <v>34.0</v>
      </c>
      <c r="L53" s="28" t="s">
        <v>21</v>
      </c>
      <c r="M53" s="10"/>
      <c r="N53" s="10"/>
      <c r="O53" s="28" t="str">
        <f t="shared" si="1"/>
        <v>#PepsiCoRefresh</v>
      </c>
      <c r="P53" s="27">
        <f t="shared" si="2"/>
        <v>1297</v>
      </c>
    </row>
    <row r="54">
      <c r="A54" s="10" t="s">
        <v>101</v>
      </c>
      <c r="B54" s="10" t="s">
        <v>24</v>
      </c>
      <c r="C54" s="26">
        <v>45712.0</v>
      </c>
      <c r="D54" s="10" t="s">
        <v>34</v>
      </c>
      <c r="E54" s="10" t="s">
        <v>49</v>
      </c>
      <c r="F54" s="27">
        <v>804.0</v>
      </c>
      <c r="G54" s="27">
        <v>639.0</v>
      </c>
      <c r="H54" s="27">
        <v>43.0</v>
      </c>
      <c r="I54" s="27">
        <v>4020.0</v>
      </c>
      <c r="J54" s="27">
        <v>3144.0</v>
      </c>
      <c r="K54" s="27">
        <v>11.0</v>
      </c>
      <c r="L54" s="28" t="s">
        <v>30</v>
      </c>
      <c r="M54" s="28" t="s">
        <v>22</v>
      </c>
      <c r="N54" s="10"/>
      <c r="O54" s="28" t="str">
        <f t="shared" si="1"/>
        <v>#ThirstyForMore#BetterWithPepsi</v>
      </c>
      <c r="P54" s="27">
        <f t="shared" si="2"/>
        <v>847</v>
      </c>
    </row>
    <row r="55">
      <c r="A55" s="10" t="s">
        <v>102</v>
      </c>
      <c r="B55" s="10" t="s">
        <v>24</v>
      </c>
      <c r="C55" s="26">
        <v>45729.0</v>
      </c>
      <c r="D55" s="10" t="s">
        <v>34</v>
      </c>
      <c r="E55" s="10" t="s">
        <v>49</v>
      </c>
      <c r="F55" s="27">
        <v>1686.0</v>
      </c>
      <c r="G55" s="27">
        <v>904.0</v>
      </c>
      <c r="H55" s="27">
        <v>472.0</v>
      </c>
      <c r="I55" s="27">
        <v>18546.0</v>
      </c>
      <c r="J55" s="27">
        <v>18171.0</v>
      </c>
      <c r="K55" s="27">
        <v>52.0</v>
      </c>
      <c r="L55" s="28" t="s">
        <v>16</v>
      </c>
      <c r="M55" s="10"/>
      <c r="N55" s="10"/>
      <c r="O55" s="28" t="str">
        <f t="shared" si="1"/>
        <v>#LiveForNow</v>
      </c>
      <c r="P55" s="27">
        <f t="shared" si="2"/>
        <v>2158</v>
      </c>
    </row>
    <row r="56">
      <c r="A56" s="10" t="s">
        <v>103</v>
      </c>
      <c r="B56" s="10" t="s">
        <v>33</v>
      </c>
      <c r="C56" s="26">
        <v>45460.0</v>
      </c>
      <c r="D56" s="10" t="s">
        <v>39</v>
      </c>
      <c r="E56" s="10" t="s">
        <v>44</v>
      </c>
      <c r="F56" s="27">
        <v>1226.0</v>
      </c>
      <c r="G56" s="27">
        <v>119.0</v>
      </c>
      <c r="H56" s="27">
        <v>7.0</v>
      </c>
      <c r="I56" s="27">
        <v>14712.0</v>
      </c>
      <c r="J56" s="27">
        <v>14049.0</v>
      </c>
      <c r="K56" s="27">
        <v>123.0</v>
      </c>
      <c r="L56" s="28" t="s">
        <v>30</v>
      </c>
      <c r="M56" s="10"/>
      <c r="N56" s="10"/>
      <c r="O56" s="28" t="str">
        <f t="shared" si="1"/>
        <v>#ThirstyForMore</v>
      </c>
      <c r="P56" s="27">
        <f t="shared" si="2"/>
        <v>1233</v>
      </c>
    </row>
    <row r="57">
      <c r="A57" s="10" t="s">
        <v>104</v>
      </c>
      <c r="B57" s="10" t="s">
        <v>33</v>
      </c>
      <c r="C57" s="26">
        <v>45644.0</v>
      </c>
      <c r="D57" s="10" t="s">
        <v>34</v>
      </c>
      <c r="E57" s="10" t="s">
        <v>35</v>
      </c>
      <c r="F57" s="27">
        <v>2946.0</v>
      </c>
      <c r="G57" s="27">
        <v>498.0</v>
      </c>
      <c r="H57" s="27">
        <v>367.0</v>
      </c>
      <c r="I57" s="27">
        <v>29460.0</v>
      </c>
      <c r="J57" s="27">
        <v>28527.0</v>
      </c>
      <c r="K57" s="27">
        <v>60.0</v>
      </c>
      <c r="L57" s="28" t="s">
        <v>16</v>
      </c>
      <c r="M57" s="10"/>
      <c r="N57" s="10"/>
      <c r="O57" s="28" t="str">
        <f t="shared" si="1"/>
        <v>#LiveForNow</v>
      </c>
      <c r="P57" s="27">
        <f t="shared" si="2"/>
        <v>3313</v>
      </c>
    </row>
    <row r="58">
      <c r="A58" s="10" t="s">
        <v>105</v>
      </c>
      <c r="B58" s="10" t="s">
        <v>13</v>
      </c>
      <c r="C58" s="26">
        <v>45586.0</v>
      </c>
      <c r="D58" s="10" t="s">
        <v>53</v>
      </c>
      <c r="E58" s="10" t="s">
        <v>92</v>
      </c>
      <c r="F58" s="27">
        <v>2825.0</v>
      </c>
      <c r="G58" s="27">
        <v>535.0</v>
      </c>
      <c r="H58" s="27">
        <v>295.0</v>
      </c>
      <c r="I58" s="27">
        <v>45200.0</v>
      </c>
      <c r="J58" s="27">
        <v>44739.0</v>
      </c>
      <c r="K58" s="27">
        <v>169.0</v>
      </c>
      <c r="L58" s="28" t="s">
        <v>21</v>
      </c>
      <c r="M58" s="10"/>
      <c r="N58" s="10"/>
      <c r="O58" s="28" t="str">
        <f t="shared" si="1"/>
        <v>#PepsiCoRefresh</v>
      </c>
      <c r="P58" s="27">
        <f t="shared" si="2"/>
        <v>3120</v>
      </c>
    </row>
    <row r="59">
      <c r="A59" s="10" t="s">
        <v>106</v>
      </c>
      <c r="B59" s="10" t="s">
        <v>27</v>
      </c>
      <c r="C59" s="26">
        <v>45762.0</v>
      </c>
      <c r="D59" s="10" t="s">
        <v>14</v>
      </c>
      <c r="E59" s="10" t="s">
        <v>58</v>
      </c>
      <c r="F59" s="27">
        <v>103.0</v>
      </c>
      <c r="G59" s="27">
        <v>770.0</v>
      </c>
      <c r="H59" s="27">
        <v>19.0</v>
      </c>
      <c r="I59" s="27">
        <v>1030.0</v>
      </c>
      <c r="J59" s="27">
        <v>410.0</v>
      </c>
      <c r="K59" s="27">
        <v>262.0</v>
      </c>
      <c r="L59" s="28" t="s">
        <v>21</v>
      </c>
      <c r="M59" s="10"/>
      <c r="N59" s="10"/>
      <c r="O59" s="28" t="str">
        <f t="shared" si="1"/>
        <v>#PepsiCoRefresh</v>
      </c>
      <c r="P59" s="27">
        <f t="shared" si="2"/>
        <v>122</v>
      </c>
    </row>
    <row r="60">
      <c r="A60" s="10" t="s">
        <v>107</v>
      </c>
      <c r="B60" s="10" t="s">
        <v>27</v>
      </c>
      <c r="C60" s="26">
        <v>45465.0</v>
      </c>
      <c r="D60" s="10" t="s">
        <v>19</v>
      </c>
      <c r="E60" s="10" t="s">
        <v>75</v>
      </c>
      <c r="F60" s="27">
        <v>2180.0</v>
      </c>
      <c r="G60" s="27">
        <v>263.0</v>
      </c>
      <c r="H60" s="27">
        <v>387.0</v>
      </c>
      <c r="I60" s="27">
        <v>30520.0</v>
      </c>
      <c r="J60" s="27">
        <v>30059.0</v>
      </c>
      <c r="K60" s="27">
        <v>174.0</v>
      </c>
      <c r="L60" s="28" t="s">
        <v>30</v>
      </c>
      <c r="M60" s="10"/>
      <c r="N60" s="10"/>
      <c r="O60" s="28" t="str">
        <f t="shared" si="1"/>
        <v>#ThirstyForMore</v>
      </c>
      <c r="P60" s="27">
        <f t="shared" si="2"/>
        <v>2567</v>
      </c>
    </row>
    <row r="61">
      <c r="A61" s="10" t="s">
        <v>108</v>
      </c>
      <c r="B61" s="10" t="s">
        <v>27</v>
      </c>
      <c r="C61" s="26">
        <v>45685.0</v>
      </c>
      <c r="D61" s="10" t="s">
        <v>53</v>
      </c>
      <c r="E61" s="10" t="s">
        <v>60</v>
      </c>
      <c r="F61" s="27">
        <v>904.0</v>
      </c>
      <c r="G61" s="27">
        <v>973.0</v>
      </c>
      <c r="H61" s="27">
        <v>63.0</v>
      </c>
      <c r="I61" s="27">
        <v>11752.0</v>
      </c>
      <c r="J61" s="27">
        <v>11580.0</v>
      </c>
      <c r="K61" s="27">
        <v>84.0</v>
      </c>
      <c r="L61" s="28" t="s">
        <v>30</v>
      </c>
      <c r="M61" s="28" t="s">
        <v>21</v>
      </c>
      <c r="N61" s="28" t="s">
        <v>17</v>
      </c>
      <c r="O61" s="28" t="str">
        <f t="shared" si="1"/>
        <v>#ThirstyForMore#PepsiCoRefresh#AnytimeIsPepsiTime</v>
      </c>
      <c r="P61" s="27">
        <f t="shared" si="2"/>
        <v>967</v>
      </c>
    </row>
    <row r="62">
      <c r="A62" s="10" t="s">
        <v>109</v>
      </c>
      <c r="B62" s="10" t="s">
        <v>13</v>
      </c>
      <c r="C62" s="26">
        <v>45540.0</v>
      </c>
      <c r="D62" s="10" t="s">
        <v>53</v>
      </c>
      <c r="E62" s="10" t="s">
        <v>92</v>
      </c>
      <c r="F62" s="27">
        <v>4886.0</v>
      </c>
      <c r="G62" s="27">
        <v>983.0</v>
      </c>
      <c r="H62" s="27">
        <v>409.0</v>
      </c>
      <c r="I62" s="27">
        <v>43974.0</v>
      </c>
      <c r="J62" s="27">
        <v>43239.0</v>
      </c>
      <c r="K62" s="27">
        <v>65.0</v>
      </c>
      <c r="L62" s="28" t="s">
        <v>21</v>
      </c>
      <c r="M62" s="10"/>
      <c r="N62" s="10"/>
      <c r="O62" s="28" t="str">
        <f t="shared" si="1"/>
        <v>#PepsiCoRefresh</v>
      </c>
      <c r="P62" s="27">
        <f t="shared" si="2"/>
        <v>5295</v>
      </c>
    </row>
    <row r="63">
      <c r="A63" s="10" t="s">
        <v>110</v>
      </c>
      <c r="B63" s="10" t="s">
        <v>13</v>
      </c>
      <c r="C63" s="26">
        <v>45618.0</v>
      </c>
      <c r="D63" s="10" t="s">
        <v>34</v>
      </c>
      <c r="E63" s="10" t="s">
        <v>37</v>
      </c>
      <c r="F63" s="27">
        <v>53.0</v>
      </c>
      <c r="G63" s="27">
        <v>81.0</v>
      </c>
      <c r="H63" s="27">
        <v>379.0</v>
      </c>
      <c r="I63" s="27">
        <v>954.0</v>
      </c>
      <c r="J63" s="27">
        <v>7.0</v>
      </c>
      <c r="K63" s="27">
        <v>148.0</v>
      </c>
      <c r="L63" s="28" t="s">
        <v>21</v>
      </c>
      <c r="M63" s="10"/>
      <c r="N63" s="10"/>
      <c r="O63" s="28" t="str">
        <f t="shared" si="1"/>
        <v>#PepsiCoRefresh</v>
      </c>
      <c r="P63" s="27">
        <f t="shared" si="2"/>
        <v>432</v>
      </c>
    </row>
    <row r="64">
      <c r="A64" s="10" t="s">
        <v>111</v>
      </c>
      <c r="B64" s="10" t="s">
        <v>13</v>
      </c>
      <c r="C64" s="26">
        <v>45504.0</v>
      </c>
      <c r="D64" s="10" t="s">
        <v>34</v>
      </c>
      <c r="E64" s="10" t="s">
        <v>37</v>
      </c>
      <c r="F64" s="27">
        <v>4507.0</v>
      </c>
      <c r="G64" s="27">
        <v>217.0</v>
      </c>
      <c r="H64" s="27">
        <v>13.0</v>
      </c>
      <c r="I64" s="27">
        <v>90140.0</v>
      </c>
      <c r="J64" s="27">
        <v>89591.0</v>
      </c>
      <c r="K64" s="27">
        <v>125.0</v>
      </c>
      <c r="L64" s="28" t="s">
        <v>16</v>
      </c>
      <c r="M64" s="10"/>
      <c r="N64" s="10"/>
      <c r="O64" s="28" t="str">
        <f t="shared" si="1"/>
        <v>#LiveForNow</v>
      </c>
      <c r="P64" s="27">
        <f t="shared" si="2"/>
        <v>4520</v>
      </c>
    </row>
    <row r="65">
      <c r="A65" s="10" t="s">
        <v>112</v>
      </c>
      <c r="B65" s="10" t="s">
        <v>33</v>
      </c>
      <c r="C65" s="26">
        <v>45521.0</v>
      </c>
      <c r="D65" s="10" t="s">
        <v>39</v>
      </c>
      <c r="E65" s="10" t="s">
        <v>44</v>
      </c>
      <c r="F65" s="27">
        <v>2878.0</v>
      </c>
      <c r="G65" s="27">
        <v>248.0</v>
      </c>
      <c r="H65" s="27">
        <v>416.0</v>
      </c>
      <c r="I65" s="27">
        <v>43170.0</v>
      </c>
      <c r="J65" s="27">
        <v>42667.0</v>
      </c>
      <c r="K65" s="27">
        <v>75.0</v>
      </c>
      <c r="L65" s="28" t="s">
        <v>16</v>
      </c>
      <c r="M65" s="10"/>
      <c r="N65" s="10"/>
      <c r="O65" s="28" t="str">
        <f t="shared" si="1"/>
        <v>#LiveForNow</v>
      </c>
      <c r="P65" s="27">
        <f t="shared" si="2"/>
        <v>3294</v>
      </c>
    </row>
    <row r="66">
      <c r="A66" s="10" t="s">
        <v>113</v>
      </c>
      <c r="B66" s="10" t="s">
        <v>27</v>
      </c>
      <c r="C66" s="26">
        <v>45744.0</v>
      </c>
      <c r="D66" s="10" t="s">
        <v>28</v>
      </c>
      <c r="E66" s="10" t="s">
        <v>29</v>
      </c>
      <c r="F66" s="27">
        <v>1881.0</v>
      </c>
      <c r="G66" s="27">
        <v>501.0</v>
      </c>
      <c r="H66" s="27">
        <v>99.0</v>
      </c>
      <c r="I66" s="27">
        <v>20691.0</v>
      </c>
      <c r="J66" s="27">
        <v>19987.0</v>
      </c>
      <c r="K66" s="27">
        <v>289.0</v>
      </c>
      <c r="L66" s="28" t="s">
        <v>30</v>
      </c>
      <c r="M66" s="10"/>
      <c r="N66" s="10"/>
      <c r="O66" s="28" t="str">
        <f t="shared" si="1"/>
        <v>#ThirstyForMore</v>
      </c>
      <c r="P66" s="27">
        <f t="shared" si="2"/>
        <v>1980</v>
      </c>
    </row>
    <row r="67">
      <c r="A67" s="10" t="s">
        <v>114</v>
      </c>
      <c r="B67" s="10" t="s">
        <v>13</v>
      </c>
      <c r="C67" s="26">
        <v>45499.0</v>
      </c>
      <c r="D67" s="10" t="s">
        <v>34</v>
      </c>
      <c r="E67" s="10" t="s">
        <v>37</v>
      </c>
      <c r="F67" s="27">
        <v>432.0</v>
      </c>
      <c r="G67" s="27">
        <v>171.0</v>
      </c>
      <c r="H67" s="27">
        <v>280.0</v>
      </c>
      <c r="I67" s="27">
        <v>3024.0</v>
      </c>
      <c r="J67" s="27">
        <v>2285.0</v>
      </c>
      <c r="K67" s="27">
        <v>184.0</v>
      </c>
      <c r="L67" s="28" t="s">
        <v>30</v>
      </c>
      <c r="M67" s="10"/>
      <c r="N67" s="10"/>
      <c r="O67" s="28" t="str">
        <f t="shared" si="1"/>
        <v>#ThirstyForMore</v>
      </c>
      <c r="P67" s="27">
        <f t="shared" si="2"/>
        <v>712</v>
      </c>
    </row>
    <row r="68">
      <c r="A68" s="10" t="s">
        <v>115</v>
      </c>
      <c r="B68" s="10" t="s">
        <v>33</v>
      </c>
      <c r="C68" s="26">
        <v>45745.0</v>
      </c>
      <c r="D68" s="10" t="s">
        <v>34</v>
      </c>
      <c r="E68" s="10" t="s">
        <v>35</v>
      </c>
      <c r="F68" s="27">
        <v>4712.0</v>
      </c>
      <c r="G68" s="27">
        <v>568.0</v>
      </c>
      <c r="H68" s="27">
        <v>127.0</v>
      </c>
      <c r="I68" s="27">
        <v>84816.0</v>
      </c>
      <c r="J68" s="27">
        <v>84691.0</v>
      </c>
      <c r="K68" s="27">
        <v>100.0</v>
      </c>
      <c r="L68" s="28" t="s">
        <v>30</v>
      </c>
      <c r="M68" s="10"/>
      <c r="N68" s="10"/>
      <c r="O68" s="28" t="str">
        <f t="shared" si="1"/>
        <v>#ThirstyForMore</v>
      </c>
      <c r="P68" s="27">
        <f t="shared" si="2"/>
        <v>4839</v>
      </c>
    </row>
    <row r="69">
      <c r="A69" s="10" t="s">
        <v>116</v>
      </c>
      <c r="B69" s="10" t="s">
        <v>27</v>
      </c>
      <c r="C69" s="26">
        <v>45634.0</v>
      </c>
      <c r="D69" s="10" t="s">
        <v>28</v>
      </c>
      <c r="E69" s="10" t="s">
        <v>29</v>
      </c>
      <c r="F69" s="27">
        <v>2610.0</v>
      </c>
      <c r="G69" s="27">
        <v>126.0</v>
      </c>
      <c r="H69" s="27">
        <v>288.0</v>
      </c>
      <c r="I69" s="27">
        <v>15660.0</v>
      </c>
      <c r="J69" s="27">
        <v>15145.0</v>
      </c>
      <c r="K69" s="27">
        <v>73.0</v>
      </c>
      <c r="L69" s="28" t="s">
        <v>30</v>
      </c>
      <c r="M69" s="10"/>
      <c r="N69" s="10"/>
      <c r="O69" s="28" t="str">
        <f t="shared" si="1"/>
        <v>#ThirstyForMore</v>
      </c>
      <c r="P69" s="27">
        <f t="shared" si="2"/>
        <v>2898</v>
      </c>
    </row>
    <row r="70">
      <c r="A70" s="10" t="s">
        <v>117</v>
      </c>
      <c r="B70" s="10" t="s">
        <v>13</v>
      </c>
      <c r="C70" s="26">
        <v>45724.0</v>
      </c>
      <c r="D70" s="10" t="s">
        <v>19</v>
      </c>
      <c r="E70" s="10" t="s">
        <v>20</v>
      </c>
      <c r="F70" s="27">
        <v>1292.0</v>
      </c>
      <c r="G70" s="27">
        <v>626.0</v>
      </c>
      <c r="H70" s="27">
        <v>496.0</v>
      </c>
      <c r="I70" s="27">
        <v>25840.0</v>
      </c>
      <c r="J70" s="27">
        <v>24916.0</v>
      </c>
      <c r="K70" s="27">
        <v>149.0</v>
      </c>
      <c r="L70" s="28" t="s">
        <v>16</v>
      </c>
      <c r="M70" s="10"/>
      <c r="N70" s="10"/>
      <c r="O70" s="28" t="str">
        <f t="shared" si="1"/>
        <v>#LiveForNow</v>
      </c>
      <c r="P70" s="27">
        <f t="shared" si="2"/>
        <v>1788</v>
      </c>
    </row>
    <row r="71">
      <c r="A71" s="10" t="s">
        <v>118</v>
      </c>
      <c r="B71" s="10" t="s">
        <v>33</v>
      </c>
      <c r="C71" s="26">
        <v>45749.0</v>
      </c>
      <c r="D71" s="10" t="s">
        <v>53</v>
      </c>
      <c r="E71" s="10" t="s">
        <v>54</v>
      </c>
      <c r="F71" s="27">
        <v>199.0</v>
      </c>
      <c r="G71" s="27">
        <v>772.0</v>
      </c>
      <c r="H71" s="27">
        <v>400.0</v>
      </c>
      <c r="I71" s="27">
        <v>3582.0</v>
      </c>
      <c r="J71" s="27">
        <v>2988.0</v>
      </c>
      <c r="K71" s="27">
        <v>43.0</v>
      </c>
      <c r="L71" s="28" t="s">
        <v>21</v>
      </c>
      <c r="M71" s="10"/>
      <c r="N71" s="10"/>
      <c r="O71" s="28" t="str">
        <f t="shared" si="1"/>
        <v>#PepsiCoRefresh</v>
      </c>
      <c r="P71" s="27">
        <f t="shared" si="2"/>
        <v>599</v>
      </c>
    </row>
    <row r="72">
      <c r="A72" s="10" t="s">
        <v>119</v>
      </c>
      <c r="B72" s="10" t="s">
        <v>24</v>
      </c>
      <c r="C72" s="26">
        <v>45537.0</v>
      </c>
      <c r="D72" s="10" t="s">
        <v>34</v>
      </c>
      <c r="E72" s="10" t="s">
        <v>49</v>
      </c>
      <c r="F72" s="27">
        <v>2551.0</v>
      </c>
      <c r="G72" s="27">
        <v>915.0</v>
      </c>
      <c r="H72" s="27">
        <v>205.0</v>
      </c>
      <c r="I72" s="27">
        <v>30612.0</v>
      </c>
      <c r="J72" s="27">
        <v>30360.0</v>
      </c>
      <c r="K72" s="27">
        <v>227.0</v>
      </c>
      <c r="L72" s="28" t="s">
        <v>21</v>
      </c>
      <c r="M72" s="10"/>
      <c r="N72" s="10"/>
      <c r="O72" s="28" t="str">
        <f t="shared" si="1"/>
        <v>#PepsiCoRefresh</v>
      </c>
      <c r="P72" s="27">
        <f t="shared" si="2"/>
        <v>2756</v>
      </c>
    </row>
    <row r="73">
      <c r="A73" s="10" t="s">
        <v>120</v>
      </c>
      <c r="B73" s="10" t="s">
        <v>24</v>
      </c>
      <c r="C73" s="26">
        <v>45719.0</v>
      </c>
      <c r="D73" s="10" t="s">
        <v>14</v>
      </c>
      <c r="E73" s="10" t="s">
        <v>25</v>
      </c>
      <c r="F73" s="27">
        <v>296.0</v>
      </c>
      <c r="G73" s="27">
        <v>60.0</v>
      </c>
      <c r="H73" s="27">
        <v>141.0</v>
      </c>
      <c r="I73" s="27">
        <v>5624.0</v>
      </c>
      <c r="J73" s="27">
        <v>5239.0</v>
      </c>
      <c r="K73" s="27">
        <v>88.0</v>
      </c>
      <c r="L73" s="28" t="s">
        <v>30</v>
      </c>
      <c r="M73" s="10"/>
      <c r="N73" s="10"/>
      <c r="O73" s="28" t="str">
        <f t="shared" si="1"/>
        <v>#ThirstyForMore</v>
      </c>
      <c r="P73" s="27">
        <f t="shared" si="2"/>
        <v>437</v>
      </c>
    </row>
    <row r="74">
      <c r="A74" s="10" t="s">
        <v>121</v>
      </c>
      <c r="B74" s="10" t="s">
        <v>33</v>
      </c>
      <c r="C74" s="26">
        <v>45583.0</v>
      </c>
      <c r="D74" s="10" t="s">
        <v>28</v>
      </c>
      <c r="E74" s="10" t="s">
        <v>51</v>
      </c>
      <c r="F74" s="27">
        <v>4126.0</v>
      </c>
      <c r="G74" s="27">
        <v>426.0</v>
      </c>
      <c r="H74" s="27">
        <v>486.0</v>
      </c>
      <c r="I74" s="27">
        <v>78394.0</v>
      </c>
      <c r="J74" s="27">
        <v>77798.0</v>
      </c>
      <c r="K74" s="27">
        <v>88.0</v>
      </c>
      <c r="L74" s="28" t="s">
        <v>16</v>
      </c>
      <c r="M74" s="10"/>
      <c r="N74" s="10"/>
      <c r="O74" s="28" t="str">
        <f t="shared" si="1"/>
        <v>#LiveForNow</v>
      </c>
      <c r="P74" s="27">
        <f t="shared" si="2"/>
        <v>4612</v>
      </c>
    </row>
    <row r="75">
      <c r="A75" s="10" t="s">
        <v>122</v>
      </c>
      <c r="B75" s="10" t="s">
        <v>24</v>
      </c>
      <c r="C75" s="26">
        <v>45593.0</v>
      </c>
      <c r="D75" s="10" t="s">
        <v>14</v>
      </c>
      <c r="E75" s="10" t="s">
        <v>25</v>
      </c>
      <c r="F75" s="27">
        <v>1855.0</v>
      </c>
      <c r="G75" s="27">
        <v>200.0</v>
      </c>
      <c r="H75" s="27">
        <v>174.0</v>
      </c>
      <c r="I75" s="27">
        <v>16695.0</v>
      </c>
      <c r="J75" s="27">
        <v>16330.0</v>
      </c>
      <c r="K75" s="27">
        <v>123.0</v>
      </c>
      <c r="L75" s="28" t="s">
        <v>21</v>
      </c>
      <c r="M75" s="10"/>
      <c r="N75" s="10"/>
      <c r="O75" s="28" t="str">
        <f t="shared" si="1"/>
        <v>#PepsiCoRefresh</v>
      </c>
      <c r="P75" s="27">
        <f t="shared" si="2"/>
        <v>2029</v>
      </c>
    </row>
    <row r="76">
      <c r="A76" s="10" t="s">
        <v>123</v>
      </c>
      <c r="B76" s="10" t="s">
        <v>27</v>
      </c>
      <c r="C76" s="26">
        <v>45505.0</v>
      </c>
      <c r="D76" s="10" t="s">
        <v>14</v>
      </c>
      <c r="E76" s="10" t="s">
        <v>58</v>
      </c>
      <c r="F76" s="27">
        <v>1674.0</v>
      </c>
      <c r="G76" s="27">
        <v>929.0</v>
      </c>
      <c r="H76" s="27">
        <v>37.0</v>
      </c>
      <c r="I76" s="27">
        <v>21762.0</v>
      </c>
      <c r="J76" s="27">
        <v>20998.0</v>
      </c>
      <c r="K76" s="27">
        <v>255.0</v>
      </c>
      <c r="L76" s="28" t="s">
        <v>21</v>
      </c>
      <c r="M76" s="10"/>
      <c r="N76" s="10"/>
      <c r="O76" s="28" t="str">
        <f t="shared" si="1"/>
        <v>#PepsiCoRefresh</v>
      </c>
      <c r="P76" s="27">
        <f t="shared" si="2"/>
        <v>1711</v>
      </c>
    </row>
    <row r="77">
      <c r="A77" s="10" t="s">
        <v>124</v>
      </c>
      <c r="B77" s="10" t="s">
        <v>13</v>
      </c>
      <c r="C77" s="26">
        <v>45603.0</v>
      </c>
      <c r="D77" s="10" t="s">
        <v>28</v>
      </c>
      <c r="E77" s="10" t="s">
        <v>95</v>
      </c>
      <c r="F77" s="27">
        <v>1121.0</v>
      </c>
      <c r="G77" s="27">
        <v>135.0</v>
      </c>
      <c r="H77" s="27">
        <v>18.0</v>
      </c>
      <c r="I77" s="27">
        <v>15694.0</v>
      </c>
      <c r="J77" s="27">
        <v>14957.0</v>
      </c>
      <c r="K77" s="27">
        <v>99.0</v>
      </c>
      <c r="L77" s="28" t="s">
        <v>21</v>
      </c>
      <c r="M77" s="10"/>
      <c r="N77" s="10"/>
      <c r="O77" s="28" t="str">
        <f t="shared" si="1"/>
        <v>#PepsiCoRefresh</v>
      </c>
      <c r="P77" s="27">
        <f t="shared" si="2"/>
        <v>1139</v>
      </c>
    </row>
    <row r="78">
      <c r="A78" s="10" t="s">
        <v>125</v>
      </c>
      <c r="B78" s="10" t="s">
        <v>33</v>
      </c>
      <c r="C78" s="26">
        <v>45720.0</v>
      </c>
      <c r="D78" s="10" t="s">
        <v>28</v>
      </c>
      <c r="E78" s="10" t="s">
        <v>51</v>
      </c>
      <c r="F78" s="27">
        <v>1249.0</v>
      </c>
      <c r="G78" s="27">
        <v>116.0</v>
      </c>
      <c r="H78" s="27">
        <v>420.0</v>
      </c>
      <c r="I78" s="27">
        <v>8743.0</v>
      </c>
      <c r="J78" s="27">
        <v>8538.0</v>
      </c>
      <c r="K78" s="27">
        <v>63.0</v>
      </c>
      <c r="L78" s="28" t="s">
        <v>21</v>
      </c>
      <c r="M78" s="10"/>
      <c r="N78" s="10"/>
      <c r="O78" s="28" t="str">
        <f t="shared" si="1"/>
        <v>#PepsiCoRefresh</v>
      </c>
      <c r="P78" s="27">
        <f t="shared" si="2"/>
        <v>1669</v>
      </c>
    </row>
    <row r="79">
      <c r="A79" s="10" t="s">
        <v>126</v>
      </c>
      <c r="B79" s="10" t="s">
        <v>13</v>
      </c>
      <c r="C79" s="26">
        <v>45460.0</v>
      </c>
      <c r="D79" s="10" t="s">
        <v>39</v>
      </c>
      <c r="E79" s="10" t="s">
        <v>85</v>
      </c>
      <c r="F79" s="27">
        <v>954.0</v>
      </c>
      <c r="G79" s="27">
        <v>324.0</v>
      </c>
      <c r="H79" s="27">
        <v>288.0</v>
      </c>
      <c r="I79" s="27">
        <v>19080.0</v>
      </c>
      <c r="J79" s="27">
        <v>18859.0</v>
      </c>
      <c r="K79" s="27">
        <v>21.0</v>
      </c>
      <c r="L79" s="28" t="s">
        <v>16</v>
      </c>
      <c r="M79" s="10"/>
      <c r="N79" s="10"/>
      <c r="O79" s="28" t="str">
        <f t="shared" si="1"/>
        <v>#LiveForNow</v>
      </c>
      <c r="P79" s="27">
        <f t="shared" si="2"/>
        <v>1242</v>
      </c>
    </row>
    <row r="80">
      <c r="A80" s="10" t="s">
        <v>127</v>
      </c>
      <c r="B80" s="10" t="s">
        <v>27</v>
      </c>
      <c r="C80" s="26">
        <v>45574.0</v>
      </c>
      <c r="D80" s="10" t="s">
        <v>34</v>
      </c>
      <c r="E80" s="10" t="s">
        <v>62</v>
      </c>
      <c r="F80" s="27">
        <v>3068.0</v>
      </c>
      <c r="G80" s="27">
        <v>137.0</v>
      </c>
      <c r="H80" s="27">
        <v>329.0</v>
      </c>
      <c r="I80" s="27">
        <v>39884.0</v>
      </c>
      <c r="J80" s="27">
        <v>39404.0</v>
      </c>
      <c r="K80" s="27">
        <v>266.0</v>
      </c>
      <c r="L80" s="28" t="s">
        <v>30</v>
      </c>
      <c r="M80" s="10"/>
      <c r="N80" s="10"/>
      <c r="O80" s="28" t="str">
        <f t="shared" si="1"/>
        <v>#ThirstyForMore</v>
      </c>
      <c r="P80" s="27">
        <f t="shared" si="2"/>
        <v>3397</v>
      </c>
    </row>
    <row r="81">
      <c r="A81" s="10" t="s">
        <v>128</v>
      </c>
      <c r="B81" s="10" t="s">
        <v>27</v>
      </c>
      <c r="C81" s="26">
        <v>45456.0</v>
      </c>
      <c r="D81" s="10" t="s">
        <v>28</v>
      </c>
      <c r="E81" s="10" t="s">
        <v>29</v>
      </c>
      <c r="F81" s="27">
        <v>2103.0</v>
      </c>
      <c r="G81" s="27">
        <v>892.0</v>
      </c>
      <c r="H81" s="27">
        <v>103.0</v>
      </c>
      <c r="I81" s="27">
        <v>39957.0</v>
      </c>
      <c r="J81" s="27">
        <v>39466.0</v>
      </c>
      <c r="K81" s="27">
        <v>28.0</v>
      </c>
      <c r="L81" s="28" t="s">
        <v>16</v>
      </c>
      <c r="M81" s="10"/>
      <c r="N81" s="10"/>
      <c r="O81" s="28" t="str">
        <f t="shared" si="1"/>
        <v>#LiveForNow</v>
      </c>
      <c r="P81" s="27">
        <f t="shared" si="2"/>
        <v>2206</v>
      </c>
    </row>
    <row r="82">
      <c r="A82" s="10" t="s">
        <v>129</v>
      </c>
      <c r="B82" s="10" t="s">
        <v>27</v>
      </c>
      <c r="C82" s="26">
        <v>45584.0</v>
      </c>
      <c r="D82" s="10" t="s">
        <v>28</v>
      </c>
      <c r="E82" s="10" t="s">
        <v>29</v>
      </c>
      <c r="F82" s="27">
        <v>1816.0</v>
      </c>
      <c r="G82" s="27">
        <v>29.0</v>
      </c>
      <c r="H82" s="27">
        <v>41.0</v>
      </c>
      <c r="I82" s="27">
        <v>19976.0</v>
      </c>
      <c r="J82" s="27">
        <v>19262.0</v>
      </c>
      <c r="K82" s="27">
        <v>283.0</v>
      </c>
      <c r="L82" s="28" t="s">
        <v>21</v>
      </c>
      <c r="M82" s="10"/>
      <c r="N82" s="10"/>
      <c r="O82" s="28" t="str">
        <f t="shared" si="1"/>
        <v>#PepsiCoRefresh</v>
      </c>
      <c r="P82" s="27">
        <f t="shared" si="2"/>
        <v>1857</v>
      </c>
    </row>
    <row r="83">
      <c r="A83" s="10" t="s">
        <v>130</v>
      </c>
      <c r="B83" s="10" t="s">
        <v>27</v>
      </c>
      <c r="C83" s="26">
        <v>45497.0</v>
      </c>
      <c r="D83" s="10" t="s">
        <v>39</v>
      </c>
      <c r="E83" s="10" t="s">
        <v>131</v>
      </c>
      <c r="F83" s="27">
        <v>725.0</v>
      </c>
      <c r="G83" s="27">
        <v>88.0</v>
      </c>
      <c r="H83" s="27">
        <v>428.0</v>
      </c>
      <c r="I83" s="27">
        <v>14500.0</v>
      </c>
      <c r="J83" s="27">
        <v>13637.0</v>
      </c>
      <c r="K83" s="27">
        <v>200.0</v>
      </c>
      <c r="L83" s="28" t="s">
        <v>16</v>
      </c>
      <c r="M83" s="28" t="s">
        <v>21</v>
      </c>
      <c r="N83" s="28" t="s">
        <v>17</v>
      </c>
      <c r="O83" s="28" t="str">
        <f t="shared" si="1"/>
        <v>#LiveForNow#PepsiCoRefresh#AnytimeIsPepsiTime</v>
      </c>
      <c r="P83" s="27">
        <f t="shared" si="2"/>
        <v>1153</v>
      </c>
    </row>
    <row r="84">
      <c r="A84" s="10" t="s">
        <v>132</v>
      </c>
      <c r="B84" s="10" t="s">
        <v>24</v>
      </c>
      <c r="C84" s="26">
        <v>45580.0</v>
      </c>
      <c r="D84" s="10" t="s">
        <v>53</v>
      </c>
      <c r="E84" s="10" t="s">
        <v>133</v>
      </c>
      <c r="F84" s="27">
        <v>1094.0</v>
      </c>
      <c r="G84" s="27">
        <v>472.0</v>
      </c>
      <c r="H84" s="27">
        <v>21.0</v>
      </c>
      <c r="I84" s="27">
        <v>9846.0</v>
      </c>
      <c r="J84" s="27">
        <v>9609.0</v>
      </c>
      <c r="K84" s="27">
        <v>112.0</v>
      </c>
      <c r="L84" s="28" t="s">
        <v>30</v>
      </c>
      <c r="M84" s="10"/>
      <c r="N84" s="10"/>
      <c r="O84" s="28" t="str">
        <f t="shared" si="1"/>
        <v>#ThirstyForMore</v>
      </c>
      <c r="P84" s="27">
        <f t="shared" si="2"/>
        <v>1115</v>
      </c>
    </row>
    <row r="85">
      <c r="A85" s="10" t="s">
        <v>134</v>
      </c>
      <c r="B85" s="10" t="s">
        <v>33</v>
      </c>
      <c r="C85" s="26">
        <v>45635.0</v>
      </c>
      <c r="D85" s="10" t="s">
        <v>39</v>
      </c>
      <c r="E85" s="10" t="s">
        <v>44</v>
      </c>
      <c r="F85" s="27">
        <v>1841.0</v>
      </c>
      <c r="G85" s="27">
        <v>851.0</v>
      </c>
      <c r="H85" s="27">
        <v>342.0</v>
      </c>
      <c r="I85" s="27">
        <v>34979.0</v>
      </c>
      <c r="J85" s="27">
        <v>34154.0</v>
      </c>
      <c r="K85" s="27">
        <v>255.0</v>
      </c>
      <c r="L85" s="28" t="s">
        <v>16</v>
      </c>
      <c r="M85" s="10"/>
      <c r="N85" s="10"/>
      <c r="O85" s="28" t="str">
        <f t="shared" si="1"/>
        <v>#LiveForNow</v>
      </c>
      <c r="P85" s="27">
        <f t="shared" si="2"/>
        <v>2183</v>
      </c>
    </row>
    <row r="86">
      <c r="A86" s="10" t="s">
        <v>135</v>
      </c>
      <c r="B86" s="10" t="s">
        <v>27</v>
      </c>
      <c r="C86" s="26">
        <v>45766.0</v>
      </c>
      <c r="D86" s="10" t="s">
        <v>39</v>
      </c>
      <c r="E86" s="10" t="s">
        <v>131</v>
      </c>
      <c r="F86" s="27">
        <v>4177.0</v>
      </c>
      <c r="G86" s="27">
        <v>569.0</v>
      </c>
      <c r="H86" s="27">
        <v>55.0</v>
      </c>
      <c r="I86" s="27">
        <v>25062.0</v>
      </c>
      <c r="J86" s="27">
        <v>24847.0</v>
      </c>
      <c r="K86" s="27">
        <v>230.0</v>
      </c>
      <c r="L86" s="28" t="s">
        <v>16</v>
      </c>
      <c r="M86" s="10"/>
      <c r="N86" s="10"/>
      <c r="O86" s="28" t="str">
        <f t="shared" si="1"/>
        <v>#LiveForNow</v>
      </c>
      <c r="P86" s="27">
        <f t="shared" si="2"/>
        <v>4232</v>
      </c>
    </row>
    <row r="87">
      <c r="A87" s="10" t="s">
        <v>136</v>
      </c>
      <c r="B87" s="10" t="s">
        <v>24</v>
      </c>
      <c r="C87" s="26">
        <v>45684.0</v>
      </c>
      <c r="D87" s="10" t="s">
        <v>19</v>
      </c>
      <c r="E87" s="10" t="s">
        <v>70</v>
      </c>
      <c r="F87" s="27">
        <v>3428.0</v>
      </c>
      <c r="G87" s="27">
        <v>305.0</v>
      </c>
      <c r="H87" s="27">
        <v>85.0</v>
      </c>
      <c r="I87" s="27">
        <v>58276.0</v>
      </c>
      <c r="J87" s="27">
        <v>58052.0</v>
      </c>
      <c r="K87" s="27">
        <v>242.0</v>
      </c>
      <c r="L87" s="28" t="s">
        <v>30</v>
      </c>
      <c r="M87" s="28" t="s">
        <v>22</v>
      </c>
      <c r="N87" s="10"/>
      <c r="O87" s="28" t="str">
        <f t="shared" si="1"/>
        <v>#ThirstyForMore#BetterWithPepsi</v>
      </c>
      <c r="P87" s="27">
        <f t="shared" si="2"/>
        <v>3513</v>
      </c>
    </row>
    <row r="88">
      <c r="A88" s="10" t="s">
        <v>137</v>
      </c>
      <c r="B88" s="10" t="s">
        <v>13</v>
      </c>
      <c r="C88" s="26">
        <v>45449.0</v>
      </c>
      <c r="D88" s="10" t="s">
        <v>53</v>
      </c>
      <c r="E88" s="10" t="s">
        <v>92</v>
      </c>
      <c r="F88" s="27">
        <v>1436.0</v>
      </c>
      <c r="G88" s="27">
        <v>765.0</v>
      </c>
      <c r="H88" s="27">
        <v>496.0</v>
      </c>
      <c r="I88" s="27">
        <v>12924.0</v>
      </c>
      <c r="J88" s="27">
        <v>12701.0</v>
      </c>
      <c r="K88" s="27">
        <v>197.0</v>
      </c>
      <c r="L88" s="28" t="s">
        <v>16</v>
      </c>
      <c r="M88" s="10"/>
      <c r="N88" s="10"/>
      <c r="O88" s="28" t="str">
        <f t="shared" si="1"/>
        <v>#LiveForNow</v>
      </c>
      <c r="P88" s="27">
        <f t="shared" si="2"/>
        <v>1932</v>
      </c>
    </row>
    <row r="89">
      <c r="A89" s="10" t="s">
        <v>138</v>
      </c>
      <c r="B89" s="10" t="s">
        <v>33</v>
      </c>
      <c r="C89" s="26">
        <v>45480.0</v>
      </c>
      <c r="D89" s="10" t="s">
        <v>28</v>
      </c>
      <c r="E89" s="10" t="s">
        <v>51</v>
      </c>
      <c r="F89" s="27">
        <v>302.0</v>
      </c>
      <c r="G89" s="27">
        <v>47.0</v>
      </c>
      <c r="H89" s="27">
        <v>430.0</v>
      </c>
      <c r="I89" s="27">
        <v>5738.0</v>
      </c>
      <c r="J89" s="27">
        <v>4890.0</v>
      </c>
      <c r="K89" s="27">
        <v>25.0</v>
      </c>
      <c r="L89" s="28" t="s">
        <v>21</v>
      </c>
      <c r="M89" s="10"/>
      <c r="N89" s="10"/>
      <c r="O89" s="28" t="str">
        <f t="shared" si="1"/>
        <v>#PepsiCoRefresh</v>
      </c>
      <c r="P89" s="27">
        <f t="shared" si="2"/>
        <v>732</v>
      </c>
    </row>
    <row r="90">
      <c r="A90" s="10" t="s">
        <v>139</v>
      </c>
      <c r="B90" s="10" t="s">
        <v>13</v>
      </c>
      <c r="C90" s="26">
        <v>45667.0</v>
      </c>
      <c r="D90" s="10" t="s">
        <v>39</v>
      </c>
      <c r="E90" s="10" t="s">
        <v>85</v>
      </c>
      <c r="F90" s="27">
        <v>2214.0</v>
      </c>
      <c r="G90" s="27">
        <v>249.0</v>
      </c>
      <c r="H90" s="27">
        <v>152.0</v>
      </c>
      <c r="I90" s="27">
        <v>15498.0</v>
      </c>
      <c r="J90" s="27">
        <v>14800.0</v>
      </c>
      <c r="K90" s="27">
        <v>180.0</v>
      </c>
      <c r="L90" s="28" t="s">
        <v>30</v>
      </c>
      <c r="M90" s="10"/>
      <c r="N90" s="10"/>
      <c r="O90" s="28" t="str">
        <f t="shared" si="1"/>
        <v>#ThirstyForMore</v>
      </c>
      <c r="P90" s="27">
        <f t="shared" si="2"/>
        <v>2366</v>
      </c>
    </row>
    <row r="91">
      <c r="A91" s="10" t="s">
        <v>140</v>
      </c>
      <c r="B91" s="10" t="s">
        <v>27</v>
      </c>
      <c r="C91" s="26">
        <v>45446.0</v>
      </c>
      <c r="D91" s="10" t="s">
        <v>39</v>
      </c>
      <c r="E91" s="10" t="s">
        <v>131</v>
      </c>
      <c r="F91" s="27">
        <v>3861.0</v>
      </c>
      <c r="G91" s="27">
        <v>960.0</v>
      </c>
      <c r="H91" s="27">
        <v>101.0</v>
      </c>
      <c r="I91" s="27">
        <v>69498.0</v>
      </c>
      <c r="J91" s="27">
        <v>68817.0</v>
      </c>
      <c r="K91" s="27">
        <v>297.0</v>
      </c>
      <c r="L91" s="28" t="s">
        <v>21</v>
      </c>
      <c r="M91" s="10"/>
      <c r="N91" s="10"/>
      <c r="O91" s="28" t="str">
        <f t="shared" si="1"/>
        <v>#PepsiCoRefresh</v>
      </c>
      <c r="P91" s="27">
        <f t="shared" si="2"/>
        <v>3962</v>
      </c>
    </row>
    <row r="92">
      <c r="A92" s="10" t="s">
        <v>141</v>
      </c>
      <c r="B92" s="10" t="s">
        <v>33</v>
      </c>
      <c r="C92" s="26">
        <v>45740.0</v>
      </c>
      <c r="D92" s="10" t="s">
        <v>39</v>
      </c>
      <c r="E92" s="10" t="s">
        <v>44</v>
      </c>
      <c r="F92" s="27">
        <v>1263.0</v>
      </c>
      <c r="G92" s="27">
        <v>397.0</v>
      </c>
      <c r="H92" s="27">
        <v>357.0</v>
      </c>
      <c r="I92" s="27">
        <v>25260.0</v>
      </c>
      <c r="J92" s="27">
        <v>24615.0</v>
      </c>
      <c r="K92" s="27">
        <v>137.0</v>
      </c>
      <c r="L92" s="28" t="s">
        <v>30</v>
      </c>
      <c r="M92" s="10"/>
      <c r="N92" s="10"/>
      <c r="O92" s="28" t="str">
        <f t="shared" si="1"/>
        <v>#ThirstyForMore</v>
      </c>
      <c r="P92" s="27">
        <f t="shared" si="2"/>
        <v>1620</v>
      </c>
    </row>
    <row r="93">
      <c r="A93" s="10" t="s">
        <v>142</v>
      </c>
      <c r="B93" s="10" t="s">
        <v>13</v>
      </c>
      <c r="C93" s="26">
        <v>45586.0</v>
      </c>
      <c r="D93" s="10" t="s">
        <v>28</v>
      </c>
      <c r="E93" s="10" t="s">
        <v>95</v>
      </c>
      <c r="F93" s="27">
        <v>3801.0</v>
      </c>
      <c r="G93" s="27">
        <v>967.0</v>
      </c>
      <c r="H93" s="27">
        <v>401.0</v>
      </c>
      <c r="I93" s="27">
        <v>38010.0</v>
      </c>
      <c r="J93" s="27">
        <v>37625.0</v>
      </c>
      <c r="K93" s="27">
        <v>236.0</v>
      </c>
      <c r="L93" s="28" t="s">
        <v>16</v>
      </c>
      <c r="M93" s="10"/>
      <c r="N93" s="10"/>
      <c r="O93" s="28" t="str">
        <f t="shared" si="1"/>
        <v>#LiveForNow</v>
      </c>
      <c r="P93" s="27">
        <f t="shared" si="2"/>
        <v>4202</v>
      </c>
    </row>
    <row r="94">
      <c r="A94" s="10" t="s">
        <v>143</v>
      </c>
      <c r="B94" s="10" t="s">
        <v>27</v>
      </c>
      <c r="C94" s="26">
        <v>45637.0</v>
      </c>
      <c r="D94" s="10" t="s">
        <v>53</v>
      </c>
      <c r="E94" s="10" t="s">
        <v>60</v>
      </c>
      <c r="F94" s="27">
        <v>1431.0</v>
      </c>
      <c r="G94" s="27">
        <v>951.0</v>
      </c>
      <c r="H94" s="27">
        <v>26.0</v>
      </c>
      <c r="I94" s="27">
        <v>8586.0</v>
      </c>
      <c r="J94" s="27">
        <v>8396.0</v>
      </c>
      <c r="K94" s="27">
        <v>150.0</v>
      </c>
      <c r="L94" s="28" t="s">
        <v>30</v>
      </c>
      <c r="M94" s="10"/>
      <c r="N94" s="10"/>
      <c r="O94" s="28" t="str">
        <f t="shared" si="1"/>
        <v>#ThirstyForMore</v>
      </c>
      <c r="P94" s="27">
        <f t="shared" si="2"/>
        <v>1457</v>
      </c>
    </row>
    <row r="95">
      <c r="A95" s="10" t="s">
        <v>144</v>
      </c>
      <c r="B95" s="10" t="s">
        <v>27</v>
      </c>
      <c r="C95" s="26">
        <v>45603.0</v>
      </c>
      <c r="D95" s="10" t="s">
        <v>39</v>
      </c>
      <c r="E95" s="10" t="s">
        <v>131</v>
      </c>
      <c r="F95" s="27">
        <v>2647.0</v>
      </c>
      <c r="G95" s="27">
        <v>304.0</v>
      </c>
      <c r="H95" s="27">
        <v>170.0</v>
      </c>
      <c r="I95" s="27">
        <v>18529.0</v>
      </c>
      <c r="J95" s="27">
        <v>17841.0</v>
      </c>
      <c r="K95" s="27">
        <v>46.0</v>
      </c>
      <c r="L95" s="28" t="s">
        <v>16</v>
      </c>
      <c r="M95" s="10"/>
      <c r="N95" s="10"/>
      <c r="O95" s="28" t="str">
        <f t="shared" si="1"/>
        <v>#LiveForNow</v>
      </c>
      <c r="P95" s="27">
        <f t="shared" si="2"/>
        <v>2817</v>
      </c>
    </row>
    <row r="96">
      <c r="A96" s="10" t="s">
        <v>145</v>
      </c>
      <c r="B96" s="10" t="s">
        <v>27</v>
      </c>
      <c r="C96" s="26">
        <v>45604.0</v>
      </c>
      <c r="D96" s="10" t="s">
        <v>19</v>
      </c>
      <c r="E96" s="10" t="s">
        <v>75</v>
      </c>
      <c r="F96" s="27">
        <v>3182.0</v>
      </c>
      <c r="G96" s="27">
        <v>559.0</v>
      </c>
      <c r="H96" s="27">
        <v>160.0</v>
      </c>
      <c r="I96" s="27">
        <v>57276.0</v>
      </c>
      <c r="J96" s="27">
        <v>56890.0</v>
      </c>
      <c r="K96" s="27">
        <v>163.0</v>
      </c>
      <c r="L96" s="28" t="s">
        <v>16</v>
      </c>
      <c r="M96" s="10"/>
      <c r="N96" s="10"/>
      <c r="O96" s="28" t="str">
        <f t="shared" si="1"/>
        <v>#LiveForNow</v>
      </c>
      <c r="P96" s="27">
        <f t="shared" si="2"/>
        <v>3342</v>
      </c>
    </row>
    <row r="97">
      <c r="A97" s="10" t="s">
        <v>146</v>
      </c>
      <c r="B97" s="10" t="s">
        <v>13</v>
      </c>
      <c r="C97" s="26">
        <v>45545.0</v>
      </c>
      <c r="D97" s="10" t="s">
        <v>39</v>
      </c>
      <c r="E97" s="10" t="s">
        <v>85</v>
      </c>
      <c r="F97" s="27">
        <v>1238.0</v>
      </c>
      <c r="G97" s="27">
        <v>366.0</v>
      </c>
      <c r="H97" s="27">
        <v>444.0</v>
      </c>
      <c r="I97" s="27">
        <v>19808.0</v>
      </c>
      <c r="J97" s="27">
        <v>19334.0</v>
      </c>
      <c r="K97" s="27">
        <v>123.0</v>
      </c>
      <c r="L97" s="28" t="s">
        <v>16</v>
      </c>
      <c r="M97" s="10"/>
      <c r="N97" s="10"/>
      <c r="O97" s="28" t="str">
        <f t="shared" si="1"/>
        <v>#LiveForNow</v>
      </c>
      <c r="P97" s="27">
        <f t="shared" si="2"/>
        <v>1682</v>
      </c>
    </row>
    <row r="98">
      <c r="A98" s="10" t="s">
        <v>147</v>
      </c>
      <c r="B98" s="10" t="s">
        <v>27</v>
      </c>
      <c r="C98" s="26">
        <v>45517.0</v>
      </c>
      <c r="D98" s="10" t="s">
        <v>39</v>
      </c>
      <c r="E98" s="10" t="s">
        <v>131</v>
      </c>
      <c r="F98" s="27">
        <v>4739.0</v>
      </c>
      <c r="G98" s="27">
        <v>527.0</v>
      </c>
      <c r="H98" s="27">
        <v>135.0</v>
      </c>
      <c r="I98" s="27">
        <v>61607.0</v>
      </c>
      <c r="J98" s="27">
        <v>61333.0</v>
      </c>
      <c r="K98" s="27">
        <v>36.0</v>
      </c>
      <c r="L98" s="28" t="s">
        <v>21</v>
      </c>
      <c r="M98" s="28" t="s">
        <v>17</v>
      </c>
      <c r="N98" s="10"/>
      <c r="O98" s="28" t="str">
        <f t="shared" si="1"/>
        <v>#PepsiCoRefresh#AnytimeIsPepsiTime</v>
      </c>
      <c r="P98" s="27">
        <f t="shared" si="2"/>
        <v>4874</v>
      </c>
    </row>
    <row r="99">
      <c r="A99" s="10" t="s">
        <v>148</v>
      </c>
      <c r="B99" s="10" t="s">
        <v>13</v>
      </c>
      <c r="C99" s="26">
        <v>45453.0</v>
      </c>
      <c r="D99" s="10" t="s">
        <v>28</v>
      </c>
      <c r="E99" s="10" t="s">
        <v>95</v>
      </c>
      <c r="F99" s="27">
        <v>1575.0</v>
      </c>
      <c r="G99" s="27">
        <v>771.0</v>
      </c>
      <c r="H99" s="27">
        <v>486.0</v>
      </c>
      <c r="I99" s="27">
        <v>25200.0</v>
      </c>
      <c r="J99" s="27">
        <v>24826.0</v>
      </c>
      <c r="K99" s="27">
        <v>17.0</v>
      </c>
      <c r="L99" s="28" t="s">
        <v>16</v>
      </c>
      <c r="M99" s="10"/>
      <c r="N99" s="10"/>
      <c r="O99" s="28" t="str">
        <f t="shared" si="1"/>
        <v>#LiveForNow</v>
      </c>
      <c r="P99" s="27">
        <f t="shared" si="2"/>
        <v>2061</v>
      </c>
    </row>
    <row r="100">
      <c r="A100" s="10" t="s">
        <v>149</v>
      </c>
      <c r="B100" s="10" t="s">
        <v>24</v>
      </c>
      <c r="C100" s="26">
        <v>45475.0</v>
      </c>
      <c r="D100" s="10" t="s">
        <v>34</v>
      </c>
      <c r="E100" s="10" t="s">
        <v>49</v>
      </c>
      <c r="F100" s="27">
        <v>4171.0</v>
      </c>
      <c r="G100" s="27">
        <v>548.0</v>
      </c>
      <c r="H100" s="27">
        <v>86.0</v>
      </c>
      <c r="I100" s="27">
        <v>66736.0</v>
      </c>
      <c r="J100" s="27">
        <v>66634.0</v>
      </c>
      <c r="K100" s="27">
        <v>173.0</v>
      </c>
      <c r="L100" s="28" t="s">
        <v>16</v>
      </c>
      <c r="M100" s="10"/>
      <c r="N100" s="10"/>
      <c r="O100" s="28" t="str">
        <f t="shared" si="1"/>
        <v>#LiveForNow</v>
      </c>
      <c r="P100" s="27">
        <f t="shared" si="2"/>
        <v>4257</v>
      </c>
    </row>
    <row r="101">
      <c r="A101" s="10" t="s">
        <v>150</v>
      </c>
      <c r="B101" s="10" t="s">
        <v>24</v>
      </c>
      <c r="C101" s="26">
        <v>45698.0</v>
      </c>
      <c r="D101" s="10" t="s">
        <v>53</v>
      </c>
      <c r="E101" s="10" t="s">
        <v>133</v>
      </c>
      <c r="F101" s="27">
        <v>1766.0</v>
      </c>
      <c r="G101" s="27">
        <v>92.0</v>
      </c>
      <c r="H101" s="27">
        <v>424.0</v>
      </c>
      <c r="I101" s="27">
        <v>24724.0</v>
      </c>
      <c r="J101" s="27">
        <v>24333.0</v>
      </c>
      <c r="K101" s="27">
        <v>52.0</v>
      </c>
      <c r="L101" s="28" t="s">
        <v>30</v>
      </c>
      <c r="M101" s="10"/>
      <c r="N101" s="10"/>
      <c r="O101" s="28" t="str">
        <f t="shared" si="1"/>
        <v>#ThirstyForMore</v>
      </c>
      <c r="P101" s="27">
        <f t="shared" si="2"/>
        <v>2190</v>
      </c>
    </row>
    <row r="102">
      <c r="A102" s="10" t="s">
        <v>151</v>
      </c>
      <c r="B102" s="10" t="s">
        <v>24</v>
      </c>
      <c r="C102" s="26">
        <v>45583.0</v>
      </c>
      <c r="D102" s="10" t="s">
        <v>53</v>
      </c>
      <c r="E102" s="10" t="s">
        <v>133</v>
      </c>
      <c r="F102" s="27">
        <v>4450.0</v>
      </c>
      <c r="G102" s="27">
        <v>983.0</v>
      </c>
      <c r="H102" s="27">
        <v>143.0</v>
      </c>
      <c r="I102" s="27">
        <v>75650.0</v>
      </c>
      <c r="J102" s="27">
        <v>75008.0</v>
      </c>
      <c r="K102" s="27">
        <v>12.0</v>
      </c>
      <c r="L102" s="28" t="s">
        <v>16</v>
      </c>
      <c r="M102" s="10"/>
      <c r="N102" s="10"/>
      <c r="O102" s="28" t="str">
        <f t="shared" si="1"/>
        <v>#LiveForNow</v>
      </c>
      <c r="P102" s="27">
        <f t="shared" si="2"/>
        <v>4593</v>
      </c>
    </row>
    <row r="103">
      <c r="A103" s="10" t="s">
        <v>152</v>
      </c>
      <c r="B103" s="10" t="s">
        <v>13</v>
      </c>
      <c r="C103" s="26">
        <v>45553.0</v>
      </c>
      <c r="D103" s="10" t="s">
        <v>14</v>
      </c>
      <c r="E103" s="10" t="s">
        <v>15</v>
      </c>
      <c r="F103" s="27">
        <v>1000.0</v>
      </c>
      <c r="G103" s="27">
        <v>978.0</v>
      </c>
      <c r="H103" s="27">
        <v>162.0</v>
      </c>
      <c r="I103" s="27">
        <v>6000.0</v>
      </c>
      <c r="J103" s="27">
        <v>5221.0</v>
      </c>
      <c r="K103" s="27">
        <v>223.0</v>
      </c>
      <c r="L103" s="28" t="s">
        <v>30</v>
      </c>
      <c r="M103" s="10"/>
      <c r="N103" s="10"/>
      <c r="O103" s="28" t="str">
        <f t="shared" si="1"/>
        <v>#ThirstyForMore</v>
      </c>
      <c r="P103" s="27">
        <f t="shared" si="2"/>
        <v>1162</v>
      </c>
    </row>
    <row r="104">
      <c r="A104" s="10" t="s">
        <v>153</v>
      </c>
      <c r="B104" s="10" t="s">
        <v>33</v>
      </c>
      <c r="C104" s="26">
        <v>45454.0</v>
      </c>
      <c r="D104" s="10" t="s">
        <v>39</v>
      </c>
      <c r="E104" s="10" t="s">
        <v>44</v>
      </c>
      <c r="F104" s="27">
        <v>3689.0</v>
      </c>
      <c r="G104" s="27">
        <v>48.0</v>
      </c>
      <c r="H104" s="27">
        <v>306.0</v>
      </c>
      <c r="I104" s="27">
        <v>40579.0</v>
      </c>
      <c r="J104" s="27">
        <v>39588.0</v>
      </c>
      <c r="K104" s="27">
        <v>212.0</v>
      </c>
      <c r="L104" s="28" t="s">
        <v>30</v>
      </c>
      <c r="M104" s="10"/>
      <c r="N104" s="10"/>
      <c r="O104" s="28" t="str">
        <f t="shared" si="1"/>
        <v>#ThirstyForMore</v>
      </c>
      <c r="P104" s="27">
        <f t="shared" si="2"/>
        <v>3995</v>
      </c>
    </row>
    <row r="105">
      <c r="A105" s="10" t="s">
        <v>154</v>
      </c>
      <c r="B105" s="10" t="s">
        <v>24</v>
      </c>
      <c r="C105" s="26">
        <v>45739.0</v>
      </c>
      <c r="D105" s="10" t="s">
        <v>28</v>
      </c>
      <c r="E105" s="10" t="s">
        <v>98</v>
      </c>
      <c r="F105" s="27">
        <v>3655.0</v>
      </c>
      <c r="G105" s="27">
        <v>568.0</v>
      </c>
      <c r="H105" s="27">
        <v>286.0</v>
      </c>
      <c r="I105" s="27">
        <v>32895.0</v>
      </c>
      <c r="J105" s="27">
        <v>32015.0</v>
      </c>
      <c r="K105" s="27">
        <v>199.0</v>
      </c>
      <c r="L105" s="28" t="s">
        <v>21</v>
      </c>
      <c r="M105" s="10"/>
      <c r="N105" s="10"/>
      <c r="O105" s="28" t="str">
        <f t="shared" si="1"/>
        <v>#PepsiCoRefresh</v>
      </c>
      <c r="P105" s="27">
        <f t="shared" si="2"/>
        <v>3941</v>
      </c>
    </row>
    <row r="106">
      <c r="A106" s="10" t="s">
        <v>155</v>
      </c>
      <c r="B106" s="10" t="s">
        <v>27</v>
      </c>
      <c r="C106" s="26">
        <v>45457.0</v>
      </c>
      <c r="D106" s="10" t="s">
        <v>34</v>
      </c>
      <c r="E106" s="10" t="s">
        <v>62</v>
      </c>
      <c r="F106" s="27">
        <v>498.0</v>
      </c>
      <c r="G106" s="27">
        <v>38.0</v>
      </c>
      <c r="H106" s="27">
        <v>42.0</v>
      </c>
      <c r="I106" s="27">
        <v>4482.0</v>
      </c>
      <c r="J106" s="27">
        <v>3647.0</v>
      </c>
      <c r="K106" s="27">
        <v>32.0</v>
      </c>
      <c r="L106" s="28" t="s">
        <v>16</v>
      </c>
      <c r="M106" s="10"/>
      <c r="N106" s="10"/>
      <c r="O106" s="28" t="str">
        <f t="shared" si="1"/>
        <v>#LiveForNow</v>
      </c>
      <c r="P106" s="27">
        <f t="shared" si="2"/>
        <v>540</v>
      </c>
    </row>
    <row r="107">
      <c r="A107" s="10" t="s">
        <v>156</v>
      </c>
      <c r="B107" s="10" t="s">
        <v>27</v>
      </c>
      <c r="C107" s="26">
        <v>45692.0</v>
      </c>
      <c r="D107" s="10" t="s">
        <v>39</v>
      </c>
      <c r="E107" s="10" t="s">
        <v>131</v>
      </c>
      <c r="F107" s="27">
        <v>4619.0</v>
      </c>
      <c r="G107" s="27">
        <v>821.0</v>
      </c>
      <c r="H107" s="27">
        <v>499.0</v>
      </c>
      <c r="I107" s="27">
        <v>69285.0</v>
      </c>
      <c r="J107" s="27">
        <v>69141.0</v>
      </c>
      <c r="K107" s="27">
        <v>298.0</v>
      </c>
      <c r="L107" s="28" t="s">
        <v>21</v>
      </c>
      <c r="M107" s="10"/>
      <c r="N107" s="10"/>
      <c r="O107" s="28" t="str">
        <f t="shared" si="1"/>
        <v>#PepsiCoRefresh</v>
      </c>
      <c r="P107" s="27">
        <f t="shared" si="2"/>
        <v>5118</v>
      </c>
    </row>
    <row r="108">
      <c r="A108" s="10" t="s">
        <v>157</v>
      </c>
      <c r="B108" s="10" t="s">
        <v>24</v>
      </c>
      <c r="C108" s="26">
        <v>45464.0</v>
      </c>
      <c r="D108" s="10" t="s">
        <v>39</v>
      </c>
      <c r="E108" s="10" t="s">
        <v>40</v>
      </c>
      <c r="F108" s="27">
        <v>4832.0</v>
      </c>
      <c r="G108" s="27">
        <v>893.0</v>
      </c>
      <c r="H108" s="27">
        <v>10.0</v>
      </c>
      <c r="I108" s="27">
        <v>91808.0</v>
      </c>
      <c r="J108" s="27">
        <v>91296.0</v>
      </c>
      <c r="K108" s="27">
        <v>182.0</v>
      </c>
      <c r="L108" s="28" t="s">
        <v>21</v>
      </c>
      <c r="M108" s="10"/>
      <c r="N108" s="10"/>
      <c r="O108" s="28" t="str">
        <f t="shared" si="1"/>
        <v>#PepsiCoRefresh</v>
      </c>
      <c r="P108" s="27">
        <f t="shared" si="2"/>
        <v>4842</v>
      </c>
    </row>
    <row r="109">
      <c r="A109" s="10" t="s">
        <v>158</v>
      </c>
      <c r="B109" s="10" t="s">
        <v>13</v>
      </c>
      <c r="C109" s="26">
        <v>45741.0</v>
      </c>
      <c r="D109" s="10" t="s">
        <v>53</v>
      </c>
      <c r="E109" s="10" t="s">
        <v>92</v>
      </c>
      <c r="F109" s="27">
        <v>4050.0</v>
      </c>
      <c r="G109" s="27">
        <v>871.0</v>
      </c>
      <c r="H109" s="27">
        <v>347.0</v>
      </c>
      <c r="I109" s="27">
        <v>52650.0</v>
      </c>
      <c r="J109" s="27">
        <v>51755.0</v>
      </c>
      <c r="K109" s="27">
        <v>209.0</v>
      </c>
      <c r="L109" s="28" t="s">
        <v>21</v>
      </c>
      <c r="M109" s="10"/>
      <c r="N109" s="10"/>
      <c r="O109" s="28" t="str">
        <f t="shared" si="1"/>
        <v>#PepsiCoRefresh</v>
      </c>
      <c r="P109" s="27">
        <f t="shared" si="2"/>
        <v>4397</v>
      </c>
    </row>
    <row r="110">
      <c r="A110" s="10" t="s">
        <v>159</v>
      </c>
      <c r="B110" s="10" t="s">
        <v>13</v>
      </c>
      <c r="C110" s="26">
        <v>45512.0</v>
      </c>
      <c r="D110" s="10" t="s">
        <v>28</v>
      </c>
      <c r="E110" s="10" t="s">
        <v>95</v>
      </c>
      <c r="F110" s="27">
        <v>3649.0</v>
      </c>
      <c r="G110" s="27">
        <v>215.0</v>
      </c>
      <c r="H110" s="27">
        <v>413.0</v>
      </c>
      <c r="I110" s="27">
        <v>25543.0</v>
      </c>
      <c r="J110" s="27">
        <v>24963.0</v>
      </c>
      <c r="K110" s="27">
        <v>167.0</v>
      </c>
      <c r="L110" s="28" t="s">
        <v>16</v>
      </c>
      <c r="M110" s="10"/>
      <c r="N110" s="10"/>
      <c r="O110" s="28" t="str">
        <f t="shared" si="1"/>
        <v>#LiveForNow</v>
      </c>
      <c r="P110" s="27">
        <f t="shared" si="2"/>
        <v>4062</v>
      </c>
    </row>
    <row r="111">
      <c r="A111" s="10" t="s">
        <v>160</v>
      </c>
      <c r="B111" s="10" t="s">
        <v>27</v>
      </c>
      <c r="C111" s="26">
        <v>45502.0</v>
      </c>
      <c r="D111" s="10" t="s">
        <v>14</v>
      </c>
      <c r="E111" s="10" t="s">
        <v>58</v>
      </c>
      <c r="F111" s="27">
        <v>3523.0</v>
      </c>
      <c r="G111" s="27">
        <v>753.0</v>
      </c>
      <c r="H111" s="27">
        <v>482.0</v>
      </c>
      <c r="I111" s="27">
        <v>38753.0</v>
      </c>
      <c r="J111" s="27">
        <v>38579.0</v>
      </c>
      <c r="K111" s="27">
        <v>270.0</v>
      </c>
      <c r="L111" s="28" t="s">
        <v>30</v>
      </c>
      <c r="M111" s="10"/>
      <c r="N111" s="10"/>
      <c r="O111" s="28" t="str">
        <f t="shared" si="1"/>
        <v>#ThirstyForMore</v>
      </c>
      <c r="P111" s="27">
        <f t="shared" si="2"/>
        <v>4005</v>
      </c>
    </row>
    <row r="112">
      <c r="A112" s="10" t="s">
        <v>161</v>
      </c>
      <c r="B112" s="10" t="s">
        <v>24</v>
      </c>
      <c r="C112" s="26">
        <v>45619.0</v>
      </c>
      <c r="D112" s="10" t="s">
        <v>39</v>
      </c>
      <c r="E112" s="10" t="s">
        <v>40</v>
      </c>
      <c r="F112" s="27">
        <v>2719.0</v>
      </c>
      <c r="G112" s="27">
        <v>17.0</v>
      </c>
      <c r="H112" s="27">
        <v>285.0</v>
      </c>
      <c r="I112" s="27">
        <v>40785.0</v>
      </c>
      <c r="J112" s="27">
        <v>40281.0</v>
      </c>
      <c r="K112" s="27">
        <v>40.0</v>
      </c>
      <c r="L112" s="28" t="s">
        <v>21</v>
      </c>
      <c r="M112" s="10"/>
      <c r="N112" s="10"/>
      <c r="O112" s="28" t="str">
        <f t="shared" si="1"/>
        <v>#PepsiCoRefresh</v>
      </c>
      <c r="P112" s="27">
        <f t="shared" si="2"/>
        <v>3004</v>
      </c>
    </row>
    <row r="113">
      <c r="A113" s="10" t="s">
        <v>162</v>
      </c>
      <c r="B113" s="10" t="s">
        <v>13</v>
      </c>
      <c r="C113" s="26">
        <v>45570.0</v>
      </c>
      <c r="D113" s="10" t="s">
        <v>28</v>
      </c>
      <c r="E113" s="10" t="s">
        <v>95</v>
      </c>
      <c r="F113" s="27">
        <v>1957.0</v>
      </c>
      <c r="G113" s="27">
        <v>877.0</v>
      </c>
      <c r="H113" s="27">
        <v>238.0</v>
      </c>
      <c r="I113" s="27">
        <v>17613.0</v>
      </c>
      <c r="J113" s="27">
        <v>16865.0</v>
      </c>
      <c r="K113" s="27">
        <v>297.0</v>
      </c>
      <c r="L113" s="28" t="s">
        <v>16</v>
      </c>
      <c r="M113" s="10"/>
      <c r="N113" s="10"/>
      <c r="O113" s="28" t="str">
        <f t="shared" si="1"/>
        <v>#LiveForNow</v>
      </c>
      <c r="P113" s="27">
        <f t="shared" si="2"/>
        <v>2195</v>
      </c>
    </row>
    <row r="114">
      <c r="A114" s="10" t="s">
        <v>163</v>
      </c>
      <c r="B114" s="10" t="s">
        <v>13</v>
      </c>
      <c r="C114" s="26">
        <v>45567.0</v>
      </c>
      <c r="D114" s="10" t="s">
        <v>34</v>
      </c>
      <c r="E114" s="10" t="s">
        <v>37</v>
      </c>
      <c r="F114" s="27">
        <v>4419.0</v>
      </c>
      <c r="G114" s="27">
        <v>236.0</v>
      </c>
      <c r="H114" s="27">
        <v>369.0</v>
      </c>
      <c r="I114" s="27">
        <v>44190.0</v>
      </c>
      <c r="J114" s="27">
        <v>43582.0</v>
      </c>
      <c r="K114" s="27">
        <v>10.0</v>
      </c>
      <c r="L114" s="28" t="s">
        <v>30</v>
      </c>
      <c r="M114" s="10"/>
      <c r="N114" s="10"/>
      <c r="O114" s="28" t="str">
        <f t="shared" si="1"/>
        <v>#ThirstyForMore</v>
      </c>
      <c r="P114" s="27">
        <f t="shared" si="2"/>
        <v>4788</v>
      </c>
    </row>
    <row r="115">
      <c r="A115" s="10" t="s">
        <v>164</v>
      </c>
      <c r="B115" s="10" t="s">
        <v>13</v>
      </c>
      <c r="C115" s="26">
        <v>45610.0</v>
      </c>
      <c r="D115" s="10" t="s">
        <v>28</v>
      </c>
      <c r="E115" s="10" t="s">
        <v>95</v>
      </c>
      <c r="F115" s="27">
        <v>4000.0</v>
      </c>
      <c r="G115" s="27">
        <v>689.0</v>
      </c>
      <c r="H115" s="27">
        <v>488.0</v>
      </c>
      <c r="I115" s="27">
        <v>40000.0</v>
      </c>
      <c r="J115" s="27">
        <v>39569.0</v>
      </c>
      <c r="K115" s="27">
        <v>44.0</v>
      </c>
      <c r="L115" s="28" t="s">
        <v>16</v>
      </c>
      <c r="M115" s="10"/>
      <c r="N115" s="10"/>
      <c r="O115" s="28" t="str">
        <f t="shared" si="1"/>
        <v>#LiveForNow</v>
      </c>
      <c r="P115" s="27">
        <f t="shared" si="2"/>
        <v>4488</v>
      </c>
    </row>
    <row r="116">
      <c r="A116" s="10" t="s">
        <v>165</v>
      </c>
      <c r="B116" s="10" t="s">
        <v>13</v>
      </c>
      <c r="C116" s="26">
        <v>45788.0</v>
      </c>
      <c r="D116" s="10" t="s">
        <v>39</v>
      </c>
      <c r="E116" s="10" t="s">
        <v>85</v>
      </c>
      <c r="F116" s="27">
        <v>2493.0</v>
      </c>
      <c r="G116" s="27">
        <v>97.0</v>
      </c>
      <c r="H116" s="27">
        <v>44.0</v>
      </c>
      <c r="I116" s="27">
        <v>42381.0</v>
      </c>
      <c r="J116" s="27">
        <v>41991.0</v>
      </c>
      <c r="K116" s="27">
        <v>242.0</v>
      </c>
      <c r="L116" s="28" t="s">
        <v>21</v>
      </c>
      <c r="M116" s="28" t="s">
        <v>17</v>
      </c>
      <c r="N116" s="10"/>
      <c r="O116" s="28" t="str">
        <f t="shared" si="1"/>
        <v>#PepsiCoRefresh#AnytimeIsPepsiTime</v>
      </c>
      <c r="P116" s="27">
        <f t="shared" si="2"/>
        <v>2537</v>
      </c>
    </row>
    <row r="117">
      <c r="A117" s="10" t="s">
        <v>166</v>
      </c>
      <c r="B117" s="10" t="s">
        <v>24</v>
      </c>
      <c r="C117" s="26">
        <v>45734.0</v>
      </c>
      <c r="D117" s="10" t="s">
        <v>14</v>
      </c>
      <c r="E117" s="10" t="s">
        <v>25</v>
      </c>
      <c r="F117" s="27">
        <v>3704.0</v>
      </c>
      <c r="G117" s="27">
        <v>186.0</v>
      </c>
      <c r="H117" s="27">
        <v>458.0</v>
      </c>
      <c r="I117" s="27">
        <v>25928.0</v>
      </c>
      <c r="J117" s="27">
        <v>25081.0</v>
      </c>
      <c r="K117" s="27">
        <v>131.0</v>
      </c>
      <c r="L117" s="28" t="s">
        <v>21</v>
      </c>
      <c r="M117" s="10"/>
      <c r="N117" s="10"/>
      <c r="O117" s="28" t="str">
        <f t="shared" si="1"/>
        <v>#PepsiCoRefresh</v>
      </c>
      <c r="P117" s="27">
        <f t="shared" si="2"/>
        <v>4162</v>
      </c>
    </row>
    <row r="118">
      <c r="A118" s="10" t="s">
        <v>167</v>
      </c>
      <c r="B118" s="10" t="s">
        <v>13</v>
      </c>
      <c r="C118" s="26">
        <v>45600.0</v>
      </c>
      <c r="D118" s="10" t="s">
        <v>39</v>
      </c>
      <c r="E118" s="10" t="s">
        <v>85</v>
      </c>
      <c r="F118" s="27">
        <v>1606.0</v>
      </c>
      <c r="G118" s="27">
        <v>451.0</v>
      </c>
      <c r="H118" s="27">
        <v>405.0</v>
      </c>
      <c r="I118" s="27">
        <v>20878.0</v>
      </c>
      <c r="J118" s="27">
        <v>20190.0</v>
      </c>
      <c r="K118" s="27">
        <v>219.0</v>
      </c>
      <c r="L118" s="28" t="s">
        <v>30</v>
      </c>
      <c r="M118" s="10"/>
      <c r="N118" s="10"/>
      <c r="O118" s="28" t="str">
        <f t="shared" si="1"/>
        <v>#ThirstyForMore</v>
      </c>
      <c r="P118" s="27">
        <f t="shared" si="2"/>
        <v>2011</v>
      </c>
    </row>
    <row r="119">
      <c r="A119" s="10" t="s">
        <v>168</v>
      </c>
      <c r="B119" s="10" t="s">
        <v>33</v>
      </c>
      <c r="C119" s="26">
        <v>45600.0</v>
      </c>
      <c r="D119" s="10" t="s">
        <v>39</v>
      </c>
      <c r="E119" s="10" t="s">
        <v>44</v>
      </c>
      <c r="F119" s="27">
        <v>4551.0</v>
      </c>
      <c r="G119" s="27">
        <v>714.0</v>
      </c>
      <c r="H119" s="27">
        <v>207.0</v>
      </c>
      <c r="I119" s="27">
        <v>68265.0</v>
      </c>
      <c r="J119" s="27">
        <v>67754.0</v>
      </c>
      <c r="K119" s="27">
        <v>57.0</v>
      </c>
      <c r="L119" s="28" t="s">
        <v>16</v>
      </c>
      <c r="M119" s="10"/>
      <c r="N119" s="10"/>
      <c r="O119" s="28" t="str">
        <f t="shared" si="1"/>
        <v>#LiveForNow</v>
      </c>
      <c r="P119" s="27">
        <f t="shared" si="2"/>
        <v>4758</v>
      </c>
    </row>
    <row r="120">
      <c r="A120" s="10" t="s">
        <v>169</v>
      </c>
      <c r="B120" s="10" t="s">
        <v>27</v>
      </c>
      <c r="C120" s="26">
        <v>45695.0</v>
      </c>
      <c r="D120" s="10" t="s">
        <v>14</v>
      </c>
      <c r="E120" s="10" t="s">
        <v>58</v>
      </c>
      <c r="F120" s="27">
        <v>1970.0</v>
      </c>
      <c r="G120" s="27">
        <v>675.0</v>
      </c>
      <c r="H120" s="27">
        <v>478.0</v>
      </c>
      <c r="I120" s="27">
        <v>9850.0</v>
      </c>
      <c r="J120" s="27">
        <v>8924.0</v>
      </c>
      <c r="K120" s="27">
        <v>117.0</v>
      </c>
      <c r="L120" s="28" t="s">
        <v>16</v>
      </c>
      <c r="M120" s="10"/>
      <c r="N120" s="10"/>
      <c r="O120" s="28" t="str">
        <f t="shared" si="1"/>
        <v>#LiveForNow</v>
      </c>
      <c r="P120" s="27">
        <f t="shared" si="2"/>
        <v>2448</v>
      </c>
    </row>
    <row r="121">
      <c r="A121" s="10" t="s">
        <v>170</v>
      </c>
      <c r="B121" s="10" t="s">
        <v>33</v>
      </c>
      <c r="C121" s="26">
        <v>45586.0</v>
      </c>
      <c r="D121" s="10" t="s">
        <v>28</v>
      </c>
      <c r="E121" s="10" t="s">
        <v>51</v>
      </c>
      <c r="F121" s="27">
        <v>780.0</v>
      </c>
      <c r="G121" s="27">
        <v>928.0</v>
      </c>
      <c r="H121" s="27">
        <v>301.0</v>
      </c>
      <c r="I121" s="27">
        <v>8580.0</v>
      </c>
      <c r="J121" s="27">
        <v>8081.0</v>
      </c>
      <c r="K121" s="27">
        <v>91.0</v>
      </c>
      <c r="L121" s="28" t="s">
        <v>30</v>
      </c>
      <c r="M121" s="10"/>
      <c r="N121" s="10"/>
      <c r="O121" s="28" t="str">
        <f t="shared" si="1"/>
        <v>#ThirstyForMore</v>
      </c>
      <c r="P121" s="27">
        <f t="shared" si="2"/>
        <v>1081</v>
      </c>
    </row>
    <row r="122">
      <c r="A122" s="10" t="s">
        <v>171</v>
      </c>
      <c r="B122" s="10" t="s">
        <v>27</v>
      </c>
      <c r="C122" s="26">
        <v>45502.0</v>
      </c>
      <c r="D122" s="10" t="s">
        <v>28</v>
      </c>
      <c r="E122" s="10" t="s">
        <v>29</v>
      </c>
      <c r="F122" s="27">
        <v>498.0</v>
      </c>
      <c r="G122" s="27">
        <v>701.0</v>
      </c>
      <c r="H122" s="27">
        <v>412.0</v>
      </c>
      <c r="I122" s="27">
        <v>4980.0</v>
      </c>
      <c r="J122" s="27">
        <v>4185.0</v>
      </c>
      <c r="K122" s="27">
        <v>185.0</v>
      </c>
      <c r="L122" s="28" t="s">
        <v>16</v>
      </c>
      <c r="M122" s="10"/>
      <c r="N122" s="10"/>
      <c r="O122" s="28" t="str">
        <f t="shared" si="1"/>
        <v>#LiveForNow</v>
      </c>
      <c r="P122" s="27">
        <f t="shared" si="2"/>
        <v>910</v>
      </c>
    </row>
    <row r="123">
      <c r="A123" s="10" t="s">
        <v>172</v>
      </c>
      <c r="B123" s="10" t="s">
        <v>27</v>
      </c>
      <c r="C123" s="26">
        <v>45567.0</v>
      </c>
      <c r="D123" s="10" t="s">
        <v>19</v>
      </c>
      <c r="E123" s="10" t="s">
        <v>75</v>
      </c>
      <c r="F123" s="27">
        <v>3432.0</v>
      </c>
      <c r="G123" s="27">
        <v>869.0</v>
      </c>
      <c r="H123" s="27">
        <v>123.0</v>
      </c>
      <c r="I123" s="27">
        <v>54912.0</v>
      </c>
      <c r="J123" s="27">
        <v>53916.0</v>
      </c>
      <c r="K123" s="27">
        <v>264.0</v>
      </c>
      <c r="L123" s="28" t="s">
        <v>30</v>
      </c>
      <c r="M123" s="10"/>
      <c r="N123" s="10"/>
      <c r="O123" s="28" t="str">
        <f t="shared" si="1"/>
        <v>#ThirstyForMore</v>
      </c>
      <c r="P123" s="27">
        <f t="shared" si="2"/>
        <v>3555</v>
      </c>
    </row>
    <row r="124">
      <c r="A124" s="10" t="s">
        <v>173</v>
      </c>
      <c r="B124" s="10" t="s">
        <v>27</v>
      </c>
      <c r="C124" s="26">
        <v>45457.0</v>
      </c>
      <c r="D124" s="10" t="s">
        <v>28</v>
      </c>
      <c r="E124" s="10" t="s">
        <v>29</v>
      </c>
      <c r="F124" s="27">
        <v>4363.0</v>
      </c>
      <c r="G124" s="27">
        <v>649.0</v>
      </c>
      <c r="H124" s="27">
        <v>140.0</v>
      </c>
      <c r="I124" s="27">
        <v>21815.0</v>
      </c>
      <c r="J124" s="27">
        <v>21481.0</v>
      </c>
      <c r="K124" s="27">
        <v>157.0</v>
      </c>
      <c r="L124" s="28" t="s">
        <v>30</v>
      </c>
      <c r="M124" s="10"/>
      <c r="N124" s="10"/>
      <c r="O124" s="28" t="str">
        <f t="shared" si="1"/>
        <v>#ThirstyForMore</v>
      </c>
      <c r="P124" s="27">
        <f t="shared" si="2"/>
        <v>4503</v>
      </c>
    </row>
    <row r="125">
      <c r="A125" s="10" t="s">
        <v>174</v>
      </c>
      <c r="B125" s="10" t="s">
        <v>24</v>
      </c>
      <c r="C125" s="26">
        <v>45753.0</v>
      </c>
      <c r="D125" s="10" t="s">
        <v>34</v>
      </c>
      <c r="E125" s="10" t="s">
        <v>49</v>
      </c>
      <c r="F125" s="27">
        <v>736.0</v>
      </c>
      <c r="G125" s="27">
        <v>771.0</v>
      </c>
      <c r="H125" s="27">
        <v>225.0</v>
      </c>
      <c r="I125" s="27">
        <v>5152.0</v>
      </c>
      <c r="J125" s="27">
        <v>4706.0</v>
      </c>
      <c r="K125" s="27">
        <v>19.0</v>
      </c>
      <c r="L125" s="28" t="s">
        <v>30</v>
      </c>
      <c r="M125" s="10"/>
      <c r="N125" s="10"/>
      <c r="O125" s="28" t="str">
        <f t="shared" si="1"/>
        <v>#ThirstyForMore</v>
      </c>
      <c r="P125" s="27">
        <f t="shared" si="2"/>
        <v>961</v>
      </c>
    </row>
    <row r="126">
      <c r="A126" s="10" t="s">
        <v>175</v>
      </c>
      <c r="B126" s="10" t="s">
        <v>13</v>
      </c>
      <c r="C126" s="26">
        <v>45543.0</v>
      </c>
      <c r="D126" s="10" t="s">
        <v>34</v>
      </c>
      <c r="E126" s="10" t="s">
        <v>37</v>
      </c>
      <c r="F126" s="27">
        <v>3811.0</v>
      </c>
      <c r="G126" s="27">
        <v>866.0</v>
      </c>
      <c r="H126" s="27">
        <v>216.0</v>
      </c>
      <c r="I126" s="27">
        <v>34299.0</v>
      </c>
      <c r="J126" s="27">
        <v>34088.0</v>
      </c>
      <c r="K126" s="27">
        <v>233.0</v>
      </c>
      <c r="L126" s="28" t="s">
        <v>21</v>
      </c>
      <c r="M126" s="10"/>
      <c r="N126" s="10"/>
      <c r="O126" s="28" t="str">
        <f t="shared" si="1"/>
        <v>#PepsiCoRefresh</v>
      </c>
      <c r="P126" s="27">
        <f t="shared" si="2"/>
        <v>4027</v>
      </c>
    </row>
    <row r="127">
      <c r="A127" s="10" t="s">
        <v>176</v>
      </c>
      <c r="B127" s="10" t="s">
        <v>27</v>
      </c>
      <c r="C127" s="26">
        <v>45744.0</v>
      </c>
      <c r="D127" s="10" t="s">
        <v>34</v>
      </c>
      <c r="E127" s="10" t="s">
        <v>62</v>
      </c>
      <c r="F127" s="27">
        <v>4158.0</v>
      </c>
      <c r="G127" s="27">
        <v>167.0</v>
      </c>
      <c r="H127" s="27">
        <v>241.0</v>
      </c>
      <c r="I127" s="27">
        <v>45738.0</v>
      </c>
      <c r="J127" s="27">
        <v>45183.0</v>
      </c>
      <c r="K127" s="27">
        <v>142.0</v>
      </c>
      <c r="L127" s="28" t="s">
        <v>16</v>
      </c>
      <c r="M127" s="10"/>
      <c r="N127" s="10"/>
      <c r="O127" s="28" t="str">
        <f t="shared" si="1"/>
        <v>#LiveForNow</v>
      </c>
      <c r="P127" s="27">
        <f t="shared" si="2"/>
        <v>4399</v>
      </c>
    </row>
    <row r="128">
      <c r="A128" s="10" t="s">
        <v>177</v>
      </c>
      <c r="B128" s="10" t="s">
        <v>33</v>
      </c>
      <c r="C128" s="26">
        <v>45684.0</v>
      </c>
      <c r="D128" s="10" t="s">
        <v>14</v>
      </c>
      <c r="E128" s="10" t="s">
        <v>47</v>
      </c>
      <c r="F128" s="27">
        <v>3452.0</v>
      </c>
      <c r="G128" s="27">
        <v>652.0</v>
      </c>
      <c r="H128" s="27">
        <v>442.0</v>
      </c>
      <c r="I128" s="27">
        <v>65588.0</v>
      </c>
      <c r="J128" s="27">
        <v>65049.0</v>
      </c>
      <c r="K128" s="27">
        <v>158.0</v>
      </c>
      <c r="L128" s="28" t="s">
        <v>16</v>
      </c>
      <c r="M128" s="10"/>
      <c r="N128" s="10"/>
      <c r="O128" s="28" t="str">
        <f t="shared" si="1"/>
        <v>#LiveForNow</v>
      </c>
      <c r="P128" s="27">
        <f t="shared" si="2"/>
        <v>3894</v>
      </c>
    </row>
    <row r="129">
      <c r="A129" s="10" t="s">
        <v>178</v>
      </c>
      <c r="B129" s="10" t="s">
        <v>13</v>
      </c>
      <c r="C129" s="26">
        <v>45667.0</v>
      </c>
      <c r="D129" s="10" t="s">
        <v>39</v>
      </c>
      <c r="E129" s="10" t="s">
        <v>85</v>
      </c>
      <c r="F129" s="27">
        <v>3092.0</v>
      </c>
      <c r="G129" s="27">
        <v>106.0</v>
      </c>
      <c r="H129" s="27">
        <v>291.0</v>
      </c>
      <c r="I129" s="27">
        <v>27828.0</v>
      </c>
      <c r="J129" s="27">
        <v>27217.0</v>
      </c>
      <c r="K129" s="27">
        <v>102.0</v>
      </c>
      <c r="L129" s="28" t="s">
        <v>16</v>
      </c>
      <c r="M129" s="10"/>
      <c r="N129" s="10"/>
      <c r="O129" s="28" t="str">
        <f t="shared" si="1"/>
        <v>#LiveForNow</v>
      </c>
      <c r="P129" s="27">
        <f t="shared" si="2"/>
        <v>3383</v>
      </c>
    </row>
    <row r="130">
      <c r="A130" s="10" t="s">
        <v>179</v>
      </c>
      <c r="B130" s="10" t="s">
        <v>13</v>
      </c>
      <c r="C130" s="26">
        <v>45494.0</v>
      </c>
      <c r="D130" s="10" t="s">
        <v>19</v>
      </c>
      <c r="E130" s="10" t="s">
        <v>20</v>
      </c>
      <c r="F130" s="27">
        <v>2147.0</v>
      </c>
      <c r="G130" s="27">
        <v>430.0</v>
      </c>
      <c r="H130" s="27">
        <v>393.0</v>
      </c>
      <c r="I130" s="27">
        <v>17176.0</v>
      </c>
      <c r="J130" s="27">
        <v>16483.0</v>
      </c>
      <c r="K130" s="27">
        <v>170.0</v>
      </c>
      <c r="L130" s="28" t="s">
        <v>21</v>
      </c>
      <c r="M130" s="10"/>
      <c r="N130" s="10"/>
      <c r="O130" s="28" t="str">
        <f t="shared" si="1"/>
        <v>#PepsiCoRefresh</v>
      </c>
      <c r="P130" s="27">
        <f t="shared" si="2"/>
        <v>2540</v>
      </c>
    </row>
    <row r="131">
      <c r="A131" s="10" t="s">
        <v>180</v>
      </c>
      <c r="B131" s="10" t="s">
        <v>24</v>
      </c>
      <c r="C131" s="26">
        <v>45564.0</v>
      </c>
      <c r="D131" s="10" t="s">
        <v>14</v>
      </c>
      <c r="E131" s="10" t="s">
        <v>25</v>
      </c>
      <c r="F131" s="27">
        <v>2936.0</v>
      </c>
      <c r="G131" s="27">
        <v>439.0</v>
      </c>
      <c r="H131" s="27">
        <v>44.0</v>
      </c>
      <c r="I131" s="27">
        <v>38168.0</v>
      </c>
      <c r="J131" s="27">
        <v>37571.0</v>
      </c>
      <c r="K131" s="27">
        <v>22.0</v>
      </c>
      <c r="L131" s="28" t="s">
        <v>30</v>
      </c>
      <c r="M131" s="10"/>
      <c r="N131" s="10"/>
      <c r="O131" s="28" t="str">
        <f t="shared" si="1"/>
        <v>#ThirstyForMore</v>
      </c>
      <c r="P131" s="27">
        <f t="shared" si="2"/>
        <v>2980</v>
      </c>
    </row>
    <row r="132">
      <c r="A132" s="10" t="s">
        <v>181</v>
      </c>
      <c r="B132" s="10" t="s">
        <v>27</v>
      </c>
      <c r="C132" s="26">
        <v>45586.0</v>
      </c>
      <c r="D132" s="10" t="s">
        <v>14</v>
      </c>
      <c r="E132" s="10" t="s">
        <v>58</v>
      </c>
      <c r="F132" s="27">
        <v>4840.0</v>
      </c>
      <c r="G132" s="27">
        <v>658.0</v>
      </c>
      <c r="H132" s="27">
        <v>211.0</v>
      </c>
      <c r="I132" s="27">
        <v>43560.0</v>
      </c>
      <c r="J132" s="27">
        <v>43225.0</v>
      </c>
      <c r="K132" s="27">
        <v>57.0</v>
      </c>
      <c r="L132" s="28" t="s">
        <v>16</v>
      </c>
      <c r="M132" s="10"/>
      <c r="N132" s="10"/>
      <c r="O132" s="28" t="str">
        <f t="shared" si="1"/>
        <v>#LiveForNow</v>
      </c>
      <c r="P132" s="27">
        <f t="shared" si="2"/>
        <v>5051</v>
      </c>
    </row>
    <row r="133">
      <c r="A133" s="10" t="s">
        <v>182</v>
      </c>
      <c r="B133" s="10" t="s">
        <v>27</v>
      </c>
      <c r="C133" s="26">
        <v>45720.0</v>
      </c>
      <c r="D133" s="10" t="s">
        <v>28</v>
      </c>
      <c r="E133" s="10" t="s">
        <v>29</v>
      </c>
      <c r="F133" s="27">
        <v>1947.0</v>
      </c>
      <c r="G133" s="27">
        <v>842.0</v>
      </c>
      <c r="H133" s="27">
        <v>101.0</v>
      </c>
      <c r="I133" s="27">
        <v>21417.0</v>
      </c>
      <c r="J133" s="27">
        <v>20967.0</v>
      </c>
      <c r="K133" s="27">
        <v>186.0</v>
      </c>
      <c r="L133" s="28" t="s">
        <v>16</v>
      </c>
      <c r="M133" s="10"/>
      <c r="N133" s="10"/>
      <c r="O133" s="28" t="str">
        <f t="shared" si="1"/>
        <v>#LiveForNow</v>
      </c>
      <c r="P133" s="27">
        <f t="shared" si="2"/>
        <v>2048</v>
      </c>
    </row>
    <row r="134">
      <c r="A134" s="10" t="s">
        <v>183</v>
      </c>
      <c r="B134" s="10" t="s">
        <v>33</v>
      </c>
      <c r="C134" s="26">
        <v>45694.0</v>
      </c>
      <c r="D134" s="10" t="s">
        <v>39</v>
      </c>
      <c r="E134" s="10" t="s">
        <v>44</v>
      </c>
      <c r="F134" s="27">
        <v>2072.0</v>
      </c>
      <c r="G134" s="27">
        <v>532.0</v>
      </c>
      <c r="H134" s="27">
        <v>71.0</v>
      </c>
      <c r="I134" s="27">
        <v>37296.0</v>
      </c>
      <c r="J134" s="27">
        <v>36467.0</v>
      </c>
      <c r="K134" s="27">
        <v>25.0</v>
      </c>
      <c r="L134" s="28" t="s">
        <v>21</v>
      </c>
      <c r="M134" s="10"/>
      <c r="N134" s="10"/>
      <c r="O134" s="28" t="str">
        <f t="shared" si="1"/>
        <v>#PepsiCoRefresh</v>
      </c>
      <c r="P134" s="27">
        <f t="shared" si="2"/>
        <v>2143</v>
      </c>
    </row>
    <row r="135">
      <c r="A135" s="10" t="s">
        <v>184</v>
      </c>
      <c r="B135" s="10" t="s">
        <v>13</v>
      </c>
      <c r="C135" s="26">
        <v>45771.0</v>
      </c>
      <c r="D135" s="10" t="s">
        <v>14</v>
      </c>
      <c r="E135" s="10" t="s">
        <v>15</v>
      </c>
      <c r="F135" s="27">
        <v>3731.0</v>
      </c>
      <c r="G135" s="27">
        <v>115.0</v>
      </c>
      <c r="H135" s="27">
        <v>135.0</v>
      </c>
      <c r="I135" s="27">
        <v>55965.0</v>
      </c>
      <c r="J135" s="27">
        <v>55436.0</v>
      </c>
      <c r="K135" s="27">
        <v>103.0</v>
      </c>
      <c r="L135" s="28" t="s">
        <v>21</v>
      </c>
      <c r="M135" s="10"/>
      <c r="N135" s="10"/>
      <c r="O135" s="28" t="str">
        <f t="shared" si="1"/>
        <v>#PepsiCoRefresh</v>
      </c>
      <c r="P135" s="27">
        <f t="shared" si="2"/>
        <v>3866</v>
      </c>
    </row>
    <row r="136">
      <c r="A136" s="10" t="s">
        <v>185</v>
      </c>
      <c r="B136" s="10" t="s">
        <v>33</v>
      </c>
      <c r="C136" s="26">
        <v>45624.0</v>
      </c>
      <c r="D136" s="10" t="s">
        <v>19</v>
      </c>
      <c r="E136" s="10" t="s">
        <v>42</v>
      </c>
      <c r="F136" s="27">
        <v>4213.0</v>
      </c>
      <c r="G136" s="27">
        <v>253.0</v>
      </c>
      <c r="H136" s="27">
        <v>434.0</v>
      </c>
      <c r="I136" s="27">
        <v>75834.0</v>
      </c>
      <c r="J136" s="27">
        <v>75437.0</v>
      </c>
      <c r="K136" s="27">
        <v>272.0</v>
      </c>
      <c r="L136" s="28" t="s">
        <v>16</v>
      </c>
      <c r="M136" s="10"/>
      <c r="N136" s="10"/>
      <c r="O136" s="28" t="str">
        <f t="shared" si="1"/>
        <v>#LiveForNow</v>
      </c>
      <c r="P136" s="27">
        <f t="shared" si="2"/>
        <v>4647</v>
      </c>
    </row>
    <row r="137">
      <c r="A137" s="10" t="s">
        <v>186</v>
      </c>
      <c r="B137" s="10" t="s">
        <v>27</v>
      </c>
      <c r="C137" s="26">
        <v>45484.0</v>
      </c>
      <c r="D137" s="10" t="s">
        <v>19</v>
      </c>
      <c r="E137" s="10" t="s">
        <v>75</v>
      </c>
      <c r="F137" s="27">
        <v>3134.0</v>
      </c>
      <c r="G137" s="27">
        <v>888.0</v>
      </c>
      <c r="H137" s="27">
        <v>444.0</v>
      </c>
      <c r="I137" s="27">
        <v>21938.0</v>
      </c>
      <c r="J137" s="27">
        <v>21337.0</v>
      </c>
      <c r="K137" s="27">
        <v>130.0</v>
      </c>
      <c r="L137" s="28" t="s">
        <v>30</v>
      </c>
      <c r="M137" s="10"/>
      <c r="N137" s="10"/>
      <c r="O137" s="28" t="str">
        <f t="shared" si="1"/>
        <v>#ThirstyForMore</v>
      </c>
      <c r="P137" s="27">
        <f t="shared" si="2"/>
        <v>3578</v>
      </c>
    </row>
    <row r="138">
      <c r="A138" s="10" t="s">
        <v>187</v>
      </c>
      <c r="B138" s="10" t="s">
        <v>33</v>
      </c>
      <c r="C138" s="26">
        <v>45504.0</v>
      </c>
      <c r="D138" s="10" t="s">
        <v>53</v>
      </c>
      <c r="E138" s="10" t="s">
        <v>54</v>
      </c>
      <c r="F138" s="27">
        <v>3008.0</v>
      </c>
      <c r="G138" s="27">
        <v>94.0</v>
      </c>
      <c r="H138" s="27">
        <v>37.0</v>
      </c>
      <c r="I138" s="27">
        <v>15040.0</v>
      </c>
      <c r="J138" s="27">
        <v>14639.0</v>
      </c>
      <c r="K138" s="27">
        <v>277.0</v>
      </c>
      <c r="L138" s="28" t="s">
        <v>16</v>
      </c>
      <c r="M138" s="10"/>
      <c r="N138" s="10"/>
      <c r="O138" s="28" t="str">
        <f t="shared" si="1"/>
        <v>#LiveForNow</v>
      </c>
      <c r="P138" s="27">
        <f t="shared" si="2"/>
        <v>3045</v>
      </c>
    </row>
    <row r="139">
      <c r="A139" s="10" t="s">
        <v>188</v>
      </c>
      <c r="B139" s="10" t="s">
        <v>13</v>
      </c>
      <c r="C139" s="26">
        <v>45745.0</v>
      </c>
      <c r="D139" s="10" t="s">
        <v>39</v>
      </c>
      <c r="E139" s="10" t="s">
        <v>85</v>
      </c>
      <c r="F139" s="27">
        <v>305.0</v>
      </c>
      <c r="G139" s="27">
        <v>187.0</v>
      </c>
      <c r="H139" s="27">
        <v>243.0</v>
      </c>
      <c r="I139" s="27">
        <v>4575.0</v>
      </c>
      <c r="J139" s="27">
        <v>3704.0</v>
      </c>
      <c r="K139" s="27">
        <v>234.0</v>
      </c>
      <c r="L139" s="28" t="s">
        <v>16</v>
      </c>
      <c r="M139" s="10"/>
      <c r="N139" s="10"/>
      <c r="O139" s="28" t="str">
        <f t="shared" si="1"/>
        <v>#LiveForNow</v>
      </c>
      <c r="P139" s="27">
        <f t="shared" si="2"/>
        <v>548</v>
      </c>
    </row>
    <row r="140">
      <c r="A140" s="10" t="s">
        <v>189</v>
      </c>
      <c r="B140" s="10" t="s">
        <v>24</v>
      </c>
      <c r="C140" s="26">
        <v>45594.0</v>
      </c>
      <c r="D140" s="10" t="s">
        <v>19</v>
      </c>
      <c r="E140" s="10" t="s">
        <v>70</v>
      </c>
      <c r="F140" s="27">
        <v>2746.0</v>
      </c>
      <c r="G140" s="27">
        <v>156.0</v>
      </c>
      <c r="H140" s="27">
        <v>203.0</v>
      </c>
      <c r="I140" s="27">
        <v>32952.0</v>
      </c>
      <c r="J140" s="27">
        <v>32147.0</v>
      </c>
      <c r="K140" s="27">
        <v>147.0</v>
      </c>
      <c r="L140" s="28" t="s">
        <v>30</v>
      </c>
      <c r="M140" s="10"/>
      <c r="N140" s="10"/>
      <c r="O140" s="28" t="str">
        <f t="shared" si="1"/>
        <v>#ThirstyForMore</v>
      </c>
      <c r="P140" s="27">
        <f t="shared" si="2"/>
        <v>2949</v>
      </c>
    </row>
    <row r="141">
      <c r="A141" s="10" t="s">
        <v>190</v>
      </c>
      <c r="B141" s="10" t="s">
        <v>33</v>
      </c>
      <c r="C141" s="26">
        <v>45488.0</v>
      </c>
      <c r="D141" s="10" t="s">
        <v>39</v>
      </c>
      <c r="E141" s="10" t="s">
        <v>44</v>
      </c>
      <c r="F141" s="27">
        <v>2291.0</v>
      </c>
      <c r="G141" s="27">
        <v>78.0</v>
      </c>
      <c r="H141" s="27">
        <v>485.0</v>
      </c>
      <c r="I141" s="27">
        <v>18328.0</v>
      </c>
      <c r="J141" s="27">
        <v>18101.0</v>
      </c>
      <c r="K141" s="27">
        <v>10.0</v>
      </c>
      <c r="L141" s="28" t="s">
        <v>30</v>
      </c>
      <c r="M141" s="28" t="s">
        <v>191</v>
      </c>
      <c r="N141" s="10"/>
      <c r="O141" s="28" t="str">
        <f t="shared" si="1"/>
        <v>#ThirstyForMore#SmoothLikeNitroPepsi</v>
      </c>
      <c r="P141" s="27">
        <f t="shared" si="2"/>
        <v>2776</v>
      </c>
    </row>
    <row r="142">
      <c r="A142" s="10" t="s">
        <v>192</v>
      </c>
      <c r="B142" s="10" t="s">
        <v>13</v>
      </c>
      <c r="C142" s="26">
        <v>45535.0</v>
      </c>
      <c r="D142" s="10" t="s">
        <v>39</v>
      </c>
      <c r="E142" s="10" t="s">
        <v>85</v>
      </c>
      <c r="F142" s="27">
        <v>3170.0</v>
      </c>
      <c r="G142" s="27">
        <v>857.0</v>
      </c>
      <c r="H142" s="27">
        <v>379.0</v>
      </c>
      <c r="I142" s="27">
        <v>19020.0</v>
      </c>
      <c r="J142" s="27">
        <v>18559.0</v>
      </c>
      <c r="K142" s="27">
        <v>240.0</v>
      </c>
      <c r="L142" s="28" t="s">
        <v>16</v>
      </c>
      <c r="M142" s="10"/>
      <c r="N142" s="10"/>
      <c r="O142" s="28" t="str">
        <f t="shared" si="1"/>
        <v>#LiveForNow</v>
      </c>
      <c r="P142" s="27">
        <f t="shared" si="2"/>
        <v>3549</v>
      </c>
    </row>
    <row r="143">
      <c r="A143" s="10" t="s">
        <v>193</v>
      </c>
      <c r="B143" s="10" t="s">
        <v>24</v>
      </c>
      <c r="C143" s="26">
        <v>45741.0</v>
      </c>
      <c r="D143" s="10" t="s">
        <v>28</v>
      </c>
      <c r="E143" s="10" t="s">
        <v>98</v>
      </c>
      <c r="F143" s="27">
        <v>2070.0</v>
      </c>
      <c r="G143" s="27">
        <v>275.0</v>
      </c>
      <c r="H143" s="27">
        <v>386.0</v>
      </c>
      <c r="I143" s="27">
        <v>39330.0</v>
      </c>
      <c r="J143" s="27">
        <v>38627.0</v>
      </c>
      <c r="K143" s="27">
        <v>114.0</v>
      </c>
      <c r="L143" s="28" t="s">
        <v>16</v>
      </c>
      <c r="M143" s="10"/>
      <c r="N143" s="10"/>
      <c r="O143" s="28" t="str">
        <f t="shared" si="1"/>
        <v>#LiveForNow</v>
      </c>
      <c r="P143" s="27">
        <f t="shared" si="2"/>
        <v>2456</v>
      </c>
    </row>
    <row r="144">
      <c r="A144" s="10" t="s">
        <v>194</v>
      </c>
      <c r="B144" s="10" t="s">
        <v>24</v>
      </c>
      <c r="C144" s="26">
        <v>45567.0</v>
      </c>
      <c r="D144" s="10" t="s">
        <v>34</v>
      </c>
      <c r="E144" s="10" t="s">
        <v>49</v>
      </c>
      <c r="F144" s="27">
        <v>80.0</v>
      </c>
      <c r="G144" s="27">
        <v>362.0</v>
      </c>
      <c r="H144" s="27">
        <v>80.0</v>
      </c>
      <c r="I144" s="27">
        <v>1040.0</v>
      </c>
      <c r="J144" s="27">
        <v>349.0</v>
      </c>
      <c r="K144" s="27">
        <v>117.0</v>
      </c>
      <c r="L144" s="28" t="s">
        <v>21</v>
      </c>
      <c r="M144" s="10"/>
      <c r="N144" s="10"/>
      <c r="O144" s="28" t="str">
        <f t="shared" si="1"/>
        <v>#PepsiCoRefresh</v>
      </c>
      <c r="P144" s="27">
        <f t="shared" si="2"/>
        <v>160</v>
      </c>
    </row>
    <row r="145">
      <c r="A145" s="10" t="s">
        <v>195</v>
      </c>
      <c r="B145" s="10" t="s">
        <v>24</v>
      </c>
      <c r="C145" s="26">
        <v>45593.0</v>
      </c>
      <c r="D145" s="10" t="s">
        <v>28</v>
      </c>
      <c r="E145" s="10" t="s">
        <v>98</v>
      </c>
      <c r="F145" s="27">
        <v>4929.0</v>
      </c>
      <c r="G145" s="27">
        <v>749.0</v>
      </c>
      <c r="H145" s="27">
        <v>452.0</v>
      </c>
      <c r="I145" s="27">
        <v>93651.0</v>
      </c>
      <c r="J145" s="27">
        <v>92810.0</v>
      </c>
      <c r="K145" s="27">
        <v>66.0</v>
      </c>
      <c r="L145" s="28" t="s">
        <v>30</v>
      </c>
      <c r="M145" s="10"/>
      <c r="N145" s="10"/>
      <c r="O145" s="28" t="str">
        <f t="shared" si="1"/>
        <v>#ThirstyForMore</v>
      </c>
      <c r="P145" s="27">
        <f t="shared" si="2"/>
        <v>5381</v>
      </c>
    </row>
    <row r="146">
      <c r="A146" s="10" t="s">
        <v>196</v>
      </c>
      <c r="B146" s="10" t="s">
        <v>27</v>
      </c>
      <c r="C146" s="26">
        <v>45516.0</v>
      </c>
      <c r="D146" s="10" t="s">
        <v>34</v>
      </c>
      <c r="E146" s="10" t="s">
        <v>62</v>
      </c>
      <c r="F146" s="27">
        <v>1878.0</v>
      </c>
      <c r="G146" s="27">
        <v>62.0</v>
      </c>
      <c r="H146" s="27">
        <v>179.0</v>
      </c>
      <c r="I146" s="27">
        <v>37560.0</v>
      </c>
      <c r="J146" s="27">
        <v>36874.0</v>
      </c>
      <c r="K146" s="27">
        <v>142.0</v>
      </c>
      <c r="L146" s="28" t="s">
        <v>21</v>
      </c>
      <c r="M146" s="10"/>
      <c r="N146" s="10"/>
      <c r="O146" s="28" t="str">
        <f t="shared" si="1"/>
        <v>#PepsiCoRefresh</v>
      </c>
      <c r="P146" s="27">
        <f t="shared" si="2"/>
        <v>2057</v>
      </c>
    </row>
    <row r="147">
      <c r="A147" s="10" t="s">
        <v>197</v>
      </c>
      <c r="B147" s="10" t="s">
        <v>24</v>
      </c>
      <c r="C147" s="26">
        <v>45448.0</v>
      </c>
      <c r="D147" s="10" t="s">
        <v>14</v>
      </c>
      <c r="E147" s="10" t="s">
        <v>25</v>
      </c>
      <c r="F147" s="27">
        <v>3065.0</v>
      </c>
      <c r="G147" s="27">
        <v>772.0</v>
      </c>
      <c r="H147" s="27">
        <v>142.0</v>
      </c>
      <c r="I147" s="27">
        <v>18390.0</v>
      </c>
      <c r="J147" s="27">
        <v>17875.0</v>
      </c>
      <c r="K147" s="27">
        <v>200.0</v>
      </c>
      <c r="L147" s="28" t="s">
        <v>30</v>
      </c>
      <c r="M147" s="28" t="s">
        <v>17</v>
      </c>
      <c r="N147" s="10"/>
      <c r="O147" s="28" t="str">
        <f t="shared" si="1"/>
        <v>#ThirstyForMore#AnytimeIsPepsiTime</v>
      </c>
      <c r="P147" s="27">
        <f t="shared" si="2"/>
        <v>3207</v>
      </c>
    </row>
    <row r="148">
      <c r="A148" s="10" t="s">
        <v>198</v>
      </c>
      <c r="B148" s="10" t="s">
        <v>27</v>
      </c>
      <c r="C148" s="26">
        <v>45586.0</v>
      </c>
      <c r="D148" s="10" t="s">
        <v>14</v>
      </c>
      <c r="E148" s="10" t="s">
        <v>58</v>
      </c>
      <c r="F148" s="27">
        <v>3256.0</v>
      </c>
      <c r="G148" s="27">
        <v>459.0</v>
      </c>
      <c r="H148" s="27">
        <v>266.0</v>
      </c>
      <c r="I148" s="27">
        <v>26048.0</v>
      </c>
      <c r="J148" s="27">
        <v>25529.0</v>
      </c>
      <c r="K148" s="27">
        <v>143.0</v>
      </c>
      <c r="L148" s="28" t="s">
        <v>21</v>
      </c>
      <c r="M148" s="10"/>
      <c r="N148" s="10"/>
      <c r="O148" s="28" t="str">
        <f t="shared" si="1"/>
        <v>#PepsiCoRefresh</v>
      </c>
      <c r="P148" s="27">
        <f t="shared" si="2"/>
        <v>3522</v>
      </c>
    </row>
    <row r="149">
      <c r="A149" s="10" t="s">
        <v>199</v>
      </c>
      <c r="B149" s="10" t="s">
        <v>27</v>
      </c>
      <c r="C149" s="26">
        <v>45762.0</v>
      </c>
      <c r="D149" s="10" t="s">
        <v>53</v>
      </c>
      <c r="E149" s="10" t="s">
        <v>60</v>
      </c>
      <c r="F149" s="27">
        <v>4133.0</v>
      </c>
      <c r="G149" s="27">
        <v>466.0</v>
      </c>
      <c r="H149" s="27">
        <v>327.0</v>
      </c>
      <c r="I149" s="27">
        <v>24798.0</v>
      </c>
      <c r="J149" s="27">
        <v>24620.0</v>
      </c>
      <c r="K149" s="27">
        <v>176.0</v>
      </c>
      <c r="L149" s="28" t="s">
        <v>30</v>
      </c>
      <c r="M149" s="10"/>
      <c r="N149" s="10"/>
      <c r="O149" s="28" t="str">
        <f t="shared" si="1"/>
        <v>#ThirstyForMore</v>
      </c>
      <c r="P149" s="27">
        <f t="shared" si="2"/>
        <v>4460</v>
      </c>
    </row>
    <row r="150">
      <c r="A150" s="10" t="s">
        <v>200</v>
      </c>
      <c r="B150" s="10" t="s">
        <v>13</v>
      </c>
      <c r="C150" s="26">
        <v>45459.0</v>
      </c>
      <c r="D150" s="10" t="s">
        <v>53</v>
      </c>
      <c r="E150" s="10" t="s">
        <v>92</v>
      </c>
      <c r="F150" s="27">
        <v>1702.0</v>
      </c>
      <c r="G150" s="27">
        <v>750.0</v>
      </c>
      <c r="H150" s="27">
        <v>179.0</v>
      </c>
      <c r="I150" s="27">
        <v>34040.0</v>
      </c>
      <c r="J150" s="27">
        <v>33174.0</v>
      </c>
      <c r="K150" s="27">
        <v>76.0</v>
      </c>
      <c r="L150" s="28" t="s">
        <v>30</v>
      </c>
      <c r="M150" s="10"/>
      <c r="N150" s="10"/>
      <c r="O150" s="28" t="str">
        <f t="shared" si="1"/>
        <v>#ThirstyForMore</v>
      </c>
      <c r="P150" s="27">
        <f t="shared" si="2"/>
        <v>1881</v>
      </c>
    </row>
    <row r="151">
      <c r="A151" s="10" t="s">
        <v>201</v>
      </c>
      <c r="B151" s="10" t="s">
        <v>24</v>
      </c>
      <c r="C151" s="26">
        <v>45526.0</v>
      </c>
      <c r="D151" s="10" t="s">
        <v>34</v>
      </c>
      <c r="E151" s="10" t="s">
        <v>49</v>
      </c>
      <c r="F151" s="27">
        <v>4295.0</v>
      </c>
      <c r="G151" s="27">
        <v>853.0</v>
      </c>
      <c r="H151" s="27">
        <v>325.0</v>
      </c>
      <c r="I151" s="27">
        <v>85900.0</v>
      </c>
      <c r="J151" s="27">
        <v>85788.0</v>
      </c>
      <c r="K151" s="27">
        <v>290.0</v>
      </c>
      <c r="L151" s="28" t="s">
        <v>21</v>
      </c>
      <c r="M151" s="10"/>
      <c r="N151" s="10"/>
      <c r="O151" s="28" t="str">
        <f t="shared" si="1"/>
        <v>#PepsiCoRefresh</v>
      </c>
      <c r="P151" s="27">
        <f t="shared" si="2"/>
        <v>4620</v>
      </c>
    </row>
    <row r="152">
      <c r="A152" s="10" t="s">
        <v>202</v>
      </c>
      <c r="B152" s="10" t="s">
        <v>27</v>
      </c>
      <c r="C152" s="26">
        <v>45499.0</v>
      </c>
      <c r="D152" s="10" t="s">
        <v>39</v>
      </c>
      <c r="E152" s="10" t="s">
        <v>131</v>
      </c>
      <c r="F152" s="27">
        <v>3559.0</v>
      </c>
      <c r="G152" s="27">
        <v>59.0</v>
      </c>
      <c r="H152" s="27">
        <v>289.0</v>
      </c>
      <c r="I152" s="27">
        <v>35590.0</v>
      </c>
      <c r="J152" s="27">
        <v>35105.0</v>
      </c>
      <c r="K152" s="27">
        <v>122.0</v>
      </c>
      <c r="L152" s="28" t="s">
        <v>30</v>
      </c>
      <c r="M152" s="10"/>
      <c r="N152" s="10"/>
      <c r="O152" s="28" t="str">
        <f t="shared" si="1"/>
        <v>#ThirstyForMore</v>
      </c>
      <c r="P152" s="27">
        <f t="shared" si="2"/>
        <v>3848</v>
      </c>
    </row>
    <row r="153">
      <c r="A153" s="10" t="s">
        <v>203</v>
      </c>
      <c r="B153" s="10" t="s">
        <v>33</v>
      </c>
      <c r="C153" s="26">
        <v>45769.0</v>
      </c>
      <c r="D153" s="10" t="s">
        <v>39</v>
      </c>
      <c r="E153" s="10" t="s">
        <v>44</v>
      </c>
      <c r="F153" s="27">
        <v>4804.0</v>
      </c>
      <c r="G153" s="27">
        <v>550.0</v>
      </c>
      <c r="H153" s="27">
        <v>270.0</v>
      </c>
      <c r="I153" s="27">
        <v>28824.0</v>
      </c>
      <c r="J153" s="27">
        <v>28370.0</v>
      </c>
      <c r="K153" s="27">
        <v>47.0</v>
      </c>
      <c r="L153" s="28" t="s">
        <v>30</v>
      </c>
      <c r="M153" s="10"/>
      <c r="N153" s="10"/>
      <c r="O153" s="28" t="str">
        <f t="shared" si="1"/>
        <v>#ThirstyForMore</v>
      </c>
      <c r="P153" s="27">
        <f t="shared" si="2"/>
        <v>5074</v>
      </c>
    </row>
    <row r="154">
      <c r="A154" s="10" t="s">
        <v>204</v>
      </c>
      <c r="B154" s="10" t="s">
        <v>13</v>
      </c>
      <c r="C154" s="26">
        <v>45658.0</v>
      </c>
      <c r="D154" s="10" t="s">
        <v>53</v>
      </c>
      <c r="E154" s="10" t="s">
        <v>92</v>
      </c>
      <c r="F154" s="27">
        <v>754.0</v>
      </c>
      <c r="G154" s="27">
        <v>197.0</v>
      </c>
      <c r="H154" s="27">
        <v>257.0</v>
      </c>
      <c r="I154" s="27">
        <v>6786.0</v>
      </c>
      <c r="J154" s="27">
        <v>6221.0</v>
      </c>
      <c r="K154" s="27">
        <v>212.0</v>
      </c>
      <c r="L154" s="28" t="s">
        <v>21</v>
      </c>
      <c r="M154" s="10"/>
      <c r="N154" s="10"/>
      <c r="O154" s="28" t="str">
        <f t="shared" si="1"/>
        <v>#PepsiCoRefresh</v>
      </c>
      <c r="P154" s="27">
        <f t="shared" si="2"/>
        <v>1011</v>
      </c>
    </row>
    <row r="155">
      <c r="A155" s="10" t="s">
        <v>205</v>
      </c>
      <c r="B155" s="10" t="s">
        <v>27</v>
      </c>
      <c r="C155" s="26">
        <v>45574.0</v>
      </c>
      <c r="D155" s="10" t="s">
        <v>34</v>
      </c>
      <c r="E155" s="10" t="s">
        <v>62</v>
      </c>
      <c r="F155" s="27">
        <v>985.0</v>
      </c>
      <c r="G155" s="27">
        <v>932.0</v>
      </c>
      <c r="H155" s="27">
        <v>287.0</v>
      </c>
      <c r="I155" s="27">
        <v>6895.0</v>
      </c>
      <c r="J155" s="27">
        <v>6757.0</v>
      </c>
      <c r="K155" s="27">
        <v>64.0</v>
      </c>
      <c r="L155" s="28" t="s">
        <v>16</v>
      </c>
      <c r="M155" s="10"/>
      <c r="N155" s="10"/>
      <c r="O155" s="28" t="str">
        <f t="shared" si="1"/>
        <v>#LiveForNow</v>
      </c>
      <c r="P155" s="27">
        <f t="shared" si="2"/>
        <v>1272</v>
      </c>
    </row>
    <row r="156">
      <c r="A156" s="10" t="s">
        <v>206</v>
      </c>
      <c r="B156" s="10" t="s">
        <v>24</v>
      </c>
      <c r="C156" s="26">
        <v>45647.0</v>
      </c>
      <c r="D156" s="10" t="s">
        <v>39</v>
      </c>
      <c r="E156" s="10" t="s">
        <v>40</v>
      </c>
      <c r="F156" s="27">
        <v>2283.0</v>
      </c>
      <c r="G156" s="27">
        <v>210.0</v>
      </c>
      <c r="H156" s="27">
        <v>130.0</v>
      </c>
      <c r="I156" s="27">
        <v>22830.0</v>
      </c>
      <c r="J156" s="27">
        <v>22617.0</v>
      </c>
      <c r="K156" s="27">
        <v>143.0</v>
      </c>
      <c r="L156" s="28" t="s">
        <v>16</v>
      </c>
      <c r="M156" s="10"/>
      <c r="N156" s="10"/>
      <c r="O156" s="28" t="str">
        <f t="shared" si="1"/>
        <v>#LiveForNow</v>
      </c>
      <c r="P156" s="27">
        <f t="shared" si="2"/>
        <v>2413</v>
      </c>
    </row>
    <row r="157">
      <c r="A157" s="10" t="s">
        <v>207</v>
      </c>
      <c r="B157" s="10" t="s">
        <v>33</v>
      </c>
      <c r="C157" s="26">
        <v>45587.0</v>
      </c>
      <c r="D157" s="10" t="s">
        <v>34</v>
      </c>
      <c r="E157" s="10" t="s">
        <v>35</v>
      </c>
      <c r="F157" s="27">
        <v>3352.0</v>
      </c>
      <c r="G157" s="27">
        <v>941.0</v>
      </c>
      <c r="H157" s="27">
        <v>482.0</v>
      </c>
      <c r="I157" s="27">
        <v>43576.0</v>
      </c>
      <c r="J157" s="27">
        <v>43338.0</v>
      </c>
      <c r="K157" s="27">
        <v>240.0</v>
      </c>
      <c r="L157" s="28" t="s">
        <v>16</v>
      </c>
      <c r="M157" s="10"/>
      <c r="N157" s="10"/>
      <c r="O157" s="28" t="str">
        <f t="shared" si="1"/>
        <v>#LiveForNow</v>
      </c>
      <c r="P157" s="27">
        <f t="shared" si="2"/>
        <v>3834</v>
      </c>
    </row>
    <row r="158">
      <c r="A158" s="10" t="s">
        <v>208</v>
      </c>
      <c r="B158" s="10" t="s">
        <v>24</v>
      </c>
      <c r="C158" s="26">
        <v>45496.0</v>
      </c>
      <c r="D158" s="10" t="s">
        <v>28</v>
      </c>
      <c r="E158" s="10" t="s">
        <v>98</v>
      </c>
      <c r="F158" s="27">
        <v>4775.0</v>
      </c>
      <c r="G158" s="27">
        <v>173.0</v>
      </c>
      <c r="H158" s="27">
        <v>206.0</v>
      </c>
      <c r="I158" s="27">
        <v>47750.0</v>
      </c>
      <c r="J158" s="27">
        <v>47544.0</v>
      </c>
      <c r="K158" s="27">
        <v>187.0</v>
      </c>
      <c r="L158" s="28" t="s">
        <v>16</v>
      </c>
      <c r="M158" s="10"/>
      <c r="N158" s="10"/>
      <c r="O158" s="28" t="str">
        <f t="shared" si="1"/>
        <v>#LiveForNow</v>
      </c>
      <c r="P158" s="27">
        <f t="shared" si="2"/>
        <v>4981</v>
      </c>
    </row>
    <row r="159">
      <c r="A159" s="10" t="s">
        <v>209</v>
      </c>
      <c r="B159" s="10" t="s">
        <v>27</v>
      </c>
      <c r="C159" s="26">
        <v>45515.0</v>
      </c>
      <c r="D159" s="10" t="s">
        <v>28</v>
      </c>
      <c r="E159" s="10" t="s">
        <v>29</v>
      </c>
      <c r="F159" s="27">
        <v>1762.0</v>
      </c>
      <c r="G159" s="27">
        <v>405.0</v>
      </c>
      <c r="H159" s="27">
        <v>423.0</v>
      </c>
      <c r="I159" s="27">
        <v>22906.0</v>
      </c>
      <c r="J159" s="27">
        <v>21925.0</v>
      </c>
      <c r="K159" s="27">
        <v>25.0</v>
      </c>
      <c r="L159" s="28" t="s">
        <v>21</v>
      </c>
      <c r="M159" s="10"/>
      <c r="N159" s="10"/>
      <c r="O159" s="28" t="str">
        <f t="shared" si="1"/>
        <v>#PepsiCoRefresh</v>
      </c>
      <c r="P159" s="27">
        <f t="shared" si="2"/>
        <v>2185</v>
      </c>
    </row>
    <row r="160">
      <c r="A160" s="10" t="s">
        <v>210</v>
      </c>
      <c r="B160" s="10" t="s">
        <v>33</v>
      </c>
      <c r="C160" s="26">
        <v>45621.0</v>
      </c>
      <c r="D160" s="10" t="s">
        <v>28</v>
      </c>
      <c r="E160" s="10" t="s">
        <v>51</v>
      </c>
      <c r="F160" s="27">
        <v>2120.0</v>
      </c>
      <c r="G160" s="27">
        <v>158.0</v>
      </c>
      <c r="H160" s="27">
        <v>488.0</v>
      </c>
      <c r="I160" s="27">
        <v>12720.0</v>
      </c>
      <c r="J160" s="27">
        <v>12085.0</v>
      </c>
      <c r="K160" s="27">
        <v>17.0</v>
      </c>
      <c r="L160" s="28" t="s">
        <v>16</v>
      </c>
      <c r="M160" s="10"/>
      <c r="N160" s="10"/>
      <c r="O160" s="28" t="str">
        <f t="shared" si="1"/>
        <v>#LiveForNow</v>
      </c>
      <c r="P160" s="27">
        <f t="shared" si="2"/>
        <v>2608</v>
      </c>
    </row>
    <row r="161">
      <c r="A161" s="10" t="s">
        <v>211</v>
      </c>
      <c r="B161" s="10" t="s">
        <v>13</v>
      </c>
      <c r="C161" s="26">
        <v>45528.0</v>
      </c>
      <c r="D161" s="10" t="s">
        <v>53</v>
      </c>
      <c r="E161" s="10" t="s">
        <v>92</v>
      </c>
      <c r="F161" s="27">
        <v>1082.0</v>
      </c>
      <c r="G161" s="27">
        <v>209.0</v>
      </c>
      <c r="H161" s="27">
        <v>484.0</v>
      </c>
      <c r="I161" s="27">
        <v>19476.0</v>
      </c>
      <c r="J161" s="27">
        <v>18654.0</v>
      </c>
      <c r="K161" s="27">
        <v>20.0</v>
      </c>
      <c r="L161" s="28" t="s">
        <v>21</v>
      </c>
      <c r="M161" s="10"/>
      <c r="N161" s="10"/>
      <c r="O161" s="28" t="str">
        <f t="shared" si="1"/>
        <v>#PepsiCoRefresh</v>
      </c>
      <c r="P161" s="27">
        <f t="shared" si="2"/>
        <v>1566</v>
      </c>
    </row>
    <row r="162">
      <c r="A162" s="10" t="s">
        <v>212</v>
      </c>
      <c r="B162" s="10" t="s">
        <v>13</v>
      </c>
      <c r="C162" s="26">
        <v>45707.0</v>
      </c>
      <c r="D162" s="10" t="s">
        <v>19</v>
      </c>
      <c r="E162" s="10" t="s">
        <v>20</v>
      </c>
      <c r="F162" s="27">
        <v>4671.0</v>
      </c>
      <c r="G162" s="27">
        <v>876.0</v>
      </c>
      <c r="H162" s="27">
        <v>366.0</v>
      </c>
      <c r="I162" s="27">
        <v>51381.0</v>
      </c>
      <c r="J162" s="27">
        <v>50565.0</v>
      </c>
      <c r="K162" s="27">
        <v>245.0</v>
      </c>
      <c r="L162" s="28" t="s">
        <v>21</v>
      </c>
      <c r="M162" s="10"/>
      <c r="N162" s="10"/>
      <c r="O162" s="28" t="str">
        <f t="shared" si="1"/>
        <v>#PepsiCoRefresh</v>
      </c>
      <c r="P162" s="27">
        <f t="shared" si="2"/>
        <v>5037</v>
      </c>
    </row>
    <row r="163">
      <c r="A163" s="10" t="s">
        <v>213</v>
      </c>
      <c r="B163" s="10" t="s">
        <v>33</v>
      </c>
      <c r="C163" s="26">
        <v>45748.0</v>
      </c>
      <c r="D163" s="10" t="s">
        <v>28</v>
      </c>
      <c r="E163" s="10" t="s">
        <v>51</v>
      </c>
      <c r="F163" s="27">
        <v>3430.0</v>
      </c>
      <c r="G163" s="27">
        <v>566.0</v>
      </c>
      <c r="H163" s="27">
        <v>164.0</v>
      </c>
      <c r="I163" s="27">
        <v>48020.0</v>
      </c>
      <c r="J163" s="27">
        <v>47305.0</v>
      </c>
      <c r="K163" s="27">
        <v>120.0</v>
      </c>
      <c r="L163" s="28" t="s">
        <v>16</v>
      </c>
      <c r="M163" s="10"/>
      <c r="N163" s="10"/>
      <c r="O163" s="28" t="str">
        <f t="shared" si="1"/>
        <v>#LiveForNow</v>
      </c>
      <c r="P163" s="27">
        <f t="shared" si="2"/>
        <v>3594</v>
      </c>
    </row>
    <row r="164">
      <c r="A164" s="10" t="s">
        <v>214</v>
      </c>
      <c r="B164" s="10" t="s">
        <v>27</v>
      </c>
      <c r="C164" s="26">
        <v>45755.0</v>
      </c>
      <c r="D164" s="10" t="s">
        <v>39</v>
      </c>
      <c r="E164" s="10" t="s">
        <v>131</v>
      </c>
      <c r="F164" s="27">
        <v>4501.0</v>
      </c>
      <c r="G164" s="27">
        <v>375.0</v>
      </c>
      <c r="H164" s="27">
        <v>323.0</v>
      </c>
      <c r="I164" s="27">
        <v>22505.0</v>
      </c>
      <c r="J164" s="27">
        <v>21836.0</v>
      </c>
      <c r="K164" s="27">
        <v>132.0</v>
      </c>
      <c r="L164" s="28" t="s">
        <v>21</v>
      </c>
      <c r="M164" s="10"/>
      <c r="N164" s="10"/>
      <c r="O164" s="28" t="str">
        <f t="shared" si="1"/>
        <v>#PepsiCoRefresh</v>
      </c>
      <c r="P164" s="27">
        <f t="shared" si="2"/>
        <v>4824</v>
      </c>
    </row>
    <row r="165">
      <c r="A165" s="10" t="s">
        <v>215</v>
      </c>
      <c r="B165" s="10" t="s">
        <v>24</v>
      </c>
      <c r="C165" s="26">
        <v>45715.0</v>
      </c>
      <c r="D165" s="10" t="s">
        <v>19</v>
      </c>
      <c r="E165" s="10" t="s">
        <v>70</v>
      </c>
      <c r="F165" s="27">
        <v>4934.0</v>
      </c>
      <c r="G165" s="27">
        <v>971.0</v>
      </c>
      <c r="H165" s="27">
        <v>156.0</v>
      </c>
      <c r="I165" s="27">
        <v>39472.0</v>
      </c>
      <c r="J165" s="27">
        <v>39025.0</v>
      </c>
      <c r="K165" s="27">
        <v>169.0</v>
      </c>
      <c r="L165" s="28" t="s">
        <v>21</v>
      </c>
      <c r="M165" s="28" t="s">
        <v>17</v>
      </c>
      <c r="N165" s="10"/>
      <c r="O165" s="28" t="str">
        <f t="shared" si="1"/>
        <v>#PepsiCoRefresh#AnytimeIsPepsiTime</v>
      </c>
      <c r="P165" s="27">
        <f t="shared" si="2"/>
        <v>5090</v>
      </c>
    </row>
    <row r="166">
      <c r="A166" s="10" t="s">
        <v>216</v>
      </c>
      <c r="B166" s="10" t="s">
        <v>13</v>
      </c>
      <c r="C166" s="26">
        <v>45637.0</v>
      </c>
      <c r="D166" s="10" t="s">
        <v>19</v>
      </c>
      <c r="E166" s="10" t="s">
        <v>20</v>
      </c>
      <c r="F166" s="27">
        <v>3239.0</v>
      </c>
      <c r="G166" s="27">
        <v>43.0</v>
      </c>
      <c r="H166" s="27">
        <v>211.0</v>
      </c>
      <c r="I166" s="27">
        <v>22673.0</v>
      </c>
      <c r="J166" s="27">
        <v>22171.0</v>
      </c>
      <c r="K166" s="27">
        <v>230.0</v>
      </c>
      <c r="L166" s="28" t="s">
        <v>21</v>
      </c>
      <c r="M166" s="10"/>
      <c r="N166" s="10"/>
      <c r="O166" s="28" t="str">
        <f t="shared" si="1"/>
        <v>#PepsiCoRefresh</v>
      </c>
      <c r="P166" s="27">
        <f t="shared" si="2"/>
        <v>3450</v>
      </c>
    </row>
    <row r="167">
      <c r="A167" s="10" t="s">
        <v>217</v>
      </c>
      <c r="B167" s="10" t="s">
        <v>13</v>
      </c>
      <c r="C167" s="26">
        <v>45704.0</v>
      </c>
      <c r="D167" s="10" t="s">
        <v>14</v>
      </c>
      <c r="E167" s="10" t="s">
        <v>15</v>
      </c>
      <c r="F167" s="27">
        <v>1076.0</v>
      </c>
      <c r="G167" s="27">
        <v>313.0</v>
      </c>
      <c r="H167" s="27">
        <v>306.0</v>
      </c>
      <c r="I167" s="27">
        <v>11836.0</v>
      </c>
      <c r="J167" s="27">
        <v>11596.0</v>
      </c>
      <c r="K167" s="27">
        <v>104.0</v>
      </c>
      <c r="L167" s="28" t="s">
        <v>16</v>
      </c>
      <c r="M167" s="10"/>
      <c r="N167" s="10"/>
      <c r="O167" s="28" t="str">
        <f t="shared" si="1"/>
        <v>#LiveForNow</v>
      </c>
      <c r="P167" s="27">
        <f t="shared" si="2"/>
        <v>1382</v>
      </c>
    </row>
    <row r="168">
      <c r="A168" s="10" t="s">
        <v>218</v>
      </c>
      <c r="B168" s="10" t="s">
        <v>27</v>
      </c>
      <c r="C168" s="26">
        <v>45624.0</v>
      </c>
      <c r="D168" s="10" t="s">
        <v>19</v>
      </c>
      <c r="E168" s="10" t="s">
        <v>75</v>
      </c>
      <c r="F168" s="27">
        <v>4771.0</v>
      </c>
      <c r="G168" s="27">
        <v>818.0</v>
      </c>
      <c r="H168" s="27">
        <v>56.0</v>
      </c>
      <c r="I168" s="27">
        <v>57252.0</v>
      </c>
      <c r="J168" s="27">
        <v>56378.0</v>
      </c>
      <c r="K168" s="27">
        <v>150.0</v>
      </c>
      <c r="L168" s="28" t="s">
        <v>16</v>
      </c>
      <c r="M168" s="10"/>
      <c r="N168" s="10"/>
      <c r="O168" s="28" t="str">
        <f t="shared" si="1"/>
        <v>#LiveForNow</v>
      </c>
      <c r="P168" s="27">
        <f t="shared" si="2"/>
        <v>4827</v>
      </c>
    </row>
    <row r="169">
      <c r="A169" s="10" t="s">
        <v>219</v>
      </c>
      <c r="B169" s="10" t="s">
        <v>33</v>
      </c>
      <c r="C169" s="26">
        <v>45608.0</v>
      </c>
      <c r="D169" s="10" t="s">
        <v>19</v>
      </c>
      <c r="E169" s="10" t="s">
        <v>42</v>
      </c>
      <c r="F169" s="27">
        <v>2418.0</v>
      </c>
      <c r="G169" s="27">
        <v>754.0</v>
      </c>
      <c r="H169" s="27">
        <v>54.0</v>
      </c>
      <c r="I169" s="27">
        <v>43524.0</v>
      </c>
      <c r="J169" s="27">
        <v>42743.0</v>
      </c>
      <c r="K169" s="27">
        <v>182.0</v>
      </c>
      <c r="L169" s="28" t="s">
        <v>30</v>
      </c>
      <c r="M169" s="10"/>
      <c r="N169" s="10"/>
      <c r="O169" s="28" t="str">
        <f t="shared" si="1"/>
        <v>#ThirstyForMore</v>
      </c>
      <c r="P169" s="27">
        <f t="shared" si="2"/>
        <v>2472</v>
      </c>
    </row>
    <row r="170">
      <c r="A170" s="10" t="s">
        <v>220</v>
      </c>
      <c r="B170" s="10" t="s">
        <v>24</v>
      </c>
      <c r="C170" s="26">
        <v>45629.0</v>
      </c>
      <c r="D170" s="10" t="s">
        <v>53</v>
      </c>
      <c r="E170" s="10" t="s">
        <v>133</v>
      </c>
      <c r="F170" s="27">
        <v>3809.0</v>
      </c>
      <c r="G170" s="27">
        <v>273.0</v>
      </c>
      <c r="H170" s="27">
        <v>200.0</v>
      </c>
      <c r="I170" s="27">
        <v>34281.0</v>
      </c>
      <c r="J170" s="27">
        <v>33534.0</v>
      </c>
      <c r="K170" s="27">
        <v>83.0</v>
      </c>
      <c r="L170" s="28" t="s">
        <v>30</v>
      </c>
      <c r="M170" s="10"/>
      <c r="N170" s="10"/>
      <c r="O170" s="28" t="str">
        <f t="shared" si="1"/>
        <v>#ThirstyForMore</v>
      </c>
      <c r="P170" s="27">
        <f t="shared" si="2"/>
        <v>4009</v>
      </c>
    </row>
    <row r="171">
      <c r="A171" s="10" t="s">
        <v>221</v>
      </c>
      <c r="B171" s="10" t="s">
        <v>13</v>
      </c>
      <c r="C171" s="26">
        <v>45775.0</v>
      </c>
      <c r="D171" s="10" t="s">
        <v>19</v>
      </c>
      <c r="E171" s="10" t="s">
        <v>20</v>
      </c>
      <c r="F171" s="27">
        <v>3577.0</v>
      </c>
      <c r="G171" s="27">
        <v>596.0</v>
      </c>
      <c r="H171" s="27">
        <v>493.0</v>
      </c>
      <c r="I171" s="27">
        <v>67963.0</v>
      </c>
      <c r="J171" s="27">
        <v>67839.0</v>
      </c>
      <c r="K171" s="27">
        <v>53.0</v>
      </c>
      <c r="L171" s="28" t="s">
        <v>21</v>
      </c>
      <c r="M171" s="10"/>
      <c r="N171" s="10"/>
      <c r="O171" s="28" t="str">
        <f t="shared" si="1"/>
        <v>#PepsiCoRefresh</v>
      </c>
      <c r="P171" s="27">
        <f t="shared" si="2"/>
        <v>4070</v>
      </c>
    </row>
    <row r="172">
      <c r="A172" s="10" t="s">
        <v>222</v>
      </c>
      <c r="B172" s="10" t="s">
        <v>24</v>
      </c>
      <c r="C172" s="26">
        <v>45657.0</v>
      </c>
      <c r="D172" s="10" t="s">
        <v>53</v>
      </c>
      <c r="E172" s="10" t="s">
        <v>133</v>
      </c>
      <c r="F172" s="27">
        <v>1018.0</v>
      </c>
      <c r="G172" s="27">
        <v>447.0</v>
      </c>
      <c r="H172" s="27">
        <v>332.0</v>
      </c>
      <c r="I172" s="27">
        <v>18324.0</v>
      </c>
      <c r="J172" s="27">
        <v>18164.0</v>
      </c>
      <c r="K172" s="27">
        <v>38.0</v>
      </c>
      <c r="L172" s="28" t="s">
        <v>16</v>
      </c>
      <c r="M172" s="10"/>
      <c r="N172" s="10"/>
      <c r="O172" s="28" t="str">
        <f t="shared" si="1"/>
        <v>#LiveForNow</v>
      </c>
      <c r="P172" s="27">
        <f t="shared" si="2"/>
        <v>1350</v>
      </c>
    </row>
    <row r="173">
      <c r="A173" s="10" t="s">
        <v>223</v>
      </c>
      <c r="B173" s="10" t="s">
        <v>33</v>
      </c>
      <c r="C173" s="26">
        <v>45518.0</v>
      </c>
      <c r="D173" s="10" t="s">
        <v>34</v>
      </c>
      <c r="E173" s="10" t="s">
        <v>35</v>
      </c>
      <c r="F173" s="27">
        <v>3073.0</v>
      </c>
      <c r="G173" s="27">
        <v>553.0</v>
      </c>
      <c r="H173" s="27">
        <v>174.0</v>
      </c>
      <c r="I173" s="27">
        <v>52241.0</v>
      </c>
      <c r="J173" s="27">
        <v>51605.0</v>
      </c>
      <c r="K173" s="27">
        <v>246.0</v>
      </c>
      <c r="L173" s="28" t="s">
        <v>30</v>
      </c>
      <c r="M173" s="10"/>
      <c r="N173" s="10"/>
      <c r="O173" s="28" t="str">
        <f t="shared" si="1"/>
        <v>#ThirstyForMore</v>
      </c>
      <c r="P173" s="27">
        <f t="shared" si="2"/>
        <v>3247</v>
      </c>
    </row>
    <row r="174">
      <c r="A174" s="10" t="s">
        <v>224</v>
      </c>
      <c r="B174" s="10" t="s">
        <v>13</v>
      </c>
      <c r="C174" s="26">
        <v>45631.0</v>
      </c>
      <c r="D174" s="10" t="s">
        <v>53</v>
      </c>
      <c r="E174" s="10" t="s">
        <v>92</v>
      </c>
      <c r="F174" s="27">
        <v>1330.0</v>
      </c>
      <c r="G174" s="27">
        <v>925.0</v>
      </c>
      <c r="H174" s="27">
        <v>35.0</v>
      </c>
      <c r="I174" s="27">
        <v>15960.0</v>
      </c>
      <c r="J174" s="27">
        <v>15379.0</v>
      </c>
      <c r="K174" s="27">
        <v>229.0</v>
      </c>
      <c r="L174" s="28" t="s">
        <v>16</v>
      </c>
      <c r="M174" s="10"/>
      <c r="N174" s="10"/>
      <c r="O174" s="28" t="str">
        <f t="shared" si="1"/>
        <v>#LiveForNow</v>
      </c>
      <c r="P174" s="27">
        <f t="shared" si="2"/>
        <v>1365</v>
      </c>
    </row>
    <row r="175">
      <c r="A175" s="10" t="s">
        <v>225</v>
      </c>
      <c r="B175" s="10" t="s">
        <v>33</v>
      </c>
      <c r="C175" s="26">
        <v>45465.0</v>
      </c>
      <c r="D175" s="10" t="s">
        <v>19</v>
      </c>
      <c r="E175" s="10" t="s">
        <v>42</v>
      </c>
      <c r="F175" s="27">
        <v>3828.0</v>
      </c>
      <c r="G175" s="27">
        <v>148.0</v>
      </c>
      <c r="H175" s="27">
        <v>253.0</v>
      </c>
      <c r="I175" s="27">
        <v>30624.0</v>
      </c>
      <c r="J175" s="27">
        <v>30229.0</v>
      </c>
      <c r="K175" s="27">
        <v>235.0</v>
      </c>
      <c r="L175" s="28" t="s">
        <v>30</v>
      </c>
      <c r="M175" s="10"/>
      <c r="N175" s="10"/>
      <c r="O175" s="28" t="str">
        <f t="shared" si="1"/>
        <v>#ThirstyForMore</v>
      </c>
      <c r="P175" s="27">
        <f t="shared" si="2"/>
        <v>4081</v>
      </c>
    </row>
    <row r="176">
      <c r="A176" s="10" t="s">
        <v>226</v>
      </c>
      <c r="B176" s="10" t="s">
        <v>27</v>
      </c>
      <c r="C176" s="26">
        <v>45674.0</v>
      </c>
      <c r="D176" s="10" t="s">
        <v>14</v>
      </c>
      <c r="E176" s="10" t="s">
        <v>58</v>
      </c>
      <c r="F176" s="27">
        <v>142.0</v>
      </c>
      <c r="G176" s="27">
        <v>784.0</v>
      </c>
      <c r="H176" s="27">
        <v>183.0</v>
      </c>
      <c r="I176" s="27">
        <v>1704.0</v>
      </c>
      <c r="J176" s="27">
        <v>995.0</v>
      </c>
      <c r="K176" s="27">
        <v>154.0</v>
      </c>
      <c r="L176" s="28" t="s">
        <v>16</v>
      </c>
      <c r="M176" s="10"/>
      <c r="N176" s="10"/>
      <c r="O176" s="28" t="str">
        <f t="shared" si="1"/>
        <v>#LiveForNow</v>
      </c>
      <c r="P176" s="27">
        <f t="shared" si="2"/>
        <v>325</v>
      </c>
    </row>
    <row r="177">
      <c r="A177" s="10" t="s">
        <v>227</v>
      </c>
      <c r="B177" s="10" t="s">
        <v>33</v>
      </c>
      <c r="C177" s="26">
        <v>45463.0</v>
      </c>
      <c r="D177" s="10" t="s">
        <v>53</v>
      </c>
      <c r="E177" s="10" t="s">
        <v>54</v>
      </c>
      <c r="F177" s="27">
        <v>3798.0</v>
      </c>
      <c r="G177" s="27">
        <v>31.0</v>
      </c>
      <c r="H177" s="27">
        <v>279.0</v>
      </c>
      <c r="I177" s="27">
        <v>75960.0</v>
      </c>
      <c r="J177" s="27">
        <v>75813.0</v>
      </c>
      <c r="K177" s="27">
        <v>266.0</v>
      </c>
      <c r="L177" s="28" t="s">
        <v>21</v>
      </c>
      <c r="M177" s="10"/>
      <c r="N177" s="10"/>
      <c r="O177" s="28" t="str">
        <f t="shared" si="1"/>
        <v>#PepsiCoRefresh</v>
      </c>
      <c r="P177" s="27">
        <f t="shared" si="2"/>
        <v>4077</v>
      </c>
    </row>
    <row r="178">
      <c r="A178" s="10" t="s">
        <v>228</v>
      </c>
      <c r="B178" s="10" t="s">
        <v>27</v>
      </c>
      <c r="C178" s="26">
        <v>45483.0</v>
      </c>
      <c r="D178" s="10" t="s">
        <v>34</v>
      </c>
      <c r="E178" s="10" t="s">
        <v>62</v>
      </c>
      <c r="F178" s="27">
        <v>3099.0</v>
      </c>
      <c r="G178" s="27">
        <v>694.0</v>
      </c>
      <c r="H178" s="27">
        <v>171.0</v>
      </c>
      <c r="I178" s="27">
        <v>43386.0</v>
      </c>
      <c r="J178" s="27">
        <v>42921.0</v>
      </c>
      <c r="K178" s="27">
        <v>52.0</v>
      </c>
      <c r="L178" s="28" t="s">
        <v>21</v>
      </c>
      <c r="M178" s="10"/>
      <c r="N178" s="10"/>
      <c r="O178" s="28" t="str">
        <f t="shared" si="1"/>
        <v>#PepsiCoRefresh</v>
      </c>
      <c r="P178" s="27">
        <f t="shared" si="2"/>
        <v>3270</v>
      </c>
    </row>
    <row r="179">
      <c r="A179" s="10" t="s">
        <v>229</v>
      </c>
      <c r="B179" s="10" t="s">
        <v>27</v>
      </c>
      <c r="C179" s="26">
        <v>45603.0</v>
      </c>
      <c r="D179" s="10" t="s">
        <v>53</v>
      </c>
      <c r="E179" s="10" t="s">
        <v>60</v>
      </c>
      <c r="F179" s="27">
        <v>129.0</v>
      </c>
      <c r="G179" s="27">
        <v>643.0</v>
      </c>
      <c r="H179" s="27">
        <v>136.0</v>
      </c>
      <c r="I179" s="27">
        <v>1290.0</v>
      </c>
      <c r="J179" s="27">
        <v>839.0</v>
      </c>
      <c r="K179" s="27">
        <v>238.0</v>
      </c>
      <c r="L179" s="28" t="s">
        <v>21</v>
      </c>
      <c r="M179" s="10"/>
      <c r="N179" s="10"/>
      <c r="O179" s="28" t="str">
        <f t="shared" si="1"/>
        <v>#PepsiCoRefresh</v>
      </c>
      <c r="P179" s="27">
        <f t="shared" si="2"/>
        <v>265</v>
      </c>
    </row>
    <row r="180">
      <c r="A180" s="10" t="s">
        <v>230</v>
      </c>
      <c r="B180" s="10" t="s">
        <v>33</v>
      </c>
      <c r="C180" s="26">
        <v>45488.0</v>
      </c>
      <c r="D180" s="10" t="s">
        <v>34</v>
      </c>
      <c r="E180" s="10" t="s">
        <v>35</v>
      </c>
      <c r="F180" s="27">
        <v>3796.0</v>
      </c>
      <c r="G180" s="27">
        <v>667.0</v>
      </c>
      <c r="H180" s="27">
        <v>395.0</v>
      </c>
      <c r="I180" s="27">
        <v>64532.0</v>
      </c>
      <c r="J180" s="27">
        <v>63550.0</v>
      </c>
      <c r="K180" s="27">
        <v>292.0</v>
      </c>
      <c r="L180" s="28" t="s">
        <v>21</v>
      </c>
      <c r="M180" s="10"/>
      <c r="N180" s="10"/>
      <c r="O180" s="28" t="str">
        <f t="shared" si="1"/>
        <v>#PepsiCoRefresh</v>
      </c>
      <c r="P180" s="27">
        <f t="shared" si="2"/>
        <v>4191</v>
      </c>
    </row>
    <row r="181">
      <c r="A181" s="10" t="s">
        <v>231</v>
      </c>
      <c r="B181" s="10" t="s">
        <v>24</v>
      </c>
      <c r="C181" s="26">
        <v>45629.0</v>
      </c>
      <c r="D181" s="10" t="s">
        <v>19</v>
      </c>
      <c r="E181" s="10" t="s">
        <v>70</v>
      </c>
      <c r="F181" s="27">
        <v>3711.0</v>
      </c>
      <c r="G181" s="27">
        <v>352.0</v>
      </c>
      <c r="H181" s="27">
        <v>290.0</v>
      </c>
      <c r="I181" s="27">
        <v>48243.0</v>
      </c>
      <c r="J181" s="27">
        <v>47579.0</v>
      </c>
      <c r="K181" s="27">
        <v>11.0</v>
      </c>
      <c r="L181" s="28" t="s">
        <v>21</v>
      </c>
      <c r="M181" s="10"/>
      <c r="N181" s="10"/>
      <c r="O181" s="28" t="str">
        <f t="shared" si="1"/>
        <v>#PepsiCoRefresh</v>
      </c>
      <c r="P181" s="27">
        <f t="shared" si="2"/>
        <v>4001</v>
      </c>
    </row>
    <row r="182">
      <c r="A182" s="10" t="s">
        <v>232</v>
      </c>
      <c r="B182" s="10" t="s">
        <v>24</v>
      </c>
      <c r="C182" s="26">
        <v>45737.0</v>
      </c>
      <c r="D182" s="10" t="s">
        <v>39</v>
      </c>
      <c r="E182" s="10" t="s">
        <v>40</v>
      </c>
      <c r="F182" s="27">
        <v>606.0</v>
      </c>
      <c r="G182" s="27">
        <v>789.0</v>
      </c>
      <c r="H182" s="27">
        <v>470.0</v>
      </c>
      <c r="I182" s="27">
        <v>7878.0</v>
      </c>
      <c r="J182" s="27">
        <v>7389.0</v>
      </c>
      <c r="K182" s="27">
        <v>239.0</v>
      </c>
      <c r="L182" s="28" t="s">
        <v>30</v>
      </c>
      <c r="M182" s="10"/>
      <c r="N182" s="10"/>
      <c r="O182" s="28" t="str">
        <f t="shared" si="1"/>
        <v>#ThirstyForMore</v>
      </c>
      <c r="P182" s="27">
        <f t="shared" si="2"/>
        <v>1076</v>
      </c>
    </row>
    <row r="183">
      <c r="A183" s="10" t="s">
        <v>233</v>
      </c>
      <c r="B183" s="10" t="s">
        <v>33</v>
      </c>
      <c r="C183" s="26">
        <v>45504.0</v>
      </c>
      <c r="D183" s="10" t="s">
        <v>39</v>
      </c>
      <c r="E183" s="10" t="s">
        <v>44</v>
      </c>
      <c r="F183" s="27">
        <v>4689.0</v>
      </c>
      <c r="G183" s="27">
        <v>134.0</v>
      </c>
      <c r="H183" s="27">
        <v>403.0</v>
      </c>
      <c r="I183" s="27">
        <v>51579.0</v>
      </c>
      <c r="J183" s="27">
        <v>50924.0</v>
      </c>
      <c r="K183" s="27">
        <v>173.0</v>
      </c>
      <c r="L183" s="28" t="s">
        <v>21</v>
      </c>
      <c r="M183" s="10"/>
      <c r="N183" s="10"/>
      <c r="O183" s="28" t="str">
        <f t="shared" si="1"/>
        <v>#PepsiCoRefresh</v>
      </c>
      <c r="P183" s="27">
        <f t="shared" si="2"/>
        <v>5092</v>
      </c>
    </row>
    <row r="184">
      <c r="A184" s="10" t="s">
        <v>234</v>
      </c>
      <c r="B184" s="10" t="s">
        <v>27</v>
      </c>
      <c r="C184" s="26">
        <v>45643.0</v>
      </c>
      <c r="D184" s="10" t="s">
        <v>28</v>
      </c>
      <c r="E184" s="10" t="s">
        <v>29</v>
      </c>
      <c r="F184" s="27">
        <v>360.0</v>
      </c>
      <c r="G184" s="27">
        <v>590.0</v>
      </c>
      <c r="H184" s="27">
        <v>393.0</v>
      </c>
      <c r="I184" s="27">
        <v>4680.0</v>
      </c>
      <c r="J184" s="27">
        <v>4322.0</v>
      </c>
      <c r="K184" s="27">
        <v>208.0</v>
      </c>
      <c r="L184" s="28" t="s">
        <v>16</v>
      </c>
      <c r="M184" s="10"/>
      <c r="N184" s="10"/>
      <c r="O184" s="28" t="str">
        <f t="shared" si="1"/>
        <v>#LiveForNow</v>
      </c>
      <c r="P184" s="27">
        <f t="shared" si="2"/>
        <v>753</v>
      </c>
    </row>
    <row r="185">
      <c r="A185" s="10" t="s">
        <v>235</v>
      </c>
      <c r="B185" s="10" t="s">
        <v>13</v>
      </c>
      <c r="C185" s="26">
        <v>45501.0</v>
      </c>
      <c r="D185" s="10" t="s">
        <v>39</v>
      </c>
      <c r="E185" s="10" t="s">
        <v>85</v>
      </c>
      <c r="F185" s="27">
        <v>3215.0</v>
      </c>
      <c r="G185" s="27">
        <v>960.0</v>
      </c>
      <c r="H185" s="27">
        <v>202.0</v>
      </c>
      <c r="I185" s="27">
        <v>32150.0</v>
      </c>
      <c r="J185" s="27">
        <v>31404.0</v>
      </c>
      <c r="K185" s="27">
        <v>251.0</v>
      </c>
      <c r="L185" s="28" t="s">
        <v>30</v>
      </c>
      <c r="M185" s="10"/>
      <c r="N185" s="10"/>
      <c r="O185" s="28" t="str">
        <f t="shared" si="1"/>
        <v>#ThirstyForMore</v>
      </c>
      <c r="P185" s="27">
        <f t="shared" si="2"/>
        <v>3417</v>
      </c>
    </row>
    <row r="186">
      <c r="A186" s="10" t="s">
        <v>236</v>
      </c>
      <c r="B186" s="10" t="s">
        <v>27</v>
      </c>
      <c r="C186" s="26">
        <v>45668.0</v>
      </c>
      <c r="D186" s="10" t="s">
        <v>34</v>
      </c>
      <c r="E186" s="10" t="s">
        <v>62</v>
      </c>
      <c r="F186" s="27">
        <v>4523.0</v>
      </c>
      <c r="G186" s="27">
        <v>61.0</v>
      </c>
      <c r="H186" s="27">
        <v>157.0</v>
      </c>
      <c r="I186" s="27">
        <v>49753.0</v>
      </c>
      <c r="J186" s="27">
        <v>49329.0</v>
      </c>
      <c r="K186" s="27">
        <v>71.0</v>
      </c>
      <c r="L186" s="28" t="s">
        <v>30</v>
      </c>
      <c r="M186" s="10"/>
      <c r="N186" s="10"/>
      <c r="O186" s="28" t="str">
        <f t="shared" si="1"/>
        <v>#ThirstyForMore</v>
      </c>
      <c r="P186" s="27">
        <f t="shared" si="2"/>
        <v>4680</v>
      </c>
    </row>
    <row r="187">
      <c r="A187" s="10" t="s">
        <v>237</v>
      </c>
      <c r="B187" s="10" t="s">
        <v>33</v>
      </c>
      <c r="C187" s="26">
        <v>45528.0</v>
      </c>
      <c r="D187" s="10" t="s">
        <v>34</v>
      </c>
      <c r="E187" s="10" t="s">
        <v>35</v>
      </c>
      <c r="F187" s="27">
        <v>4292.0</v>
      </c>
      <c r="G187" s="27">
        <v>51.0</v>
      </c>
      <c r="H187" s="27">
        <v>392.0</v>
      </c>
      <c r="I187" s="27">
        <v>55796.0</v>
      </c>
      <c r="J187" s="27">
        <v>54826.0</v>
      </c>
      <c r="K187" s="27">
        <v>264.0</v>
      </c>
      <c r="L187" s="28" t="s">
        <v>30</v>
      </c>
      <c r="M187" s="10"/>
      <c r="N187" s="10"/>
      <c r="O187" s="28" t="str">
        <f t="shared" si="1"/>
        <v>#ThirstyForMore</v>
      </c>
      <c r="P187" s="27">
        <f t="shared" si="2"/>
        <v>4684</v>
      </c>
    </row>
    <row r="188">
      <c r="A188" s="10" t="s">
        <v>238</v>
      </c>
      <c r="B188" s="10" t="s">
        <v>13</v>
      </c>
      <c r="C188" s="26">
        <v>45648.0</v>
      </c>
      <c r="D188" s="10" t="s">
        <v>14</v>
      </c>
      <c r="E188" s="10" t="s">
        <v>15</v>
      </c>
      <c r="F188" s="27">
        <v>1644.0</v>
      </c>
      <c r="G188" s="27">
        <v>546.0</v>
      </c>
      <c r="H188" s="27">
        <v>150.0</v>
      </c>
      <c r="I188" s="27">
        <v>27948.0</v>
      </c>
      <c r="J188" s="27">
        <v>27184.0</v>
      </c>
      <c r="K188" s="27">
        <v>300.0</v>
      </c>
      <c r="L188" s="28" t="s">
        <v>30</v>
      </c>
      <c r="M188" s="10"/>
      <c r="N188" s="10"/>
      <c r="O188" s="28" t="str">
        <f t="shared" si="1"/>
        <v>#ThirstyForMore</v>
      </c>
      <c r="P188" s="27">
        <f t="shared" si="2"/>
        <v>1794</v>
      </c>
    </row>
    <row r="189">
      <c r="A189" s="10" t="s">
        <v>239</v>
      </c>
      <c r="B189" s="10" t="s">
        <v>24</v>
      </c>
      <c r="C189" s="26">
        <v>45449.0</v>
      </c>
      <c r="D189" s="10" t="s">
        <v>14</v>
      </c>
      <c r="E189" s="10" t="s">
        <v>25</v>
      </c>
      <c r="F189" s="27">
        <v>2728.0</v>
      </c>
      <c r="G189" s="27">
        <v>533.0</v>
      </c>
      <c r="H189" s="27">
        <v>215.0</v>
      </c>
      <c r="I189" s="27">
        <v>40920.0</v>
      </c>
      <c r="J189" s="27">
        <v>40816.0</v>
      </c>
      <c r="K189" s="27">
        <v>137.0</v>
      </c>
      <c r="L189" s="28" t="s">
        <v>16</v>
      </c>
      <c r="M189" s="10"/>
      <c r="N189" s="10"/>
      <c r="O189" s="28" t="str">
        <f t="shared" si="1"/>
        <v>#LiveForNow</v>
      </c>
      <c r="P189" s="27">
        <f t="shared" si="2"/>
        <v>2943</v>
      </c>
    </row>
    <row r="190">
      <c r="A190" s="10" t="s">
        <v>240</v>
      </c>
      <c r="B190" s="10" t="s">
        <v>33</v>
      </c>
      <c r="C190" s="26">
        <v>45740.0</v>
      </c>
      <c r="D190" s="10" t="s">
        <v>14</v>
      </c>
      <c r="E190" s="10" t="s">
        <v>47</v>
      </c>
      <c r="F190" s="27">
        <v>3360.0</v>
      </c>
      <c r="G190" s="27">
        <v>525.0</v>
      </c>
      <c r="H190" s="27">
        <v>500.0</v>
      </c>
      <c r="I190" s="27">
        <v>60480.0</v>
      </c>
      <c r="J190" s="27">
        <v>59610.0</v>
      </c>
      <c r="K190" s="27">
        <v>192.0</v>
      </c>
      <c r="L190" s="28" t="s">
        <v>21</v>
      </c>
      <c r="M190" s="10"/>
      <c r="N190" s="10"/>
      <c r="O190" s="28" t="str">
        <f t="shared" si="1"/>
        <v>#PepsiCoRefresh</v>
      </c>
      <c r="P190" s="27">
        <f t="shared" si="2"/>
        <v>3860</v>
      </c>
    </row>
    <row r="191">
      <c r="A191" s="10" t="s">
        <v>241</v>
      </c>
      <c r="B191" s="10" t="s">
        <v>24</v>
      </c>
      <c r="C191" s="26">
        <v>45569.0</v>
      </c>
      <c r="D191" s="10" t="s">
        <v>19</v>
      </c>
      <c r="E191" s="10" t="s">
        <v>70</v>
      </c>
      <c r="F191" s="27">
        <v>1963.0</v>
      </c>
      <c r="G191" s="27">
        <v>213.0</v>
      </c>
      <c r="H191" s="27">
        <v>19.0</v>
      </c>
      <c r="I191" s="27">
        <v>39260.0</v>
      </c>
      <c r="J191" s="27">
        <v>38771.0</v>
      </c>
      <c r="K191" s="27">
        <v>145.0</v>
      </c>
      <c r="L191" s="28" t="s">
        <v>16</v>
      </c>
      <c r="M191" s="10"/>
      <c r="N191" s="10"/>
      <c r="O191" s="28" t="str">
        <f t="shared" si="1"/>
        <v>#LiveForNow</v>
      </c>
      <c r="P191" s="27">
        <f t="shared" si="2"/>
        <v>1982</v>
      </c>
    </row>
    <row r="192">
      <c r="A192" s="10" t="s">
        <v>242</v>
      </c>
      <c r="B192" s="10" t="s">
        <v>24</v>
      </c>
      <c r="C192" s="26">
        <v>45629.0</v>
      </c>
      <c r="D192" s="10" t="s">
        <v>28</v>
      </c>
      <c r="E192" s="10" t="s">
        <v>98</v>
      </c>
      <c r="F192" s="27">
        <v>4285.0</v>
      </c>
      <c r="G192" s="27">
        <v>886.0</v>
      </c>
      <c r="H192" s="27">
        <v>376.0</v>
      </c>
      <c r="I192" s="27">
        <v>55705.0</v>
      </c>
      <c r="J192" s="27">
        <v>55556.0</v>
      </c>
      <c r="K192" s="27">
        <v>51.0</v>
      </c>
      <c r="L192" s="28" t="s">
        <v>16</v>
      </c>
      <c r="M192" s="10"/>
      <c r="N192" s="10"/>
      <c r="O192" s="28" t="str">
        <f t="shared" si="1"/>
        <v>#LiveForNow</v>
      </c>
      <c r="P192" s="27">
        <f t="shared" si="2"/>
        <v>4661</v>
      </c>
    </row>
    <row r="193">
      <c r="A193" s="10" t="s">
        <v>243</v>
      </c>
      <c r="B193" s="10" t="s">
        <v>27</v>
      </c>
      <c r="C193" s="26">
        <v>45625.0</v>
      </c>
      <c r="D193" s="10" t="s">
        <v>53</v>
      </c>
      <c r="E193" s="10" t="s">
        <v>60</v>
      </c>
      <c r="F193" s="27">
        <v>1176.0</v>
      </c>
      <c r="G193" s="27">
        <v>464.0</v>
      </c>
      <c r="H193" s="27">
        <v>394.0</v>
      </c>
      <c r="I193" s="27">
        <v>14112.0</v>
      </c>
      <c r="J193" s="27">
        <v>13588.0</v>
      </c>
      <c r="K193" s="27">
        <v>272.0</v>
      </c>
      <c r="L193" s="28" t="s">
        <v>30</v>
      </c>
      <c r="M193" s="10"/>
      <c r="N193" s="10"/>
      <c r="O193" s="28" t="str">
        <f t="shared" si="1"/>
        <v>#ThirstyForMore</v>
      </c>
      <c r="P193" s="27">
        <f t="shared" si="2"/>
        <v>1570</v>
      </c>
    </row>
    <row r="194">
      <c r="A194" s="10" t="s">
        <v>244</v>
      </c>
      <c r="B194" s="10" t="s">
        <v>13</v>
      </c>
      <c r="C194" s="26">
        <v>45546.0</v>
      </c>
      <c r="D194" s="10" t="s">
        <v>39</v>
      </c>
      <c r="E194" s="10" t="s">
        <v>85</v>
      </c>
      <c r="F194" s="27">
        <v>4858.0</v>
      </c>
      <c r="G194" s="27">
        <v>317.0</v>
      </c>
      <c r="H194" s="27">
        <v>129.0</v>
      </c>
      <c r="I194" s="27">
        <v>53438.0</v>
      </c>
      <c r="J194" s="27">
        <v>52687.0</v>
      </c>
      <c r="K194" s="27">
        <v>223.0</v>
      </c>
      <c r="L194" s="28" t="s">
        <v>30</v>
      </c>
      <c r="M194" s="10"/>
      <c r="N194" s="10"/>
      <c r="O194" s="28" t="str">
        <f t="shared" si="1"/>
        <v>#ThirstyForMore</v>
      </c>
      <c r="P194" s="27">
        <f t="shared" si="2"/>
        <v>4987</v>
      </c>
    </row>
    <row r="195">
      <c r="A195" s="10" t="s">
        <v>245</v>
      </c>
      <c r="B195" s="10" t="s">
        <v>24</v>
      </c>
      <c r="C195" s="26">
        <v>45567.0</v>
      </c>
      <c r="D195" s="10" t="s">
        <v>28</v>
      </c>
      <c r="E195" s="10" t="s">
        <v>98</v>
      </c>
      <c r="F195" s="27">
        <v>4350.0</v>
      </c>
      <c r="G195" s="27">
        <v>771.0</v>
      </c>
      <c r="H195" s="27">
        <v>7.0</v>
      </c>
      <c r="I195" s="27">
        <v>60900.0</v>
      </c>
      <c r="J195" s="27">
        <v>60592.0</v>
      </c>
      <c r="K195" s="27">
        <v>195.0</v>
      </c>
      <c r="L195" s="28" t="s">
        <v>30</v>
      </c>
      <c r="M195" s="10"/>
      <c r="N195" s="10"/>
      <c r="O195" s="28" t="str">
        <f t="shared" si="1"/>
        <v>#ThirstyForMore</v>
      </c>
      <c r="P195" s="27">
        <f t="shared" si="2"/>
        <v>4357</v>
      </c>
    </row>
    <row r="196">
      <c r="A196" s="10" t="s">
        <v>246</v>
      </c>
      <c r="B196" s="10" t="s">
        <v>27</v>
      </c>
      <c r="C196" s="26">
        <v>45519.0</v>
      </c>
      <c r="D196" s="10" t="s">
        <v>34</v>
      </c>
      <c r="E196" s="10" t="s">
        <v>62</v>
      </c>
      <c r="F196" s="27">
        <v>914.0</v>
      </c>
      <c r="G196" s="27">
        <v>464.0</v>
      </c>
      <c r="H196" s="27">
        <v>246.0</v>
      </c>
      <c r="I196" s="27">
        <v>11882.0</v>
      </c>
      <c r="J196" s="27">
        <v>11500.0</v>
      </c>
      <c r="K196" s="27">
        <v>282.0</v>
      </c>
      <c r="L196" s="28" t="s">
        <v>16</v>
      </c>
      <c r="M196" s="28" t="s">
        <v>21</v>
      </c>
      <c r="N196" s="28" t="s">
        <v>17</v>
      </c>
      <c r="O196" s="28" t="str">
        <f t="shared" si="1"/>
        <v>#LiveForNow#PepsiCoRefresh#AnytimeIsPepsiTime</v>
      </c>
      <c r="P196" s="27">
        <f t="shared" si="2"/>
        <v>1160</v>
      </c>
    </row>
    <row r="197">
      <c r="A197" s="10" t="s">
        <v>247</v>
      </c>
      <c r="B197" s="10" t="s">
        <v>27</v>
      </c>
      <c r="C197" s="26">
        <v>45645.0</v>
      </c>
      <c r="D197" s="10" t="s">
        <v>19</v>
      </c>
      <c r="E197" s="10" t="s">
        <v>75</v>
      </c>
      <c r="F197" s="27">
        <v>1813.0</v>
      </c>
      <c r="G197" s="27">
        <v>623.0</v>
      </c>
      <c r="H197" s="27">
        <v>72.0</v>
      </c>
      <c r="I197" s="27">
        <v>19943.0</v>
      </c>
      <c r="J197" s="27">
        <v>18959.0</v>
      </c>
      <c r="K197" s="27">
        <v>85.0</v>
      </c>
      <c r="L197" s="28" t="s">
        <v>30</v>
      </c>
      <c r="M197" s="10"/>
      <c r="N197" s="10"/>
      <c r="O197" s="28" t="str">
        <f t="shared" si="1"/>
        <v>#ThirstyForMore</v>
      </c>
      <c r="P197" s="27">
        <f t="shared" si="2"/>
        <v>1885</v>
      </c>
    </row>
    <row r="198">
      <c r="A198" s="10" t="s">
        <v>248</v>
      </c>
      <c r="B198" s="10" t="s">
        <v>13</v>
      </c>
      <c r="C198" s="26">
        <v>45587.0</v>
      </c>
      <c r="D198" s="10" t="s">
        <v>14</v>
      </c>
      <c r="E198" s="10" t="s">
        <v>15</v>
      </c>
      <c r="F198" s="27">
        <v>4782.0</v>
      </c>
      <c r="G198" s="27">
        <v>721.0</v>
      </c>
      <c r="H198" s="27">
        <v>82.0</v>
      </c>
      <c r="I198" s="27">
        <v>86076.0</v>
      </c>
      <c r="J198" s="27">
        <v>85339.0</v>
      </c>
      <c r="K198" s="27">
        <v>19.0</v>
      </c>
      <c r="L198" s="28" t="s">
        <v>30</v>
      </c>
      <c r="M198" s="10"/>
      <c r="N198" s="10"/>
      <c r="O198" s="28" t="str">
        <f t="shared" si="1"/>
        <v>#ThirstyForMore</v>
      </c>
      <c r="P198" s="27">
        <f t="shared" si="2"/>
        <v>4864</v>
      </c>
    </row>
    <row r="199">
      <c r="A199" s="10" t="s">
        <v>249</v>
      </c>
      <c r="B199" s="10" t="s">
        <v>13</v>
      </c>
      <c r="C199" s="26">
        <v>45549.0</v>
      </c>
      <c r="D199" s="10" t="s">
        <v>39</v>
      </c>
      <c r="E199" s="10" t="s">
        <v>85</v>
      </c>
      <c r="F199" s="27">
        <v>1048.0</v>
      </c>
      <c r="G199" s="27">
        <v>374.0</v>
      </c>
      <c r="H199" s="27">
        <v>450.0</v>
      </c>
      <c r="I199" s="27">
        <v>9432.0</v>
      </c>
      <c r="J199" s="27">
        <v>8882.0</v>
      </c>
      <c r="K199" s="27">
        <v>158.0</v>
      </c>
      <c r="L199" s="28" t="s">
        <v>21</v>
      </c>
      <c r="M199" s="10"/>
      <c r="N199" s="10"/>
      <c r="O199" s="28" t="str">
        <f t="shared" si="1"/>
        <v>#PepsiCoRefresh</v>
      </c>
      <c r="P199" s="27">
        <f t="shared" si="2"/>
        <v>1498</v>
      </c>
    </row>
    <row r="200">
      <c r="A200" s="10" t="s">
        <v>250</v>
      </c>
      <c r="B200" s="10" t="s">
        <v>24</v>
      </c>
      <c r="C200" s="26">
        <v>45626.0</v>
      </c>
      <c r="D200" s="10" t="s">
        <v>34</v>
      </c>
      <c r="E200" s="10" t="s">
        <v>49</v>
      </c>
      <c r="F200" s="27">
        <v>2509.0</v>
      </c>
      <c r="G200" s="27">
        <v>324.0</v>
      </c>
      <c r="H200" s="27">
        <v>171.0</v>
      </c>
      <c r="I200" s="27">
        <v>35126.0</v>
      </c>
      <c r="J200" s="27">
        <v>34685.0</v>
      </c>
      <c r="K200" s="27">
        <v>277.0</v>
      </c>
      <c r="L200" s="28" t="s">
        <v>21</v>
      </c>
      <c r="M200" s="10"/>
      <c r="N200" s="10"/>
      <c r="O200" s="28" t="str">
        <f t="shared" si="1"/>
        <v>#PepsiCoRefresh</v>
      </c>
      <c r="P200" s="27">
        <f t="shared" si="2"/>
        <v>2680</v>
      </c>
    </row>
    <row r="201">
      <c r="A201" s="10" t="s">
        <v>251</v>
      </c>
      <c r="B201" s="10" t="s">
        <v>33</v>
      </c>
      <c r="C201" s="26">
        <v>45754.0</v>
      </c>
      <c r="D201" s="10" t="s">
        <v>14</v>
      </c>
      <c r="E201" s="10" t="s">
        <v>47</v>
      </c>
      <c r="F201" s="27">
        <v>3718.0</v>
      </c>
      <c r="G201" s="27">
        <v>385.0</v>
      </c>
      <c r="H201" s="27">
        <v>310.0</v>
      </c>
      <c r="I201" s="27">
        <v>70642.0</v>
      </c>
      <c r="J201" s="27">
        <v>69749.0</v>
      </c>
      <c r="K201" s="27">
        <v>233.0</v>
      </c>
      <c r="L201" s="28" t="s">
        <v>21</v>
      </c>
      <c r="M201" s="10"/>
      <c r="N201" s="10"/>
      <c r="O201" s="28" t="str">
        <f t="shared" si="1"/>
        <v>#PepsiCoRefresh</v>
      </c>
      <c r="P201" s="27">
        <f t="shared" si="2"/>
        <v>4028</v>
      </c>
    </row>
    <row r="202">
      <c r="A202" s="10" t="s">
        <v>252</v>
      </c>
      <c r="B202" s="10" t="s">
        <v>13</v>
      </c>
      <c r="C202" s="26">
        <v>45672.0</v>
      </c>
      <c r="D202" s="10" t="s">
        <v>14</v>
      </c>
      <c r="E202" s="10" t="s">
        <v>15</v>
      </c>
      <c r="F202" s="27">
        <v>802.0</v>
      </c>
      <c r="G202" s="27">
        <v>262.0</v>
      </c>
      <c r="H202" s="27">
        <v>244.0</v>
      </c>
      <c r="I202" s="27">
        <v>14436.0</v>
      </c>
      <c r="J202" s="27">
        <v>14280.0</v>
      </c>
      <c r="K202" s="27">
        <v>49.0</v>
      </c>
      <c r="L202" s="28" t="s">
        <v>30</v>
      </c>
      <c r="M202" s="10"/>
      <c r="N202" s="10"/>
      <c r="O202" s="28" t="str">
        <f t="shared" si="1"/>
        <v>#ThirstyForMore</v>
      </c>
      <c r="P202" s="27">
        <f t="shared" si="2"/>
        <v>1046</v>
      </c>
    </row>
    <row r="203">
      <c r="A203" s="10" t="s">
        <v>253</v>
      </c>
      <c r="B203" s="10" t="s">
        <v>33</v>
      </c>
      <c r="C203" s="26">
        <v>45445.0</v>
      </c>
      <c r="D203" s="10" t="s">
        <v>39</v>
      </c>
      <c r="E203" s="10" t="s">
        <v>44</v>
      </c>
      <c r="F203" s="27">
        <v>1871.0</v>
      </c>
      <c r="G203" s="27">
        <v>252.0</v>
      </c>
      <c r="H203" s="27">
        <v>335.0</v>
      </c>
      <c r="I203" s="27">
        <v>29936.0</v>
      </c>
      <c r="J203" s="27">
        <v>29576.0</v>
      </c>
      <c r="K203" s="27">
        <v>288.0</v>
      </c>
      <c r="L203" s="28" t="s">
        <v>30</v>
      </c>
      <c r="M203" s="10"/>
      <c r="N203" s="10"/>
      <c r="O203" s="28" t="str">
        <f t="shared" si="1"/>
        <v>#ThirstyForMore</v>
      </c>
      <c r="P203" s="27">
        <f t="shared" si="2"/>
        <v>2206</v>
      </c>
    </row>
    <row r="204">
      <c r="A204" s="10" t="s">
        <v>254</v>
      </c>
      <c r="B204" s="10" t="s">
        <v>27</v>
      </c>
      <c r="C204" s="26">
        <v>45617.0</v>
      </c>
      <c r="D204" s="10" t="s">
        <v>34</v>
      </c>
      <c r="E204" s="10" t="s">
        <v>62</v>
      </c>
      <c r="F204" s="27">
        <v>3773.0</v>
      </c>
      <c r="G204" s="27">
        <v>299.0</v>
      </c>
      <c r="H204" s="27">
        <v>38.0</v>
      </c>
      <c r="I204" s="27">
        <v>71687.0</v>
      </c>
      <c r="J204" s="27">
        <v>71447.0</v>
      </c>
      <c r="K204" s="27">
        <v>286.0</v>
      </c>
      <c r="L204" s="28" t="s">
        <v>16</v>
      </c>
      <c r="M204" s="10"/>
      <c r="N204" s="10"/>
      <c r="O204" s="28" t="str">
        <f t="shared" si="1"/>
        <v>#LiveForNow</v>
      </c>
      <c r="P204" s="27">
        <f t="shared" si="2"/>
        <v>3811</v>
      </c>
    </row>
    <row r="205">
      <c r="A205" s="10" t="s">
        <v>255</v>
      </c>
      <c r="B205" s="10" t="s">
        <v>27</v>
      </c>
      <c r="C205" s="26">
        <v>45658.0</v>
      </c>
      <c r="D205" s="10" t="s">
        <v>34</v>
      </c>
      <c r="E205" s="10" t="s">
        <v>62</v>
      </c>
      <c r="F205" s="27">
        <v>2234.0</v>
      </c>
      <c r="G205" s="27">
        <v>653.0</v>
      </c>
      <c r="H205" s="27">
        <v>432.0</v>
      </c>
      <c r="I205" s="27">
        <v>11170.0</v>
      </c>
      <c r="J205" s="27">
        <v>10569.0</v>
      </c>
      <c r="K205" s="27">
        <v>198.0</v>
      </c>
      <c r="L205" s="28" t="s">
        <v>16</v>
      </c>
      <c r="M205" s="10"/>
      <c r="N205" s="10"/>
      <c r="O205" s="28" t="str">
        <f t="shared" si="1"/>
        <v>#LiveForNow</v>
      </c>
      <c r="P205" s="27">
        <f t="shared" si="2"/>
        <v>2666</v>
      </c>
    </row>
    <row r="206">
      <c r="A206" s="10" t="s">
        <v>256</v>
      </c>
      <c r="B206" s="10" t="s">
        <v>13</v>
      </c>
      <c r="C206" s="26">
        <v>45771.0</v>
      </c>
      <c r="D206" s="10" t="s">
        <v>53</v>
      </c>
      <c r="E206" s="10" t="s">
        <v>92</v>
      </c>
      <c r="F206" s="27">
        <v>3820.0</v>
      </c>
      <c r="G206" s="27">
        <v>697.0</v>
      </c>
      <c r="H206" s="27">
        <v>268.0</v>
      </c>
      <c r="I206" s="27">
        <v>45840.0</v>
      </c>
      <c r="J206" s="27">
        <v>45631.0</v>
      </c>
      <c r="K206" s="27">
        <v>171.0</v>
      </c>
      <c r="L206" s="28" t="s">
        <v>21</v>
      </c>
      <c r="M206" s="28" t="s">
        <v>191</v>
      </c>
      <c r="N206" s="10"/>
      <c r="O206" s="28" t="str">
        <f t="shared" si="1"/>
        <v>#PepsiCoRefresh#SmoothLikeNitroPepsi</v>
      </c>
      <c r="P206" s="27">
        <f t="shared" si="2"/>
        <v>4088</v>
      </c>
    </row>
    <row r="207">
      <c r="A207" s="10" t="s">
        <v>257</v>
      </c>
      <c r="B207" s="10" t="s">
        <v>13</v>
      </c>
      <c r="C207" s="26">
        <v>45467.0</v>
      </c>
      <c r="D207" s="10" t="s">
        <v>19</v>
      </c>
      <c r="E207" s="10" t="s">
        <v>20</v>
      </c>
      <c r="F207" s="27">
        <v>941.0</v>
      </c>
      <c r="G207" s="27">
        <v>121.0</v>
      </c>
      <c r="H207" s="27">
        <v>458.0</v>
      </c>
      <c r="I207" s="27">
        <v>14115.0</v>
      </c>
      <c r="J207" s="27">
        <v>13838.0</v>
      </c>
      <c r="K207" s="27">
        <v>87.0</v>
      </c>
      <c r="L207" s="28" t="s">
        <v>30</v>
      </c>
      <c r="M207" s="10"/>
      <c r="N207" s="10"/>
      <c r="O207" s="28" t="str">
        <f t="shared" si="1"/>
        <v>#ThirstyForMore</v>
      </c>
      <c r="P207" s="27">
        <f t="shared" si="2"/>
        <v>1399</v>
      </c>
    </row>
    <row r="208">
      <c r="A208" s="10" t="s">
        <v>258</v>
      </c>
      <c r="B208" s="10" t="s">
        <v>13</v>
      </c>
      <c r="C208" s="26">
        <v>45655.0</v>
      </c>
      <c r="D208" s="10" t="s">
        <v>34</v>
      </c>
      <c r="E208" s="10" t="s">
        <v>37</v>
      </c>
      <c r="F208" s="27">
        <v>4274.0</v>
      </c>
      <c r="G208" s="27">
        <v>340.0</v>
      </c>
      <c r="H208" s="27">
        <v>281.0</v>
      </c>
      <c r="I208" s="27">
        <v>34192.0</v>
      </c>
      <c r="J208" s="27">
        <v>33446.0</v>
      </c>
      <c r="K208" s="27">
        <v>129.0</v>
      </c>
      <c r="L208" s="28" t="s">
        <v>21</v>
      </c>
      <c r="M208" s="28" t="s">
        <v>191</v>
      </c>
      <c r="N208" s="10"/>
      <c r="O208" s="28" t="str">
        <f t="shared" si="1"/>
        <v>#PepsiCoRefresh#SmoothLikeNitroPepsi</v>
      </c>
      <c r="P208" s="27">
        <f t="shared" si="2"/>
        <v>4555</v>
      </c>
    </row>
    <row r="209">
      <c r="A209" s="10" t="s">
        <v>259</v>
      </c>
      <c r="B209" s="10" t="s">
        <v>24</v>
      </c>
      <c r="C209" s="26">
        <v>45467.0</v>
      </c>
      <c r="D209" s="10" t="s">
        <v>53</v>
      </c>
      <c r="E209" s="10" t="s">
        <v>133</v>
      </c>
      <c r="F209" s="27">
        <v>2949.0</v>
      </c>
      <c r="G209" s="27">
        <v>476.0</v>
      </c>
      <c r="H209" s="27">
        <v>403.0</v>
      </c>
      <c r="I209" s="27">
        <v>44235.0</v>
      </c>
      <c r="J209" s="27">
        <v>43705.0</v>
      </c>
      <c r="K209" s="27">
        <v>135.0</v>
      </c>
      <c r="L209" s="28" t="s">
        <v>21</v>
      </c>
      <c r="M209" s="10"/>
      <c r="N209" s="10"/>
      <c r="O209" s="28" t="str">
        <f t="shared" si="1"/>
        <v>#PepsiCoRefresh</v>
      </c>
      <c r="P209" s="27">
        <f t="shared" si="2"/>
        <v>3352</v>
      </c>
    </row>
    <row r="210">
      <c r="A210" s="10" t="s">
        <v>260</v>
      </c>
      <c r="B210" s="10" t="s">
        <v>13</v>
      </c>
      <c r="C210" s="26">
        <v>45735.0</v>
      </c>
      <c r="D210" s="10" t="s">
        <v>53</v>
      </c>
      <c r="E210" s="10" t="s">
        <v>92</v>
      </c>
      <c r="F210" s="27">
        <v>3160.0</v>
      </c>
      <c r="G210" s="27">
        <v>204.0</v>
      </c>
      <c r="H210" s="27">
        <v>297.0</v>
      </c>
      <c r="I210" s="27">
        <v>44240.0</v>
      </c>
      <c r="J210" s="27">
        <v>43666.0</v>
      </c>
      <c r="K210" s="27">
        <v>49.0</v>
      </c>
      <c r="L210" s="28" t="s">
        <v>16</v>
      </c>
      <c r="M210" s="28" t="s">
        <v>17</v>
      </c>
      <c r="N210" s="10"/>
      <c r="O210" s="28" t="str">
        <f t="shared" si="1"/>
        <v>#LiveForNow#AnytimeIsPepsiTime</v>
      </c>
      <c r="P210" s="27">
        <f t="shared" si="2"/>
        <v>3457</v>
      </c>
    </row>
    <row r="211">
      <c r="A211" s="10" t="s">
        <v>261</v>
      </c>
      <c r="B211" s="10" t="s">
        <v>24</v>
      </c>
      <c r="C211" s="26">
        <v>45707.0</v>
      </c>
      <c r="D211" s="10" t="s">
        <v>39</v>
      </c>
      <c r="E211" s="10" t="s">
        <v>40</v>
      </c>
      <c r="F211" s="27">
        <v>257.0</v>
      </c>
      <c r="G211" s="27">
        <v>966.0</v>
      </c>
      <c r="H211" s="27">
        <v>398.0</v>
      </c>
      <c r="I211" s="27">
        <v>3341.0</v>
      </c>
      <c r="J211" s="27">
        <v>2753.0</v>
      </c>
      <c r="K211" s="27">
        <v>287.0</v>
      </c>
      <c r="L211" s="28" t="s">
        <v>16</v>
      </c>
      <c r="M211" s="10"/>
      <c r="N211" s="10"/>
      <c r="O211" s="28" t="str">
        <f t="shared" si="1"/>
        <v>#LiveForNow</v>
      </c>
      <c r="P211" s="27">
        <f t="shared" si="2"/>
        <v>655</v>
      </c>
    </row>
    <row r="212">
      <c r="A212" s="10" t="s">
        <v>262</v>
      </c>
      <c r="B212" s="10" t="s">
        <v>13</v>
      </c>
      <c r="C212" s="26">
        <v>45491.0</v>
      </c>
      <c r="D212" s="10" t="s">
        <v>34</v>
      </c>
      <c r="E212" s="10" t="s">
        <v>37</v>
      </c>
      <c r="F212" s="27">
        <v>2120.0</v>
      </c>
      <c r="G212" s="27">
        <v>38.0</v>
      </c>
      <c r="H212" s="27">
        <v>212.0</v>
      </c>
      <c r="I212" s="27">
        <v>12720.0</v>
      </c>
      <c r="J212" s="27">
        <v>12564.0</v>
      </c>
      <c r="K212" s="27">
        <v>21.0</v>
      </c>
      <c r="L212" s="28" t="s">
        <v>16</v>
      </c>
      <c r="M212" s="10"/>
      <c r="N212" s="10"/>
      <c r="O212" s="28" t="str">
        <f t="shared" si="1"/>
        <v>#LiveForNow</v>
      </c>
      <c r="P212" s="27">
        <f t="shared" si="2"/>
        <v>2332</v>
      </c>
    </row>
    <row r="213">
      <c r="A213" s="10" t="s">
        <v>263</v>
      </c>
      <c r="B213" s="10" t="s">
        <v>24</v>
      </c>
      <c r="C213" s="26">
        <v>45719.0</v>
      </c>
      <c r="D213" s="10" t="s">
        <v>53</v>
      </c>
      <c r="E213" s="10" t="s">
        <v>133</v>
      </c>
      <c r="F213" s="27">
        <v>3874.0</v>
      </c>
      <c r="G213" s="27">
        <v>884.0</v>
      </c>
      <c r="H213" s="27">
        <v>19.0</v>
      </c>
      <c r="I213" s="27">
        <v>38740.0</v>
      </c>
      <c r="J213" s="27">
        <v>38552.0</v>
      </c>
      <c r="K213" s="27">
        <v>219.0</v>
      </c>
      <c r="L213" s="28" t="s">
        <v>21</v>
      </c>
      <c r="M213" s="10"/>
      <c r="N213" s="10"/>
      <c r="O213" s="28" t="str">
        <f t="shared" si="1"/>
        <v>#PepsiCoRefresh</v>
      </c>
      <c r="P213" s="27">
        <f t="shared" si="2"/>
        <v>3893</v>
      </c>
    </row>
    <row r="214">
      <c r="A214" s="10" t="s">
        <v>264</v>
      </c>
      <c r="B214" s="10" t="s">
        <v>33</v>
      </c>
      <c r="C214" s="26">
        <v>45778.0</v>
      </c>
      <c r="D214" s="10" t="s">
        <v>34</v>
      </c>
      <c r="E214" s="10" t="s">
        <v>35</v>
      </c>
      <c r="F214" s="27">
        <v>2696.0</v>
      </c>
      <c r="G214" s="27">
        <v>628.0</v>
      </c>
      <c r="H214" s="27">
        <v>443.0</v>
      </c>
      <c r="I214" s="27">
        <v>45832.0</v>
      </c>
      <c r="J214" s="27">
        <v>45632.0</v>
      </c>
      <c r="K214" s="27">
        <v>248.0</v>
      </c>
      <c r="L214" s="28" t="s">
        <v>30</v>
      </c>
      <c r="M214" s="10"/>
      <c r="N214" s="10"/>
      <c r="O214" s="28" t="str">
        <f t="shared" si="1"/>
        <v>#ThirstyForMore</v>
      </c>
      <c r="P214" s="27">
        <f t="shared" si="2"/>
        <v>3139</v>
      </c>
    </row>
    <row r="215">
      <c r="A215" s="10" t="s">
        <v>265</v>
      </c>
      <c r="B215" s="10" t="s">
        <v>27</v>
      </c>
      <c r="C215" s="26">
        <v>45649.0</v>
      </c>
      <c r="D215" s="10" t="s">
        <v>39</v>
      </c>
      <c r="E215" s="10" t="s">
        <v>131</v>
      </c>
      <c r="F215" s="27">
        <v>521.0</v>
      </c>
      <c r="G215" s="27">
        <v>746.0</v>
      </c>
      <c r="H215" s="27">
        <v>315.0</v>
      </c>
      <c r="I215" s="27">
        <v>4168.0</v>
      </c>
      <c r="J215" s="27">
        <v>3399.0</v>
      </c>
      <c r="K215" s="27">
        <v>282.0</v>
      </c>
      <c r="L215" s="28" t="s">
        <v>16</v>
      </c>
      <c r="M215" s="10"/>
      <c r="N215" s="10"/>
      <c r="O215" s="28" t="str">
        <f t="shared" si="1"/>
        <v>#LiveForNow</v>
      </c>
      <c r="P215" s="27">
        <f t="shared" si="2"/>
        <v>836</v>
      </c>
    </row>
    <row r="216">
      <c r="A216" s="10" t="s">
        <v>266</v>
      </c>
      <c r="B216" s="10" t="s">
        <v>33</v>
      </c>
      <c r="C216" s="26">
        <v>45783.0</v>
      </c>
      <c r="D216" s="10" t="s">
        <v>39</v>
      </c>
      <c r="E216" s="10" t="s">
        <v>44</v>
      </c>
      <c r="F216" s="27">
        <v>4872.0</v>
      </c>
      <c r="G216" s="27">
        <v>925.0</v>
      </c>
      <c r="H216" s="27">
        <v>176.0</v>
      </c>
      <c r="I216" s="27">
        <v>82824.0</v>
      </c>
      <c r="J216" s="27">
        <v>82543.0</v>
      </c>
      <c r="K216" s="27">
        <v>89.0</v>
      </c>
      <c r="L216" s="28" t="s">
        <v>30</v>
      </c>
      <c r="M216" s="10"/>
      <c r="N216" s="10"/>
      <c r="O216" s="28" t="str">
        <f t="shared" si="1"/>
        <v>#ThirstyForMore</v>
      </c>
      <c r="P216" s="27">
        <f t="shared" si="2"/>
        <v>5048</v>
      </c>
    </row>
    <row r="217">
      <c r="A217" s="10" t="s">
        <v>267</v>
      </c>
      <c r="B217" s="10" t="s">
        <v>24</v>
      </c>
      <c r="C217" s="26">
        <v>45502.0</v>
      </c>
      <c r="D217" s="10" t="s">
        <v>28</v>
      </c>
      <c r="E217" s="10" t="s">
        <v>98</v>
      </c>
      <c r="F217" s="27">
        <v>1509.0</v>
      </c>
      <c r="G217" s="27">
        <v>88.0</v>
      </c>
      <c r="H217" s="27">
        <v>163.0</v>
      </c>
      <c r="I217" s="27">
        <v>30180.0</v>
      </c>
      <c r="J217" s="27">
        <v>29689.0</v>
      </c>
      <c r="K217" s="27">
        <v>119.0</v>
      </c>
      <c r="L217" s="28" t="s">
        <v>30</v>
      </c>
      <c r="M217" s="10"/>
      <c r="N217" s="10"/>
      <c r="O217" s="28" t="str">
        <f t="shared" si="1"/>
        <v>#ThirstyForMore</v>
      </c>
      <c r="P217" s="27">
        <f t="shared" si="2"/>
        <v>1672</v>
      </c>
    </row>
    <row r="218">
      <c r="A218" s="10" t="s">
        <v>268</v>
      </c>
      <c r="B218" s="10" t="s">
        <v>33</v>
      </c>
      <c r="C218" s="26">
        <v>45629.0</v>
      </c>
      <c r="D218" s="10" t="s">
        <v>39</v>
      </c>
      <c r="E218" s="10" t="s">
        <v>44</v>
      </c>
      <c r="F218" s="27">
        <v>4606.0</v>
      </c>
      <c r="G218" s="27">
        <v>931.0</v>
      </c>
      <c r="H218" s="27">
        <v>230.0</v>
      </c>
      <c r="I218" s="27">
        <v>92120.0</v>
      </c>
      <c r="J218" s="27">
        <v>91440.0</v>
      </c>
      <c r="K218" s="27">
        <v>56.0</v>
      </c>
      <c r="L218" s="28" t="s">
        <v>21</v>
      </c>
      <c r="M218" s="10"/>
      <c r="N218" s="10"/>
      <c r="O218" s="28" t="str">
        <f t="shared" si="1"/>
        <v>#PepsiCoRefresh</v>
      </c>
      <c r="P218" s="27">
        <f t="shared" si="2"/>
        <v>4836</v>
      </c>
    </row>
    <row r="219">
      <c r="A219" s="10" t="s">
        <v>269</v>
      </c>
      <c r="B219" s="10" t="s">
        <v>33</v>
      </c>
      <c r="C219" s="26">
        <v>45454.0</v>
      </c>
      <c r="D219" s="10" t="s">
        <v>34</v>
      </c>
      <c r="E219" s="10" t="s">
        <v>35</v>
      </c>
      <c r="F219" s="27">
        <v>1869.0</v>
      </c>
      <c r="G219" s="27">
        <v>453.0</v>
      </c>
      <c r="H219" s="27">
        <v>490.0</v>
      </c>
      <c r="I219" s="27">
        <v>14952.0</v>
      </c>
      <c r="J219" s="27">
        <v>14309.0</v>
      </c>
      <c r="K219" s="27">
        <v>275.0</v>
      </c>
      <c r="L219" s="28" t="s">
        <v>21</v>
      </c>
      <c r="M219" s="10"/>
      <c r="N219" s="10"/>
      <c r="O219" s="28" t="str">
        <f t="shared" si="1"/>
        <v>#PepsiCoRefresh</v>
      </c>
      <c r="P219" s="27">
        <f t="shared" si="2"/>
        <v>2359</v>
      </c>
    </row>
    <row r="220">
      <c r="A220" s="10" t="s">
        <v>270</v>
      </c>
      <c r="B220" s="10" t="s">
        <v>13</v>
      </c>
      <c r="C220" s="26">
        <v>45685.0</v>
      </c>
      <c r="D220" s="10" t="s">
        <v>14</v>
      </c>
      <c r="E220" s="10" t="s">
        <v>15</v>
      </c>
      <c r="F220" s="27">
        <v>1188.0</v>
      </c>
      <c r="G220" s="27">
        <v>470.0</v>
      </c>
      <c r="H220" s="27">
        <v>174.0</v>
      </c>
      <c r="I220" s="27">
        <v>7128.0</v>
      </c>
      <c r="J220" s="27">
        <v>6145.0</v>
      </c>
      <c r="K220" s="27">
        <v>270.0</v>
      </c>
      <c r="L220" s="28" t="s">
        <v>21</v>
      </c>
      <c r="M220" s="10"/>
      <c r="N220" s="10"/>
      <c r="O220" s="28" t="str">
        <f t="shared" si="1"/>
        <v>#PepsiCoRefresh</v>
      </c>
      <c r="P220" s="27">
        <f t="shared" si="2"/>
        <v>1362</v>
      </c>
    </row>
    <row r="221">
      <c r="A221" s="10" t="s">
        <v>271</v>
      </c>
      <c r="B221" s="10" t="s">
        <v>27</v>
      </c>
      <c r="C221" s="26">
        <v>45445.0</v>
      </c>
      <c r="D221" s="10" t="s">
        <v>28</v>
      </c>
      <c r="E221" s="10" t="s">
        <v>29</v>
      </c>
      <c r="F221" s="27">
        <v>84.0</v>
      </c>
      <c r="G221" s="27">
        <v>897.0</v>
      </c>
      <c r="H221" s="27">
        <v>85.0</v>
      </c>
      <c r="I221" s="27">
        <v>588.0</v>
      </c>
      <c r="J221" s="27">
        <v>8.0</v>
      </c>
      <c r="K221" s="27">
        <v>12.0</v>
      </c>
      <c r="L221" s="28" t="s">
        <v>30</v>
      </c>
      <c r="M221" s="10"/>
      <c r="N221" s="10"/>
      <c r="O221" s="28" t="str">
        <f t="shared" si="1"/>
        <v>#ThirstyForMore</v>
      </c>
      <c r="P221" s="27">
        <f t="shared" si="2"/>
        <v>169</v>
      </c>
    </row>
    <row r="222">
      <c r="A222" s="10" t="s">
        <v>272</v>
      </c>
      <c r="B222" s="10" t="s">
        <v>33</v>
      </c>
      <c r="C222" s="26">
        <v>45739.0</v>
      </c>
      <c r="D222" s="10" t="s">
        <v>53</v>
      </c>
      <c r="E222" s="10" t="s">
        <v>54</v>
      </c>
      <c r="F222" s="27">
        <v>4453.0</v>
      </c>
      <c r="G222" s="27">
        <v>111.0</v>
      </c>
      <c r="H222" s="27">
        <v>420.0</v>
      </c>
      <c r="I222" s="27">
        <v>31171.0</v>
      </c>
      <c r="J222" s="27">
        <v>30565.0</v>
      </c>
      <c r="K222" s="27">
        <v>23.0</v>
      </c>
      <c r="L222" s="28" t="s">
        <v>21</v>
      </c>
      <c r="M222" s="10"/>
      <c r="N222" s="10"/>
      <c r="O222" s="28" t="str">
        <f t="shared" si="1"/>
        <v>#PepsiCoRefresh</v>
      </c>
      <c r="P222" s="27">
        <f t="shared" si="2"/>
        <v>4873</v>
      </c>
    </row>
    <row r="223">
      <c r="A223" s="10" t="s">
        <v>273</v>
      </c>
      <c r="B223" s="10" t="s">
        <v>33</v>
      </c>
      <c r="C223" s="26">
        <v>45573.0</v>
      </c>
      <c r="D223" s="10" t="s">
        <v>14</v>
      </c>
      <c r="E223" s="10" t="s">
        <v>47</v>
      </c>
      <c r="F223" s="27">
        <v>1814.0</v>
      </c>
      <c r="G223" s="27">
        <v>653.0</v>
      </c>
      <c r="H223" s="27">
        <v>363.0</v>
      </c>
      <c r="I223" s="27">
        <v>25396.0</v>
      </c>
      <c r="J223" s="27">
        <v>25286.0</v>
      </c>
      <c r="K223" s="27">
        <v>39.0</v>
      </c>
      <c r="L223" s="28" t="s">
        <v>16</v>
      </c>
      <c r="M223" s="28" t="s">
        <v>191</v>
      </c>
      <c r="N223" s="10"/>
      <c r="O223" s="28" t="str">
        <f t="shared" si="1"/>
        <v>#LiveForNow#SmoothLikeNitroPepsi</v>
      </c>
      <c r="P223" s="27">
        <f t="shared" si="2"/>
        <v>2177</v>
      </c>
    </row>
    <row r="224">
      <c r="A224" s="10" t="s">
        <v>274</v>
      </c>
      <c r="B224" s="10" t="s">
        <v>13</v>
      </c>
      <c r="C224" s="26">
        <v>45608.0</v>
      </c>
      <c r="D224" s="10" t="s">
        <v>39</v>
      </c>
      <c r="E224" s="10" t="s">
        <v>85</v>
      </c>
      <c r="F224" s="27">
        <v>3338.0</v>
      </c>
      <c r="G224" s="27">
        <v>277.0</v>
      </c>
      <c r="H224" s="27">
        <v>118.0</v>
      </c>
      <c r="I224" s="27">
        <v>60084.0</v>
      </c>
      <c r="J224" s="27">
        <v>59842.0</v>
      </c>
      <c r="K224" s="27">
        <v>252.0</v>
      </c>
      <c r="L224" s="28" t="s">
        <v>21</v>
      </c>
      <c r="M224" s="10"/>
      <c r="N224" s="10"/>
      <c r="O224" s="28" t="str">
        <f t="shared" si="1"/>
        <v>#PepsiCoRefresh</v>
      </c>
      <c r="P224" s="27">
        <f t="shared" si="2"/>
        <v>3456</v>
      </c>
    </row>
    <row r="225">
      <c r="A225" s="10" t="s">
        <v>275</v>
      </c>
      <c r="B225" s="10" t="s">
        <v>33</v>
      </c>
      <c r="C225" s="26">
        <v>45790.0</v>
      </c>
      <c r="D225" s="10" t="s">
        <v>39</v>
      </c>
      <c r="E225" s="10" t="s">
        <v>44</v>
      </c>
      <c r="F225" s="27">
        <v>602.0</v>
      </c>
      <c r="G225" s="27">
        <v>594.0</v>
      </c>
      <c r="H225" s="27">
        <v>156.0</v>
      </c>
      <c r="I225" s="27">
        <v>4214.0</v>
      </c>
      <c r="J225" s="27">
        <v>3363.0</v>
      </c>
      <c r="K225" s="27">
        <v>164.0</v>
      </c>
      <c r="L225" s="28" t="s">
        <v>21</v>
      </c>
      <c r="M225" s="10"/>
      <c r="N225" s="10"/>
      <c r="O225" s="28" t="str">
        <f t="shared" si="1"/>
        <v>#PepsiCoRefresh</v>
      </c>
      <c r="P225" s="27">
        <f t="shared" si="2"/>
        <v>758</v>
      </c>
    </row>
    <row r="226">
      <c r="A226" s="10" t="s">
        <v>276</v>
      </c>
      <c r="B226" s="10" t="s">
        <v>13</v>
      </c>
      <c r="C226" s="26">
        <v>45463.0</v>
      </c>
      <c r="D226" s="10" t="s">
        <v>34</v>
      </c>
      <c r="E226" s="10" t="s">
        <v>37</v>
      </c>
      <c r="F226" s="27">
        <v>4672.0</v>
      </c>
      <c r="G226" s="27">
        <v>325.0</v>
      </c>
      <c r="H226" s="27">
        <v>32.0</v>
      </c>
      <c r="I226" s="27">
        <v>88768.0</v>
      </c>
      <c r="J226" s="27">
        <v>87833.0</v>
      </c>
      <c r="K226" s="27">
        <v>118.0</v>
      </c>
      <c r="L226" s="28" t="s">
        <v>30</v>
      </c>
      <c r="M226" s="10"/>
      <c r="N226" s="10"/>
      <c r="O226" s="28" t="str">
        <f t="shared" si="1"/>
        <v>#ThirstyForMore</v>
      </c>
      <c r="P226" s="27">
        <f t="shared" si="2"/>
        <v>4704</v>
      </c>
    </row>
    <row r="227">
      <c r="A227" s="10" t="s">
        <v>277</v>
      </c>
      <c r="B227" s="10" t="s">
        <v>27</v>
      </c>
      <c r="C227" s="26">
        <v>45511.0</v>
      </c>
      <c r="D227" s="10" t="s">
        <v>34</v>
      </c>
      <c r="E227" s="10" t="s">
        <v>62</v>
      </c>
      <c r="F227" s="27">
        <v>1741.0</v>
      </c>
      <c r="G227" s="27">
        <v>164.0</v>
      </c>
      <c r="H227" s="27">
        <v>318.0</v>
      </c>
      <c r="I227" s="27">
        <v>8705.0</v>
      </c>
      <c r="J227" s="27">
        <v>8272.0</v>
      </c>
      <c r="K227" s="27">
        <v>121.0</v>
      </c>
      <c r="L227" s="28" t="s">
        <v>21</v>
      </c>
      <c r="M227" s="10"/>
      <c r="N227" s="10"/>
      <c r="O227" s="28" t="str">
        <f t="shared" si="1"/>
        <v>#PepsiCoRefresh</v>
      </c>
      <c r="P227" s="27">
        <f t="shared" si="2"/>
        <v>2059</v>
      </c>
    </row>
    <row r="228">
      <c r="A228" s="10" t="s">
        <v>278</v>
      </c>
      <c r="B228" s="10" t="s">
        <v>27</v>
      </c>
      <c r="C228" s="26">
        <v>45455.0</v>
      </c>
      <c r="D228" s="10" t="s">
        <v>19</v>
      </c>
      <c r="E228" s="10" t="s">
        <v>75</v>
      </c>
      <c r="F228" s="27">
        <v>246.0</v>
      </c>
      <c r="G228" s="27">
        <v>149.0</v>
      </c>
      <c r="H228" s="27">
        <v>130.0</v>
      </c>
      <c r="I228" s="27">
        <v>4674.0</v>
      </c>
      <c r="J228" s="27">
        <v>4390.0</v>
      </c>
      <c r="K228" s="27">
        <v>217.0</v>
      </c>
      <c r="L228" s="28" t="s">
        <v>16</v>
      </c>
      <c r="M228" s="10"/>
      <c r="N228" s="10"/>
      <c r="O228" s="28" t="str">
        <f t="shared" si="1"/>
        <v>#LiveForNow</v>
      </c>
      <c r="P228" s="27">
        <f t="shared" si="2"/>
        <v>376</v>
      </c>
    </row>
    <row r="229">
      <c r="A229" s="10" t="s">
        <v>279</v>
      </c>
      <c r="B229" s="10" t="s">
        <v>27</v>
      </c>
      <c r="C229" s="26">
        <v>45474.0</v>
      </c>
      <c r="D229" s="10" t="s">
        <v>28</v>
      </c>
      <c r="E229" s="10" t="s">
        <v>29</v>
      </c>
      <c r="F229" s="27">
        <v>4808.0</v>
      </c>
      <c r="G229" s="27">
        <v>772.0</v>
      </c>
      <c r="H229" s="27">
        <v>320.0</v>
      </c>
      <c r="I229" s="27">
        <v>72120.0</v>
      </c>
      <c r="J229" s="27">
        <v>71696.0</v>
      </c>
      <c r="K229" s="27">
        <v>195.0</v>
      </c>
      <c r="L229" s="28" t="s">
        <v>30</v>
      </c>
      <c r="M229" s="10"/>
      <c r="N229" s="10"/>
      <c r="O229" s="28" t="str">
        <f t="shared" si="1"/>
        <v>#ThirstyForMore</v>
      </c>
      <c r="P229" s="27">
        <f t="shared" si="2"/>
        <v>5128</v>
      </c>
    </row>
    <row r="230">
      <c r="A230" s="10" t="s">
        <v>280</v>
      </c>
      <c r="B230" s="10" t="s">
        <v>27</v>
      </c>
      <c r="C230" s="26">
        <v>45476.0</v>
      </c>
      <c r="D230" s="10" t="s">
        <v>34</v>
      </c>
      <c r="E230" s="10" t="s">
        <v>62</v>
      </c>
      <c r="F230" s="27">
        <v>4799.0</v>
      </c>
      <c r="G230" s="27">
        <v>694.0</v>
      </c>
      <c r="H230" s="27">
        <v>289.0</v>
      </c>
      <c r="I230" s="27">
        <v>43191.0</v>
      </c>
      <c r="J230" s="27">
        <v>42228.0</v>
      </c>
      <c r="K230" s="27">
        <v>118.0</v>
      </c>
      <c r="L230" s="28" t="s">
        <v>21</v>
      </c>
      <c r="M230" s="10"/>
      <c r="N230" s="10"/>
      <c r="O230" s="28" t="str">
        <f t="shared" si="1"/>
        <v>#PepsiCoRefresh</v>
      </c>
      <c r="P230" s="27">
        <f t="shared" si="2"/>
        <v>5088</v>
      </c>
    </row>
    <row r="231">
      <c r="A231" s="10" t="s">
        <v>281</v>
      </c>
      <c r="B231" s="10" t="s">
        <v>33</v>
      </c>
      <c r="C231" s="26">
        <v>45488.0</v>
      </c>
      <c r="D231" s="10" t="s">
        <v>14</v>
      </c>
      <c r="E231" s="10" t="s">
        <v>47</v>
      </c>
      <c r="F231" s="27">
        <v>3663.0</v>
      </c>
      <c r="G231" s="27">
        <v>17.0</v>
      </c>
      <c r="H231" s="27">
        <v>295.0</v>
      </c>
      <c r="I231" s="27">
        <v>51282.0</v>
      </c>
      <c r="J231" s="27">
        <v>50567.0</v>
      </c>
      <c r="K231" s="27">
        <v>84.0</v>
      </c>
      <c r="L231" s="28" t="s">
        <v>30</v>
      </c>
      <c r="M231" s="10"/>
      <c r="N231" s="10"/>
      <c r="O231" s="28" t="str">
        <f t="shared" si="1"/>
        <v>#ThirstyForMore</v>
      </c>
      <c r="P231" s="27">
        <f t="shared" si="2"/>
        <v>3958</v>
      </c>
    </row>
    <row r="232">
      <c r="A232" s="10" t="s">
        <v>282</v>
      </c>
      <c r="B232" s="10" t="s">
        <v>27</v>
      </c>
      <c r="C232" s="26">
        <v>45778.0</v>
      </c>
      <c r="D232" s="10" t="s">
        <v>19</v>
      </c>
      <c r="E232" s="10" t="s">
        <v>75</v>
      </c>
      <c r="F232" s="27">
        <v>1430.0</v>
      </c>
      <c r="G232" s="27">
        <v>376.0</v>
      </c>
      <c r="H232" s="27">
        <v>33.0</v>
      </c>
      <c r="I232" s="27">
        <v>21450.0</v>
      </c>
      <c r="J232" s="27">
        <v>20509.0</v>
      </c>
      <c r="K232" s="27">
        <v>251.0</v>
      </c>
      <c r="L232" s="28" t="s">
        <v>16</v>
      </c>
      <c r="M232" s="10"/>
      <c r="N232" s="10"/>
      <c r="O232" s="28" t="str">
        <f t="shared" si="1"/>
        <v>#LiveForNow</v>
      </c>
      <c r="P232" s="27">
        <f t="shared" si="2"/>
        <v>1463</v>
      </c>
    </row>
    <row r="233">
      <c r="A233" s="10" t="s">
        <v>283</v>
      </c>
      <c r="B233" s="10" t="s">
        <v>13</v>
      </c>
      <c r="C233" s="26">
        <v>45776.0</v>
      </c>
      <c r="D233" s="10" t="s">
        <v>28</v>
      </c>
      <c r="E233" s="10" t="s">
        <v>95</v>
      </c>
      <c r="F233" s="27">
        <v>249.0</v>
      </c>
      <c r="G233" s="27">
        <v>592.0</v>
      </c>
      <c r="H233" s="27">
        <v>230.0</v>
      </c>
      <c r="I233" s="27">
        <v>1494.0</v>
      </c>
      <c r="J233" s="27">
        <v>1044.0</v>
      </c>
      <c r="K233" s="27">
        <v>201.0</v>
      </c>
      <c r="L233" s="28" t="s">
        <v>30</v>
      </c>
      <c r="M233" s="10"/>
      <c r="N233" s="10"/>
      <c r="O233" s="28" t="str">
        <f t="shared" si="1"/>
        <v>#ThirstyForMore</v>
      </c>
      <c r="P233" s="27">
        <f t="shared" si="2"/>
        <v>479</v>
      </c>
    </row>
    <row r="234">
      <c r="A234" s="10" t="s">
        <v>284</v>
      </c>
      <c r="B234" s="10" t="s">
        <v>33</v>
      </c>
      <c r="C234" s="26">
        <v>45724.0</v>
      </c>
      <c r="D234" s="10" t="s">
        <v>39</v>
      </c>
      <c r="E234" s="10" t="s">
        <v>44</v>
      </c>
      <c r="F234" s="27">
        <v>2382.0</v>
      </c>
      <c r="G234" s="27">
        <v>265.0</v>
      </c>
      <c r="H234" s="27">
        <v>134.0</v>
      </c>
      <c r="I234" s="27">
        <v>38112.0</v>
      </c>
      <c r="J234" s="27">
        <v>37437.0</v>
      </c>
      <c r="K234" s="27">
        <v>249.0</v>
      </c>
      <c r="L234" s="28" t="s">
        <v>16</v>
      </c>
      <c r="M234" s="10"/>
      <c r="N234" s="10"/>
      <c r="O234" s="28" t="str">
        <f t="shared" si="1"/>
        <v>#LiveForNow</v>
      </c>
      <c r="P234" s="27">
        <f t="shared" si="2"/>
        <v>2516</v>
      </c>
    </row>
    <row r="235">
      <c r="A235" s="10" t="s">
        <v>285</v>
      </c>
      <c r="B235" s="10" t="s">
        <v>33</v>
      </c>
      <c r="C235" s="26">
        <v>45444.0</v>
      </c>
      <c r="D235" s="10" t="s">
        <v>19</v>
      </c>
      <c r="E235" s="10" t="s">
        <v>42</v>
      </c>
      <c r="F235" s="27">
        <v>1272.0</v>
      </c>
      <c r="G235" s="27">
        <v>465.0</v>
      </c>
      <c r="H235" s="27">
        <v>99.0</v>
      </c>
      <c r="I235" s="27">
        <v>24168.0</v>
      </c>
      <c r="J235" s="27">
        <v>23719.0</v>
      </c>
      <c r="K235" s="27">
        <v>42.0</v>
      </c>
      <c r="L235" s="28" t="s">
        <v>21</v>
      </c>
      <c r="M235" s="10"/>
      <c r="N235" s="10"/>
      <c r="O235" s="28" t="str">
        <f t="shared" si="1"/>
        <v>#PepsiCoRefresh</v>
      </c>
      <c r="P235" s="27">
        <f t="shared" si="2"/>
        <v>1371</v>
      </c>
    </row>
    <row r="236">
      <c r="A236" s="10" t="s">
        <v>286</v>
      </c>
      <c r="B236" s="10" t="s">
        <v>33</v>
      </c>
      <c r="C236" s="26">
        <v>45648.0</v>
      </c>
      <c r="D236" s="10" t="s">
        <v>39</v>
      </c>
      <c r="E236" s="10" t="s">
        <v>44</v>
      </c>
      <c r="F236" s="27">
        <v>3196.0</v>
      </c>
      <c r="G236" s="27">
        <v>941.0</v>
      </c>
      <c r="H236" s="27">
        <v>376.0</v>
      </c>
      <c r="I236" s="27">
        <v>35156.0</v>
      </c>
      <c r="J236" s="27">
        <v>34444.0</v>
      </c>
      <c r="K236" s="27">
        <v>241.0</v>
      </c>
      <c r="L236" s="28" t="s">
        <v>21</v>
      </c>
      <c r="M236" s="10"/>
      <c r="N236" s="10"/>
      <c r="O236" s="28" t="str">
        <f t="shared" si="1"/>
        <v>#PepsiCoRefresh</v>
      </c>
      <c r="P236" s="27">
        <f t="shared" si="2"/>
        <v>3572</v>
      </c>
    </row>
    <row r="237">
      <c r="A237" s="10" t="s">
        <v>287</v>
      </c>
      <c r="B237" s="10" t="s">
        <v>33</v>
      </c>
      <c r="C237" s="26">
        <v>45523.0</v>
      </c>
      <c r="D237" s="10" t="s">
        <v>19</v>
      </c>
      <c r="E237" s="10" t="s">
        <v>42</v>
      </c>
      <c r="F237" s="27">
        <v>1257.0</v>
      </c>
      <c r="G237" s="27">
        <v>19.0</v>
      </c>
      <c r="H237" s="27">
        <v>351.0</v>
      </c>
      <c r="I237" s="27">
        <v>12570.0</v>
      </c>
      <c r="J237" s="27">
        <v>11660.0</v>
      </c>
      <c r="K237" s="27">
        <v>194.0</v>
      </c>
      <c r="L237" s="28" t="s">
        <v>16</v>
      </c>
      <c r="M237" s="28" t="s">
        <v>17</v>
      </c>
      <c r="N237" s="28" t="s">
        <v>30</v>
      </c>
      <c r="O237" s="28" t="str">
        <f t="shared" si="1"/>
        <v>#LiveForNow#AnytimeIsPepsiTime#ThirstyForMore</v>
      </c>
      <c r="P237" s="27">
        <f t="shared" si="2"/>
        <v>1608</v>
      </c>
    </row>
    <row r="238">
      <c r="A238" s="10" t="s">
        <v>288</v>
      </c>
      <c r="B238" s="10" t="s">
        <v>27</v>
      </c>
      <c r="C238" s="26">
        <v>45587.0</v>
      </c>
      <c r="D238" s="10" t="s">
        <v>28</v>
      </c>
      <c r="E238" s="10" t="s">
        <v>29</v>
      </c>
      <c r="F238" s="27">
        <v>3770.0</v>
      </c>
      <c r="G238" s="27">
        <v>917.0</v>
      </c>
      <c r="H238" s="27">
        <v>129.0</v>
      </c>
      <c r="I238" s="27">
        <v>71630.0</v>
      </c>
      <c r="J238" s="27">
        <v>71322.0</v>
      </c>
      <c r="K238" s="27">
        <v>76.0</v>
      </c>
      <c r="L238" s="28" t="s">
        <v>16</v>
      </c>
      <c r="M238" s="10"/>
      <c r="N238" s="10"/>
      <c r="O238" s="28" t="str">
        <f t="shared" si="1"/>
        <v>#LiveForNow</v>
      </c>
      <c r="P238" s="27">
        <f t="shared" si="2"/>
        <v>3899</v>
      </c>
    </row>
    <row r="239">
      <c r="A239" s="10" t="s">
        <v>289</v>
      </c>
      <c r="B239" s="10" t="s">
        <v>13</v>
      </c>
      <c r="C239" s="26">
        <v>45489.0</v>
      </c>
      <c r="D239" s="10" t="s">
        <v>19</v>
      </c>
      <c r="E239" s="10" t="s">
        <v>20</v>
      </c>
      <c r="F239" s="27">
        <v>4725.0</v>
      </c>
      <c r="G239" s="27">
        <v>400.0</v>
      </c>
      <c r="H239" s="27">
        <v>362.0</v>
      </c>
      <c r="I239" s="27">
        <v>75600.0</v>
      </c>
      <c r="J239" s="27">
        <v>74927.0</v>
      </c>
      <c r="K239" s="27">
        <v>43.0</v>
      </c>
      <c r="L239" s="28" t="s">
        <v>16</v>
      </c>
      <c r="M239" s="10"/>
      <c r="N239" s="10"/>
      <c r="O239" s="28" t="str">
        <f t="shared" si="1"/>
        <v>#LiveForNow</v>
      </c>
      <c r="P239" s="27">
        <f t="shared" si="2"/>
        <v>5087</v>
      </c>
    </row>
    <row r="240">
      <c r="A240" s="10" t="s">
        <v>290</v>
      </c>
      <c r="B240" s="10" t="s">
        <v>24</v>
      </c>
      <c r="C240" s="26">
        <v>45712.0</v>
      </c>
      <c r="D240" s="10" t="s">
        <v>19</v>
      </c>
      <c r="E240" s="10" t="s">
        <v>70</v>
      </c>
      <c r="F240" s="27">
        <v>4188.0</v>
      </c>
      <c r="G240" s="27">
        <v>942.0</v>
      </c>
      <c r="H240" s="27">
        <v>118.0</v>
      </c>
      <c r="I240" s="27">
        <v>20940.0</v>
      </c>
      <c r="J240" s="27">
        <v>20471.0</v>
      </c>
      <c r="K240" s="27">
        <v>102.0</v>
      </c>
      <c r="L240" s="28" t="s">
        <v>16</v>
      </c>
      <c r="M240" s="10"/>
      <c r="N240" s="10"/>
      <c r="O240" s="28" t="str">
        <f t="shared" si="1"/>
        <v>#LiveForNow</v>
      </c>
      <c r="P240" s="27">
        <f t="shared" si="2"/>
        <v>4306</v>
      </c>
    </row>
    <row r="241">
      <c r="A241" s="10" t="s">
        <v>291</v>
      </c>
      <c r="B241" s="10" t="s">
        <v>13</v>
      </c>
      <c r="C241" s="26">
        <v>45530.0</v>
      </c>
      <c r="D241" s="10" t="s">
        <v>34</v>
      </c>
      <c r="E241" s="10" t="s">
        <v>37</v>
      </c>
      <c r="F241" s="27">
        <v>929.0</v>
      </c>
      <c r="G241" s="27">
        <v>192.0</v>
      </c>
      <c r="H241" s="27">
        <v>322.0</v>
      </c>
      <c r="I241" s="27">
        <v>16722.0</v>
      </c>
      <c r="J241" s="27">
        <v>15996.0</v>
      </c>
      <c r="K241" s="27">
        <v>145.0</v>
      </c>
      <c r="L241" s="28" t="s">
        <v>30</v>
      </c>
      <c r="M241" s="28" t="s">
        <v>21</v>
      </c>
      <c r="N241" s="28" t="s">
        <v>17</v>
      </c>
      <c r="O241" s="28" t="str">
        <f t="shared" si="1"/>
        <v>#ThirstyForMore#PepsiCoRefresh#AnytimeIsPepsiTime</v>
      </c>
      <c r="P241" s="27">
        <f t="shared" si="2"/>
        <v>1251</v>
      </c>
    </row>
    <row r="242">
      <c r="A242" s="10" t="s">
        <v>292</v>
      </c>
      <c r="B242" s="10" t="s">
        <v>33</v>
      </c>
      <c r="C242" s="26">
        <v>45675.0</v>
      </c>
      <c r="D242" s="10" t="s">
        <v>28</v>
      </c>
      <c r="E242" s="10" t="s">
        <v>51</v>
      </c>
      <c r="F242" s="27">
        <v>4321.0</v>
      </c>
      <c r="G242" s="27">
        <v>874.0</v>
      </c>
      <c r="H242" s="27">
        <v>172.0</v>
      </c>
      <c r="I242" s="27">
        <v>30247.0</v>
      </c>
      <c r="J242" s="27">
        <v>29254.0</v>
      </c>
      <c r="K242" s="27">
        <v>122.0</v>
      </c>
      <c r="L242" s="28" t="s">
        <v>21</v>
      </c>
      <c r="M242" s="10"/>
      <c r="N242" s="10"/>
      <c r="O242" s="28" t="str">
        <f t="shared" si="1"/>
        <v>#PepsiCoRefresh</v>
      </c>
      <c r="P242" s="27">
        <f t="shared" si="2"/>
        <v>4493</v>
      </c>
    </row>
    <row r="243">
      <c r="A243" s="10" t="s">
        <v>293</v>
      </c>
      <c r="B243" s="10" t="s">
        <v>33</v>
      </c>
      <c r="C243" s="26">
        <v>45480.0</v>
      </c>
      <c r="D243" s="10" t="s">
        <v>14</v>
      </c>
      <c r="E243" s="10" t="s">
        <v>47</v>
      </c>
      <c r="F243" s="27">
        <v>4767.0</v>
      </c>
      <c r="G243" s="27">
        <v>190.0</v>
      </c>
      <c r="H243" s="27">
        <v>340.0</v>
      </c>
      <c r="I243" s="27">
        <v>28602.0</v>
      </c>
      <c r="J243" s="27">
        <v>28044.0</v>
      </c>
      <c r="K243" s="27">
        <v>210.0</v>
      </c>
      <c r="L243" s="28" t="s">
        <v>30</v>
      </c>
      <c r="M243" s="10"/>
      <c r="N243" s="10"/>
      <c r="O243" s="28" t="str">
        <f t="shared" si="1"/>
        <v>#ThirstyForMore</v>
      </c>
      <c r="P243" s="27">
        <f t="shared" si="2"/>
        <v>5107</v>
      </c>
    </row>
    <row r="244">
      <c r="A244" s="10" t="s">
        <v>294</v>
      </c>
      <c r="B244" s="10" t="s">
        <v>13</v>
      </c>
      <c r="C244" s="26">
        <v>45722.0</v>
      </c>
      <c r="D244" s="10" t="s">
        <v>39</v>
      </c>
      <c r="E244" s="10" t="s">
        <v>85</v>
      </c>
      <c r="F244" s="27">
        <v>3592.0</v>
      </c>
      <c r="G244" s="27">
        <v>911.0</v>
      </c>
      <c r="H244" s="27">
        <v>375.0</v>
      </c>
      <c r="I244" s="27">
        <v>50288.0</v>
      </c>
      <c r="J244" s="27">
        <v>49490.0</v>
      </c>
      <c r="K244" s="27">
        <v>32.0</v>
      </c>
      <c r="L244" s="28" t="s">
        <v>16</v>
      </c>
      <c r="M244" s="10"/>
      <c r="N244" s="10"/>
      <c r="O244" s="28" t="str">
        <f t="shared" si="1"/>
        <v>#LiveForNow</v>
      </c>
      <c r="P244" s="27">
        <f t="shared" si="2"/>
        <v>3967</v>
      </c>
    </row>
    <row r="245">
      <c r="A245" s="10" t="s">
        <v>295</v>
      </c>
      <c r="B245" s="10" t="s">
        <v>24</v>
      </c>
      <c r="C245" s="26">
        <v>45590.0</v>
      </c>
      <c r="D245" s="10" t="s">
        <v>53</v>
      </c>
      <c r="E245" s="10" t="s">
        <v>133</v>
      </c>
      <c r="F245" s="27">
        <v>4661.0</v>
      </c>
      <c r="G245" s="27">
        <v>935.0</v>
      </c>
      <c r="H245" s="27">
        <v>433.0</v>
      </c>
      <c r="I245" s="27">
        <v>23305.0</v>
      </c>
      <c r="J245" s="27">
        <v>22583.0</v>
      </c>
      <c r="K245" s="27">
        <v>63.0</v>
      </c>
      <c r="L245" s="28" t="s">
        <v>16</v>
      </c>
      <c r="M245" s="10"/>
      <c r="N245" s="10"/>
      <c r="O245" s="28" t="str">
        <f t="shared" si="1"/>
        <v>#LiveForNow</v>
      </c>
      <c r="P245" s="27">
        <f t="shared" si="2"/>
        <v>5094</v>
      </c>
    </row>
    <row r="246">
      <c r="A246" s="10" t="s">
        <v>296</v>
      </c>
      <c r="B246" s="10" t="s">
        <v>33</v>
      </c>
      <c r="C246" s="26">
        <v>45669.0</v>
      </c>
      <c r="D246" s="10" t="s">
        <v>14</v>
      </c>
      <c r="E246" s="10" t="s">
        <v>47</v>
      </c>
      <c r="F246" s="27">
        <v>4134.0</v>
      </c>
      <c r="G246" s="27">
        <v>824.0</v>
      </c>
      <c r="H246" s="27">
        <v>99.0</v>
      </c>
      <c r="I246" s="27">
        <v>41340.0</v>
      </c>
      <c r="J246" s="27">
        <v>41050.0</v>
      </c>
      <c r="K246" s="27">
        <v>177.0</v>
      </c>
      <c r="L246" s="28" t="s">
        <v>30</v>
      </c>
      <c r="M246" s="10"/>
      <c r="N246" s="10"/>
      <c r="O246" s="28" t="str">
        <f t="shared" si="1"/>
        <v>#ThirstyForMore</v>
      </c>
      <c r="P246" s="27">
        <f t="shared" si="2"/>
        <v>4233</v>
      </c>
    </row>
    <row r="247">
      <c r="A247" s="10" t="s">
        <v>297</v>
      </c>
      <c r="B247" s="10" t="s">
        <v>33</v>
      </c>
      <c r="C247" s="26">
        <v>45576.0</v>
      </c>
      <c r="D247" s="10" t="s">
        <v>39</v>
      </c>
      <c r="E247" s="10" t="s">
        <v>44</v>
      </c>
      <c r="F247" s="27">
        <v>400.0</v>
      </c>
      <c r="G247" s="27">
        <v>680.0</v>
      </c>
      <c r="H247" s="27">
        <v>434.0</v>
      </c>
      <c r="I247" s="27">
        <v>6400.0</v>
      </c>
      <c r="J247" s="27">
        <v>5472.0</v>
      </c>
      <c r="K247" s="27">
        <v>160.0</v>
      </c>
      <c r="L247" s="28" t="s">
        <v>16</v>
      </c>
      <c r="M247" s="10"/>
      <c r="N247" s="10"/>
      <c r="O247" s="28" t="str">
        <f t="shared" si="1"/>
        <v>#LiveForNow</v>
      </c>
      <c r="P247" s="27">
        <f t="shared" si="2"/>
        <v>834</v>
      </c>
    </row>
    <row r="248">
      <c r="A248" s="10" t="s">
        <v>298</v>
      </c>
      <c r="B248" s="10" t="s">
        <v>33</v>
      </c>
      <c r="C248" s="26">
        <v>45531.0</v>
      </c>
      <c r="D248" s="10" t="s">
        <v>14</v>
      </c>
      <c r="E248" s="10" t="s">
        <v>47</v>
      </c>
      <c r="F248" s="27">
        <v>3960.0</v>
      </c>
      <c r="G248" s="27">
        <v>266.0</v>
      </c>
      <c r="H248" s="27">
        <v>8.0</v>
      </c>
      <c r="I248" s="27">
        <v>35640.0</v>
      </c>
      <c r="J248" s="27">
        <v>34850.0</v>
      </c>
      <c r="K248" s="27">
        <v>208.0</v>
      </c>
      <c r="L248" s="28" t="s">
        <v>16</v>
      </c>
      <c r="M248" s="28" t="s">
        <v>30</v>
      </c>
      <c r="N248" s="28" t="s">
        <v>22</v>
      </c>
      <c r="O248" s="28" t="str">
        <f t="shared" si="1"/>
        <v>#LiveForNow#ThirstyForMore#BetterWithPepsi</v>
      </c>
      <c r="P248" s="27">
        <f t="shared" si="2"/>
        <v>3968</v>
      </c>
    </row>
    <row r="249">
      <c r="A249" s="10" t="s">
        <v>299</v>
      </c>
      <c r="B249" s="10" t="s">
        <v>33</v>
      </c>
      <c r="C249" s="26">
        <v>45690.0</v>
      </c>
      <c r="D249" s="10" t="s">
        <v>28</v>
      </c>
      <c r="E249" s="10" t="s">
        <v>51</v>
      </c>
      <c r="F249" s="27">
        <v>886.0</v>
      </c>
      <c r="G249" s="27">
        <v>126.0</v>
      </c>
      <c r="H249" s="27">
        <v>153.0</v>
      </c>
      <c r="I249" s="27">
        <v>4430.0</v>
      </c>
      <c r="J249" s="27">
        <v>4037.0</v>
      </c>
      <c r="K249" s="27">
        <v>212.0</v>
      </c>
      <c r="L249" s="28" t="s">
        <v>30</v>
      </c>
      <c r="M249" s="10"/>
      <c r="N249" s="10"/>
      <c r="O249" s="28" t="str">
        <f t="shared" si="1"/>
        <v>#ThirstyForMore</v>
      </c>
      <c r="P249" s="27">
        <f t="shared" si="2"/>
        <v>1039</v>
      </c>
    </row>
    <row r="250">
      <c r="A250" s="10" t="s">
        <v>300</v>
      </c>
      <c r="B250" s="10" t="s">
        <v>13</v>
      </c>
      <c r="C250" s="26">
        <v>45491.0</v>
      </c>
      <c r="D250" s="10" t="s">
        <v>39</v>
      </c>
      <c r="E250" s="10" t="s">
        <v>85</v>
      </c>
      <c r="F250" s="27">
        <v>827.0</v>
      </c>
      <c r="G250" s="27">
        <v>77.0</v>
      </c>
      <c r="H250" s="27">
        <v>402.0</v>
      </c>
      <c r="I250" s="27">
        <v>14886.0</v>
      </c>
      <c r="J250" s="27">
        <v>14129.0</v>
      </c>
      <c r="K250" s="27">
        <v>254.0</v>
      </c>
      <c r="L250" s="28" t="s">
        <v>30</v>
      </c>
      <c r="M250" s="10"/>
      <c r="N250" s="10"/>
      <c r="O250" s="28" t="str">
        <f t="shared" si="1"/>
        <v>#ThirstyForMore</v>
      </c>
      <c r="P250" s="27">
        <f t="shared" si="2"/>
        <v>1229</v>
      </c>
    </row>
    <row r="251">
      <c r="A251" s="10" t="s">
        <v>301</v>
      </c>
      <c r="B251" s="10" t="s">
        <v>33</v>
      </c>
      <c r="C251" s="26">
        <v>45465.0</v>
      </c>
      <c r="D251" s="10" t="s">
        <v>14</v>
      </c>
      <c r="E251" s="10" t="s">
        <v>47</v>
      </c>
      <c r="F251" s="27">
        <v>3813.0</v>
      </c>
      <c r="G251" s="27">
        <v>935.0</v>
      </c>
      <c r="H251" s="27">
        <v>274.0</v>
      </c>
      <c r="I251" s="27">
        <v>68634.0</v>
      </c>
      <c r="J251" s="27">
        <v>68488.0</v>
      </c>
      <c r="K251" s="27">
        <v>251.0</v>
      </c>
      <c r="L251" s="28" t="s">
        <v>16</v>
      </c>
      <c r="M251" s="10"/>
      <c r="N251" s="10"/>
      <c r="O251" s="28" t="str">
        <f t="shared" si="1"/>
        <v>#LiveForNow</v>
      </c>
      <c r="P251" s="27">
        <f t="shared" si="2"/>
        <v>4087</v>
      </c>
    </row>
    <row r="252">
      <c r="A252" s="10" t="s">
        <v>302</v>
      </c>
      <c r="B252" s="10" t="s">
        <v>27</v>
      </c>
      <c r="C252" s="26">
        <v>45743.0</v>
      </c>
      <c r="D252" s="10" t="s">
        <v>34</v>
      </c>
      <c r="E252" s="10" t="s">
        <v>62</v>
      </c>
      <c r="F252" s="27">
        <v>1377.0</v>
      </c>
      <c r="G252" s="27">
        <v>796.0</v>
      </c>
      <c r="H252" s="27">
        <v>387.0</v>
      </c>
      <c r="I252" s="27">
        <v>22032.0</v>
      </c>
      <c r="J252" s="27">
        <v>21869.0</v>
      </c>
      <c r="K252" s="27">
        <v>189.0</v>
      </c>
      <c r="L252" s="28" t="s">
        <v>16</v>
      </c>
      <c r="M252" s="10"/>
      <c r="N252" s="10"/>
      <c r="O252" s="28" t="str">
        <f t="shared" si="1"/>
        <v>#LiveForNow</v>
      </c>
      <c r="P252" s="27">
        <f t="shared" si="2"/>
        <v>1764</v>
      </c>
    </row>
    <row r="253">
      <c r="A253" s="10" t="s">
        <v>303</v>
      </c>
      <c r="B253" s="10" t="s">
        <v>33</v>
      </c>
      <c r="C253" s="26">
        <v>45775.0</v>
      </c>
      <c r="D253" s="10" t="s">
        <v>34</v>
      </c>
      <c r="E253" s="10" t="s">
        <v>35</v>
      </c>
      <c r="F253" s="27">
        <v>2089.0</v>
      </c>
      <c r="G253" s="27">
        <v>476.0</v>
      </c>
      <c r="H253" s="27">
        <v>69.0</v>
      </c>
      <c r="I253" s="27">
        <v>16712.0</v>
      </c>
      <c r="J253" s="27">
        <v>16309.0</v>
      </c>
      <c r="K253" s="27">
        <v>64.0</v>
      </c>
      <c r="L253" s="28" t="s">
        <v>16</v>
      </c>
      <c r="M253" s="10"/>
      <c r="N253" s="10"/>
      <c r="O253" s="28" t="str">
        <f t="shared" si="1"/>
        <v>#LiveForNow</v>
      </c>
      <c r="P253" s="27">
        <f t="shared" si="2"/>
        <v>2158</v>
      </c>
    </row>
    <row r="254">
      <c r="A254" s="10" t="s">
        <v>304</v>
      </c>
      <c r="B254" s="10" t="s">
        <v>13</v>
      </c>
      <c r="C254" s="26">
        <v>45507.0</v>
      </c>
      <c r="D254" s="10" t="s">
        <v>14</v>
      </c>
      <c r="E254" s="10" t="s">
        <v>15</v>
      </c>
      <c r="F254" s="27">
        <v>3791.0</v>
      </c>
      <c r="G254" s="27">
        <v>593.0</v>
      </c>
      <c r="H254" s="27">
        <v>228.0</v>
      </c>
      <c r="I254" s="27">
        <v>53074.0</v>
      </c>
      <c r="J254" s="27">
        <v>52613.0</v>
      </c>
      <c r="K254" s="27">
        <v>205.0</v>
      </c>
      <c r="L254" s="28" t="s">
        <v>30</v>
      </c>
      <c r="M254" s="10"/>
      <c r="N254" s="10"/>
      <c r="O254" s="28" t="str">
        <f t="shared" si="1"/>
        <v>#ThirstyForMore</v>
      </c>
      <c r="P254" s="27">
        <f t="shared" si="2"/>
        <v>4019</v>
      </c>
    </row>
    <row r="255">
      <c r="A255" s="10" t="s">
        <v>305</v>
      </c>
      <c r="B255" s="10" t="s">
        <v>13</v>
      </c>
      <c r="C255" s="26">
        <v>45671.0</v>
      </c>
      <c r="D255" s="10" t="s">
        <v>39</v>
      </c>
      <c r="E255" s="10" t="s">
        <v>85</v>
      </c>
      <c r="F255" s="27">
        <v>2692.0</v>
      </c>
      <c r="G255" s="27">
        <v>115.0</v>
      </c>
      <c r="H255" s="27">
        <v>64.0</v>
      </c>
      <c r="I255" s="27">
        <v>21536.0</v>
      </c>
      <c r="J255" s="27">
        <v>21120.0</v>
      </c>
      <c r="K255" s="27">
        <v>224.0</v>
      </c>
      <c r="L255" s="28" t="s">
        <v>16</v>
      </c>
      <c r="M255" s="10"/>
      <c r="N255" s="10"/>
      <c r="O255" s="28" t="str">
        <f t="shared" si="1"/>
        <v>#LiveForNow</v>
      </c>
      <c r="P255" s="27">
        <f t="shared" si="2"/>
        <v>2756</v>
      </c>
    </row>
    <row r="256">
      <c r="A256" s="10" t="s">
        <v>306</v>
      </c>
      <c r="B256" s="10" t="s">
        <v>33</v>
      </c>
      <c r="C256" s="26">
        <v>45750.0</v>
      </c>
      <c r="D256" s="10" t="s">
        <v>28</v>
      </c>
      <c r="E256" s="10" t="s">
        <v>51</v>
      </c>
      <c r="F256" s="27">
        <v>3767.0</v>
      </c>
      <c r="G256" s="27">
        <v>514.0</v>
      </c>
      <c r="H256" s="27">
        <v>238.0</v>
      </c>
      <c r="I256" s="27">
        <v>37670.0</v>
      </c>
      <c r="J256" s="27">
        <v>36807.0</v>
      </c>
      <c r="K256" s="27">
        <v>226.0</v>
      </c>
      <c r="L256" s="28" t="s">
        <v>16</v>
      </c>
      <c r="M256" s="10"/>
      <c r="N256" s="10"/>
      <c r="O256" s="28" t="str">
        <f t="shared" si="1"/>
        <v>#LiveForNow</v>
      </c>
      <c r="P256" s="27">
        <f t="shared" si="2"/>
        <v>4005</v>
      </c>
    </row>
    <row r="257">
      <c r="A257" s="10" t="s">
        <v>307</v>
      </c>
      <c r="B257" s="10" t="s">
        <v>24</v>
      </c>
      <c r="C257" s="26">
        <v>45553.0</v>
      </c>
      <c r="D257" s="10" t="s">
        <v>34</v>
      </c>
      <c r="E257" s="10" t="s">
        <v>49</v>
      </c>
      <c r="F257" s="27">
        <v>2143.0</v>
      </c>
      <c r="G257" s="27">
        <v>12.0</v>
      </c>
      <c r="H257" s="27">
        <v>204.0</v>
      </c>
      <c r="I257" s="27">
        <v>40717.0</v>
      </c>
      <c r="J257" s="27">
        <v>40125.0</v>
      </c>
      <c r="K257" s="27">
        <v>248.0</v>
      </c>
      <c r="L257" s="28" t="s">
        <v>30</v>
      </c>
      <c r="M257" s="10"/>
      <c r="N257" s="10"/>
      <c r="O257" s="28" t="str">
        <f t="shared" si="1"/>
        <v>#ThirstyForMore</v>
      </c>
      <c r="P257" s="27">
        <f t="shared" si="2"/>
        <v>2347</v>
      </c>
    </row>
    <row r="258">
      <c r="A258" s="10" t="s">
        <v>308</v>
      </c>
      <c r="B258" s="10" t="s">
        <v>33</v>
      </c>
      <c r="C258" s="26">
        <v>45753.0</v>
      </c>
      <c r="D258" s="10" t="s">
        <v>39</v>
      </c>
      <c r="E258" s="10" t="s">
        <v>44</v>
      </c>
      <c r="F258" s="27">
        <v>3090.0</v>
      </c>
      <c r="G258" s="27">
        <v>697.0</v>
      </c>
      <c r="H258" s="27">
        <v>164.0</v>
      </c>
      <c r="I258" s="27">
        <v>49440.0</v>
      </c>
      <c r="J258" s="27">
        <v>48524.0</v>
      </c>
      <c r="K258" s="27">
        <v>25.0</v>
      </c>
      <c r="L258" s="28" t="s">
        <v>30</v>
      </c>
      <c r="M258" s="28" t="s">
        <v>30</v>
      </c>
      <c r="N258" s="28" t="s">
        <v>22</v>
      </c>
      <c r="O258" s="28" t="str">
        <f t="shared" si="1"/>
        <v>#ThirstyForMore#ThirstyForMore#BetterWithPepsi</v>
      </c>
      <c r="P258" s="27">
        <f t="shared" si="2"/>
        <v>3254</v>
      </c>
    </row>
    <row r="259">
      <c r="A259" s="10" t="s">
        <v>309</v>
      </c>
      <c r="B259" s="10" t="s">
        <v>27</v>
      </c>
      <c r="C259" s="26">
        <v>45509.0</v>
      </c>
      <c r="D259" s="10" t="s">
        <v>28</v>
      </c>
      <c r="E259" s="10" t="s">
        <v>29</v>
      </c>
      <c r="F259" s="27">
        <v>3601.0</v>
      </c>
      <c r="G259" s="27">
        <v>695.0</v>
      </c>
      <c r="H259" s="27">
        <v>75.0</v>
      </c>
      <c r="I259" s="27">
        <v>21606.0</v>
      </c>
      <c r="J259" s="27">
        <v>21454.0</v>
      </c>
      <c r="K259" s="27">
        <v>172.0</v>
      </c>
      <c r="L259" s="28" t="s">
        <v>30</v>
      </c>
      <c r="M259" s="10"/>
      <c r="N259" s="10"/>
      <c r="O259" s="28" t="str">
        <f t="shared" si="1"/>
        <v>#ThirstyForMore</v>
      </c>
      <c r="P259" s="27">
        <f t="shared" si="2"/>
        <v>3676</v>
      </c>
    </row>
    <row r="260">
      <c r="A260" s="10" t="s">
        <v>310</v>
      </c>
      <c r="B260" s="10" t="s">
        <v>33</v>
      </c>
      <c r="C260" s="26">
        <v>45698.0</v>
      </c>
      <c r="D260" s="10" t="s">
        <v>19</v>
      </c>
      <c r="E260" s="10" t="s">
        <v>42</v>
      </c>
      <c r="F260" s="27">
        <v>562.0</v>
      </c>
      <c r="G260" s="27">
        <v>158.0</v>
      </c>
      <c r="H260" s="27">
        <v>149.0</v>
      </c>
      <c r="I260" s="27">
        <v>3372.0</v>
      </c>
      <c r="J260" s="27">
        <v>2940.0</v>
      </c>
      <c r="K260" s="27">
        <v>93.0</v>
      </c>
      <c r="L260" s="28" t="s">
        <v>21</v>
      </c>
      <c r="M260" s="10"/>
      <c r="N260" s="10"/>
      <c r="O260" s="28" t="str">
        <f t="shared" si="1"/>
        <v>#PepsiCoRefresh</v>
      </c>
      <c r="P260" s="27">
        <f t="shared" si="2"/>
        <v>711</v>
      </c>
    </row>
    <row r="261">
      <c r="A261" s="10" t="s">
        <v>311</v>
      </c>
      <c r="B261" s="10" t="s">
        <v>27</v>
      </c>
      <c r="C261" s="26">
        <v>45700.0</v>
      </c>
      <c r="D261" s="10" t="s">
        <v>28</v>
      </c>
      <c r="E261" s="10" t="s">
        <v>29</v>
      </c>
      <c r="F261" s="27">
        <v>4332.0</v>
      </c>
      <c r="G261" s="27">
        <v>771.0</v>
      </c>
      <c r="H261" s="27">
        <v>219.0</v>
      </c>
      <c r="I261" s="27">
        <v>60648.0</v>
      </c>
      <c r="J261" s="27">
        <v>60397.0</v>
      </c>
      <c r="K261" s="27">
        <v>10.0</v>
      </c>
      <c r="L261" s="28" t="s">
        <v>21</v>
      </c>
      <c r="M261" s="28" t="s">
        <v>30</v>
      </c>
      <c r="N261" s="28" t="s">
        <v>22</v>
      </c>
      <c r="O261" s="28" t="str">
        <f t="shared" si="1"/>
        <v>#PepsiCoRefresh#ThirstyForMore#BetterWithPepsi</v>
      </c>
      <c r="P261" s="27">
        <f t="shared" si="2"/>
        <v>4551</v>
      </c>
    </row>
    <row r="262">
      <c r="A262" s="10" t="s">
        <v>312</v>
      </c>
      <c r="B262" s="10" t="s">
        <v>27</v>
      </c>
      <c r="C262" s="26">
        <v>45592.0</v>
      </c>
      <c r="D262" s="10" t="s">
        <v>39</v>
      </c>
      <c r="E262" s="10" t="s">
        <v>131</v>
      </c>
      <c r="F262" s="27">
        <v>4853.0</v>
      </c>
      <c r="G262" s="27">
        <v>837.0</v>
      </c>
      <c r="H262" s="27">
        <v>340.0</v>
      </c>
      <c r="I262" s="27">
        <v>72795.0</v>
      </c>
      <c r="J262" s="27">
        <v>72237.0</v>
      </c>
      <c r="K262" s="27">
        <v>170.0</v>
      </c>
      <c r="L262" s="28" t="s">
        <v>30</v>
      </c>
      <c r="M262" s="10"/>
      <c r="N262" s="10"/>
      <c r="O262" s="28" t="str">
        <f t="shared" si="1"/>
        <v>#ThirstyForMore</v>
      </c>
      <c r="P262" s="27">
        <f t="shared" si="2"/>
        <v>5193</v>
      </c>
    </row>
    <row r="263">
      <c r="A263" s="10" t="s">
        <v>313</v>
      </c>
      <c r="B263" s="10" t="s">
        <v>24</v>
      </c>
      <c r="C263" s="26">
        <v>45675.0</v>
      </c>
      <c r="D263" s="10" t="s">
        <v>39</v>
      </c>
      <c r="E263" s="10" t="s">
        <v>40</v>
      </c>
      <c r="F263" s="27">
        <v>1206.0</v>
      </c>
      <c r="G263" s="27">
        <v>238.0</v>
      </c>
      <c r="H263" s="27">
        <v>36.0</v>
      </c>
      <c r="I263" s="27">
        <v>9648.0</v>
      </c>
      <c r="J263" s="27">
        <v>9417.0</v>
      </c>
      <c r="K263" s="27">
        <v>237.0</v>
      </c>
      <c r="L263" s="28" t="s">
        <v>21</v>
      </c>
      <c r="M263" s="10"/>
      <c r="N263" s="10"/>
      <c r="O263" s="28" t="str">
        <f t="shared" si="1"/>
        <v>#PepsiCoRefresh</v>
      </c>
      <c r="P263" s="27">
        <f t="shared" si="2"/>
        <v>1242</v>
      </c>
    </row>
    <row r="264">
      <c r="A264" s="10" t="s">
        <v>314</v>
      </c>
      <c r="B264" s="10" t="s">
        <v>27</v>
      </c>
      <c r="C264" s="26">
        <v>45524.0</v>
      </c>
      <c r="D264" s="10" t="s">
        <v>14</v>
      </c>
      <c r="E264" s="10" t="s">
        <v>58</v>
      </c>
      <c r="F264" s="27">
        <v>2603.0</v>
      </c>
      <c r="G264" s="27">
        <v>690.0</v>
      </c>
      <c r="H264" s="27">
        <v>205.0</v>
      </c>
      <c r="I264" s="27">
        <v>13015.0</v>
      </c>
      <c r="J264" s="27">
        <v>12130.0</v>
      </c>
      <c r="K264" s="27">
        <v>20.0</v>
      </c>
      <c r="L264" s="28" t="s">
        <v>16</v>
      </c>
      <c r="M264" s="10"/>
      <c r="N264" s="10"/>
      <c r="O264" s="28" t="str">
        <f t="shared" si="1"/>
        <v>#LiveForNow</v>
      </c>
      <c r="P264" s="27">
        <f t="shared" si="2"/>
        <v>2808</v>
      </c>
    </row>
    <row r="265">
      <c r="A265" s="10" t="s">
        <v>315</v>
      </c>
      <c r="B265" s="10" t="s">
        <v>13</v>
      </c>
      <c r="C265" s="26">
        <v>45687.0</v>
      </c>
      <c r="D265" s="10" t="s">
        <v>39</v>
      </c>
      <c r="E265" s="10" t="s">
        <v>85</v>
      </c>
      <c r="F265" s="27">
        <v>59.0</v>
      </c>
      <c r="G265" s="27">
        <v>163.0</v>
      </c>
      <c r="H265" s="27">
        <v>93.0</v>
      </c>
      <c r="I265" s="27">
        <v>590.0</v>
      </c>
      <c r="J265" s="27">
        <v>475.0</v>
      </c>
      <c r="K265" s="27">
        <v>293.0</v>
      </c>
      <c r="L265" s="28" t="s">
        <v>21</v>
      </c>
      <c r="M265" s="10"/>
      <c r="N265" s="10"/>
      <c r="O265" s="28" t="str">
        <f t="shared" si="1"/>
        <v>#PepsiCoRefresh</v>
      </c>
      <c r="P265" s="27">
        <f t="shared" si="2"/>
        <v>152</v>
      </c>
    </row>
    <row r="266">
      <c r="A266" s="10" t="s">
        <v>316</v>
      </c>
      <c r="B266" s="10" t="s">
        <v>13</v>
      </c>
      <c r="C266" s="26">
        <v>45708.0</v>
      </c>
      <c r="D266" s="10" t="s">
        <v>34</v>
      </c>
      <c r="E266" s="10" t="s">
        <v>37</v>
      </c>
      <c r="F266" s="27">
        <v>1877.0</v>
      </c>
      <c r="G266" s="27">
        <v>745.0</v>
      </c>
      <c r="H266" s="27">
        <v>225.0</v>
      </c>
      <c r="I266" s="27">
        <v>11262.0</v>
      </c>
      <c r="J266" s="27">
        <v>10967.0</v>
      </c>
      <c r="K266" s="27">
        <v>41.0</v>
      </c>
      <c r="L266" s="28" t="s">
        <v>30</v>
      </c>
      <c r="M266" s="10"/>
      <c r="N266" s="10"/>
      <c r="O266" s="28" t="str">
        <f t="shared" si="1"/>
        <v>#ThirstyForMore</v>
      </c>
      <c r="P266" s="27">
        <f t="shared" si="2"/>
        <v>2102</v>
      </c>
    </row>
    <row r="267">
      <c r="A267" s="10" t="s">
        <v>317</v>
      </c>
      <c r="B267" s="10" t="s">
        <v>33</v>
      </c>
      <c r="C267" s="26">
        <v>45621.0</v>
      </c>
      <c r="D267" s="10" t="s">
        <v>28</v>
      </c>
      <c r="E267" s="10" t="s">
        <v>51</v>
      </c>
      <c r="F267" s="27">
        <v>4182.0</v>
      </c>
      <c r="G267" s="27">
        <v>640.0</v>
      </c>
      <c r="H267" s="27">
        <v>240.0</v>
      </c>
      <c r="I267" s="27">
        <v>50184.0</v>
      </c>
      <c r="J267" s="27">
        <v>49351.0</v>
      </c>
      <c r="K267" s="27">
        <v>10.0</v>
      </c>
      <c r="L267" s="28" t="s">
        <v>21</v>
      </c>
      <c r="M267" s="10"/>
      <c r="N267" s="10"/>
      <c r="O267" s="28" t="str">
        <f t="shared" si="1"/>
        <v>#PepsiCoRefresh</v>
      </c>
      <c r="P267" s="27">
        <f t="shared" si="2"/>
        <v>4422</v>
      </c>
    </row>
    <row r="268">
      <c r="A268" s="10" t="s">
        <v>318</v>
      </c>
      <c r="B268" s="10" t="s">
        <v>13</v>
      </c>
      <c r="C268" s="26">
        <v>45569.0</v>
      </c>
      <c r="D268" s="10" t="s">
        <v>14</v>
      </c>
      <c r="E268" s="10" t="s">
        <v>15</v>
      </c>
      <c r="F268" s="27">
        <v>4187.0</v>
      </c>
      <c r="G268" s="27">
        <v>66.0</v>
      </c>
      <c r="H268" s="27">
        <v>31.0</v>
      </c>
      <c r="I268" s="27">
        <v>66992.0</v>
      </c>
      <c r="J268" s="27">
        <v>66614.0</v>
      </c>
      <c r="K268" s="27">
        <v>62.0</v>
      </c>
      <c r="L268" s="28" t="s">
        <v>16</v>
      </c>
      <c r="M268" s="10"/>
      <c r="N268" s="10"/>
      <c r="O268" s="28" t="str">
        <f t="shared" si="1"/>
        <v>#LiveForNow</v>
      </c>
      <c r="P268" s="27">
        <f t="shared" si="2"/>
        <v>4218</v>
      </c>
    </row>
    <row r="269">
      <c r="A269" s="10" t="s">
        <v>319</v>
      </c>
      <c r="B269" s="10" t="s">
        <v>27</v>
      </c>
      <c r="C269" s="26">
        <v>45760.0</v>
      </c>
      <c r="D269" s="10" t="s">
        <v>14</v>
      </c>
      <c r="E269" s="10" t="s">
        <v>58</v>
      </c>
      <c r="F269" s="27">
        <v>4579.0</v>
      </c>
      <c r="G269" s="27">
        <v>125.0</v>
      </c>
      <c r="H269" s="27">
        <v>300.0</v>
      </c>
      <c r="I269" s="27">
        <v>59527.0</v>
      </c>
      <c r="J269" s="27">
        <v>59400.0</v>
      </c>
      <c r="K269" s="27">
        <v>269.0</v>
      </c>
      <c r="L269" s="28" t="s">
        <v>30</v>
      </c>
      <c r="M269" s="10"/>
      <c r="N269" s="10"/>
      <c r="O269" s="28" t="str">
        <f t="shared" si="1"/>
        <v>#ThirstyForMore</v>
      </c>
      <c r="P269" s="27">
        <f t="shared" si="2"/>
        <v>4879</v>
      </c>
    </row>
    <row r="270">
      <c r="A270" s="10" t="s">
        <v>320</v>
      </c>
      <c r="B270" s="10" t="s">
        <v>27</v>
      </c>
      <c r="C270" s="26">
        <v>45601.0</v>
      </c>
      <c r="D270" s="10" t="s">
        <v>53</v>
      </c>
      <c r="E270" s="10" t="s">
        <v>60</v>
      </c>
      <c r="F270" s="27">
        <v>4561.0</v>
      </c>
      <c r="G270" s="27">
        <v>51.0</v>
      </c>
      <c r="H270" s="27">
        <v>441.0</v>
      </c>
      <c r="I270" s="27">
        <v>22805.0</v>
      </c>
      <c r="J270" s="27">
        <v>21890.0</v>
      </c>
      <c r="K270" s="27">
        <v>45.0</v>
      </c>
      <c r="L270" s="28" t="s">
        <v>21</v>
      </c>
      <c r="M270" s="10"/>
      <c r="N270" s="10"/>
      <c r="O270" s="28" t="str">
        <f t="shared" si="1"/>
        <v>#PepsiCoRefresh</v>
      </c>
      <c r="P270" s="27">
        <f t="shared" si="2"/>
        <v>5002</v>
      </c>
    </row>
    <row r="271">
      <c r="A271" s="10" t="s">
        <v>321</v>
      </c>
      <c r="B271" s="10" t="s">
        <v>24</v>
      </c>
      <c r="C271" s="26">
        <v>45672.0</v>
      </c>
      <c r="D271" s="10" t="s">
        <v>14</v>
      </c>
      <c r="E271" s="10" t="s">
        <v>25</v>
      </c>
      <c r="F271" s="27">
        <v>3774.0</v>
      </c>
      <c r="G271" s="27">
        <v>239.0</v>
      </c>
      <c r="H271" s="27">
        <v>39.0</v>
      </c>
      <c r="I271" s="27">
        <v>60384.0</v>
      </c>
      <c r="J271" s="27">
        <v>59490.0</v>
      </c>
      <c r="K271" s="27">
        <v>241.0</v>
      </c>
      <c r="L271" s="28" t="s">
        <v>21</v>
      </c>
      <c r="M271" s="10"/>
      <c r="N271" s="10"/>
      <c r="O271" s="28" t="str">
        <f t="shared" si="1"/>
        <v>#PepsiCoRefresh</v>
      </c>
      <c r="P271" s="27">
        <f t="shared" si="2"/>
        <v>3813</v>
      </c>
    </row>
    <row r="272">
      <c r="A272" s="10" t="s">
        <v>322</v>
      </c>
      <c r="B272" s="10" t="s">
        <v>27</v>
      </c>
      <c r="C272" s="26">
        <v>45582.0</v>
      </c>
      <c r="D272" s="10" t="s">
        <v>53</v>
      </c>
      <c r="E272" s="10" t="s">
        <v>60</v>
      </c>
      <c r="F272" s="27">
        <v>3575.0</v>
      </c>
      <c r="G272" s="27">
        <v>749.0</v>
      </c>
      <c r="H272" s="27">
        <v>111.0</v>
      </c>
      <c r="I272" s="27">
        <v>21450.0</v>
      </c>
      <c r="J272" s="27">
        <v>20785.0</v>
      </c>
      <c r="K272" s="27">
        <v>195.0</v>
      </c>
      <c r="L272" s="28" t="s">
        <v>30</v>
      </c>
      <c r="M272" s="10"/>
      <c r="N272" s="10"/>
      <c r="O272" s="28" t="str">
        <f t="shared" si="1"/>
        <v>#ThirstyForMore</v>
      </c>
      <c r="P272" s="27">
        <f t="shared" si="2"/>
        <v>3686</v>
      </c>
    </row>
    <row r="273">
      <c r="A273" s="10" t="s">
        <v>323</v>
      </c>
      <c r="B273" s="10" t="s">
        <v>27</v>
      </c>
      <c r="C273" s="26">
        <v>45743.0</v>
      </c>
      <c r="D273" s="10" t="s">
        <v>19</v>
      </c>
      <c r="E273" s="10" t="s">
        <v>75</v>
      </c>
      <c r="F273" s="27">
        <v>4941.0</v>
      </c>
      <c r="G273" s="27">
        <v>414.0</v>
      </c>
      <c r="H273" s="27">
        <v>266.0</v>
      </c>
      <c r="I273" s="27">
        <v>39528.0</v>
      </c>
      <c r="J273" s="27">
        <v>39154.0</v>
      </c>
      <c r="K273" s="27">
        <v>217.0</v>
      </c>
      <c r="L273" s="28" t="s">
        <v>21</v>
      </c>
      <c r="M273" s="10"/>
      <c r="N273" s="10"/>
      <c r="O273" s="28" t="str">
        <f t="shared" si="1"/>
        <v>#PepsiCoRefresh</v>
      </c>
      <c r="P273" s="27">
        <f t="shared" si="2"/>
        <v>5207</v>
      </c>
    </row>
    <row r="274">
      <c r="A274" s="10" t="s">
        <v>324</v>
      </c>
      <c r="B274" s="10" t="s">
        <v>24</v>
      </c>
      <c r="C274" s="26">
        <v>45577.0</v>
      </c>
      <c r="D274" s="10" t="s">
        <v>28</v>
      </c>
      <c r="E274" s="10" t="s">
        <v>98</v>
      </c>
      <c r="F274" s="27">
        <v>3641.0</v>
      </c>
      <c r="G274" s="27">
        <v>226.0</v>
      </c>
      <c r="H274" s="27">
        <v>46.0</v>
      </c>
      <c r="I274" s="27">
        <v>40051.0</v>
      </c>
      <c r="J274" s="27">
        <v>39319.0</v>
      </c>
      <c r="K274" s="27">
        <v>296.0</v>
      </c>
      <c r="L274" s="28" t="s">
        <v>30</v>
      </c>
      <c r="M274" s="10"/>
      <c r="N274" s="10"/>
      <c r="O274" s="28" t="str">
        <f t="shared" si="1"/>
        <v>#ThirstyForMore</v>
      </c>
      <c r="P274" s="27">
        <f t="shared" si="2"/>
        <v>3687</v>
      </c>
    </row>
    <row r="275">
      <c r="A275" s="10" t="s">
        <v>325</v>
      </c>
      <c r="B275" s="10" t="s">
        <v>13</v>
      </c>
      <c r="C275" s="26">
        <v>45658.0</v>
      </c>
      <c r="D275" s="10" t="s">
        <v>34</v>
      </c>
      <c r="E275" s="10" t="s">
        <v>37</v>
      </c>
      <c r="F275" s="27">
        <v>3535.0</v>
      </c>
      <c r="G275" s="27">
        <v>494.0</v>
      </c>
      <c r="H275" s="27">
        <v>152.0</v>
      </c>
      <c r="I275" s="27">
        <v>53025.0</v>
      </c>
      <c r="J275" s="27">
        <v>52791.0</v>
      </c>
      <c r="K275" s="27">
        <v>44.0</v>
      </c>
      <c r="L275" s="28" t="s">
        <v>21</v>
      </c>
      <c r="M275" s="10"/>
      <c r="N275" s="10"/>
      <c r="O275" s="28" t="str">
        <f t="shared" si="1"/>
        <v>#PepsiCoRefresh</v>
      </c>
      <c r="P275" s="27">
        <f t="shared" si="2"/>
        <v>3687</v>
      </c>
    </row>
    <row r="276">
      <c r="A276" s="10" t="s">
        <v>326</v>
      </c>
      <c r="B276" s="10" t="s">
        <v>33</v>
      </c>
      <c r="C276" s="26">
        <v>45509.0</v>
      </c>
      <c r="D276" s="10" t="s">
        <v>14</v>
      </c>
      <c r="E276" s="10" t="s">
        <v>47</v>
      </c>
      <c r="F276" s="27">
        <v>1741.0</v>
      </c>
      <c r="G276" s="27">
        <v>831.0</v>
      </c>
      <c r="H276" s="27">
        <v>345.0</v>
      </c>
      <c r="I276" s="27">
        <v>17410.0</v>
      </c>
      <c r="J276" s="27">
        <v>16844.0</v>
      </c>
      <c r="K276" s="27">
        <v>58.0</v>
      </c>
      <c r="L276" s="28" t="s">
        <v>30</v>
      </c>
      <c r="M276" s="10"/>
      <c r="N276" s="10"/>
      <c r="O276" s="28" t="str">
        <f t="shared" si="1"/>
        <v>#ThirstyForMore</v>
      </c>
      <c r="P276" s="27">
        <f t="shared" si="2"/>
        <v>2086</v>
      </c>
    </row>
    <row r="277">
      <c r="A277" s="10" t="s">
        <v>327</v>
      </c>
      <c r="B277" s="10" t="s">
        <v>13</v>
      </c>
      <c r="C277" s="26">
        <v>45450.0</v>
      </c>
      <c r="D277" s="10" t="s">
        <v>34</v>
      </c>
      <c r="E277" s="10" t="s">
        <v>37</v>
      </c>
      <c r="F277" s="27">
        <v>1556.0</v>
      </c>
      <c r="G277" s="27">
        <v>195.0</v>
      </c>
      <c r="H277" s="27">
        <v>131.0</v>
      </c>
      <c r="I277" s="27">
        <v>9336.0</v>
      </c>
      <c r="J277" s="27">
        <v>8875.0</v>
      </c>
      <c r="K277" s="27">
        <v>137.0</v>
      </c>
      <c r="L277" s="28" t="s">
        <v>21</v>
      </c>
      <c r="M277" s="10"/>
      <c r="N277" s="10"/>
      <c r="O277" s="28" t="str">
        <f t="shared" si="1"/>
        <v>#PepsiCoRefresh</v>
      </c>
      <c r="P277" s="27">
        <f t="shared" si="2"/>
        <v>1687</v>
      </c>
    </row>
    <row r="278">
      <c r="A278" s="10" t="s">
        <v>328</v>
      </c>
      <c r="B278" s="10" t="s">
        <v>33</v>
      </c>
      <c r="C278" s="26">
        <v>45753.0</v>
      </c>
      <c r="D278" s="10" t="s">
        <v>39</v>
      </c>
      <c r="E278" s="10" t="s">
        <v>44</v>
      </c>
      <c r="F278" s="27">
        <v>4236.0</v>
      </c>
      <c r="G278" s="27">
        <v>711.0</v>
      </c>
      <c r="H278" s="27">
        <v>298.0</v>
      </c>
      <c r="I278" s="27">
        <v>21180.0</v>
      </c>
      <c r="J278" s="27">
        <v>20516.0</v>
      </c>
      <c r="K278" s="27">
        <v>238.0</v>
      </c>
      <c r="L278" s="28" t="s">
        <v>16</v>
      </c>
      <c r="M278" s="10"/>
      <c r="N278" s="10"/>
      <c r="O278" s="28" t="str">
        <f t="shared" si="1"/>
        <v>#LiveForNow</v>
      </c>
      <c r="P278" s="27">
        <f t="shared" si="2"/>
        <v>4534</v>
      </c>
    </row>
    <row r="279">
      <c r="A279" s="10" t="s">
        <v>329</v>
      </c>
      <c r="B279" s="10" t="s">
        <v>13</v>
      </c>
      <c r="C279" s="26">
        <v>45622.0</v>
      </c>
      <c r="D279" s="10" t="s">
        <v>19</v>
      </c>
      <c r="E279" s="10" t="s">
        <v>20</v>
      </c>
      <c r="F279" s="27">
        <v>4516.0</v>
      </c>
      <c r="G279" s="27">
        <v>836.0</v>
      </c>
      <c r="H279" s="27">
        <v>169.0</v>
      </c>
      <c r="I279" s="27">
        <v>49676.0</v>
      </c>
      <c r="J279" s="27">
        <v>49257.0</v>
      </c>
      <c r="K279" s="27">
        <v>282.0</v>
      </c>
      <c r="L279" s="28" t="s">
        <v>30</v>
      </c>
      <c r="M279" s="10"/>
      <c r="N279" s="10"/>
      <c r="O279" s="28" t="str">
        <f t="shared" si="1"/>
        <v>#ThirstyForMore</v>
      </c>
      <c r="P279" s="27">
        <f t="shared" si="2"/>
        <v>4685</v>
      </c>
    </row>
    <row r="280">
      <c r="A280" s="10" t="s">
        <v>330</v>
      </c>
      <c r="B280" s="10" t="s">
        <v>24</v>
      </c>
      <c r="C280" s="26">
        <v>45537.0</v>
      </c>
      <c r="D280" s="10" t="s">
        <v>39</v>
      </c>
      <c r="E280" s="10" t="s">
        <v>40</v>
      </c>
      <c r="F280" s="27">
        <v>4905.0</v>
      </c>
      <c r="G280" s="27">
        <v>845.0</v>
      </c>
      <c r="H280" s="27">
        <v>129.0</v>
      </c>
      <c r="I280" s="27">
        <v>98100.0</v>
      </c>
      <c r="J280" s="27">
        <v>97772.0</v>
      </c>
      <c r="K280" s="27">
        <v>279.0</v>
      </c>
      <c r="L280" s="28" t="s">
        <v>21</v>
      </c>
      <c r="M280" s="10"/>
      <c r="N280" s="10"/>
      <c r="O280" s="28" t="str">
        <f t="shared" si="1"/>
        <v>#PepsiCoRefresh</v>
      </c>
      <c r="P280" s="27">
        <f t="shared" si="2"/>
        <v>5034</v>
      </c>
    </row>
    <row r="281">
      <c r="A281" s="10" t="s">
        <v>331</v>
      </c>
      <c r="B281" s="10" t="s">
        <v>24</v>
      </c>
      <c r="C281" s="26">
        <v>45586.0</v>
      </c>
      <c r="D281" s="10" t="s">
        <v>53</v>
      </c>
      <c r="E281" s="10" t="s">
        <v>133</v>
      </c>
      <c r="F281" s="27">
        <v>4275.0</v>
      </c>
      <c r="G281" s="27">
        <v>680.0</v>
      </c>
      <c r="H281" s="27">
        <v>385.0</v>
      </c>
      <c r="I281" s="27">
        <v>64125.0</v>
      </c>
      <c r="J281" s="27">
        <v>63650.0</v>
      </c>
      <c r="K281" s="27">
        <v>104.0</v>
      </c>
      <c r="L281" s="28" t="s">
        <v>30</v>
      </c>
      <c r="M281" s="28" t="s">
        <v>21</v>
      </c>
      <c r="N281" s="28" t="s">
        <v>17</v>
      </c>
      <c r="O281" s="28" t="str">
        <f t="shared" si="1"/>
        <v>#ThirstyForMore#PepsiCoRefresh#AnytimeIsPepsiTime</v>
      </c>
      <c r="P281" s="27">
        <f t="shared" si="2"/>
        <v>4660</v>
      </c>
    </row>
    <row r="282">
      <c r="A282" s="10" t="s">
        <v>332</v>
      </c>
      <c r="B282" s="10" t="s">
        <v>24</v>
      </c>
      <c r="C282" s="26">
        <v>45738.0</v>
      </c>
      <c r="D282" s="10" t="s">
        <v>39</v>
      </c>
      <c r="E282" s="10" t="s">
        <v>40</v>
      </c>
      <c r="F282" s="27">
        <v>3166.0</v>
      </c>
      <c r="G282" s="27">
        <v>90.0</v>
      </c>
      <c r="H282" s="27">
        <v>341.0</v>
      </c>
      <c r="I282" s="27">
        <v>56988.0</v>
      </c>
      <c r="J282" s="27">
        <v>56125.0</v>
      </c>
      <c r="K282" s="27">
        <v>135.0</v>
      </c>
      <c r="L282" s="28" t="s">
        <v>30</v>
      </c>
      <c r="M282" s="10"/>
      <c r="N282" s="10"/>
      <c r="O282" s="28" t="str">
        <f t="shared" si="1"/>
        <v>#ThirstyForMore</v>
      </c>
      <c r="P282" s="27">
        <f t="shared" si="2"/>
        <v>3507</v>
      </c>
    </row>
    <row r="283">
      <c r="A283" s="10" t="s">
        <v>333</v>
      </c>
      <c r="B283" s="10" t="s">
        <v>27</v>
      </c>
      <c r="C283" s="26">
        <v>45568.0</v>
      </c>
      <c r="D283" s="10" t="s">
        <v>53</v>
      </c>
      <c r="E283" s="10" t="s">
        <v>60</v>
      </c>
      <c r="F283" s="27">
        <v>1488.0</v>
      </c>
      <c r="G283" s="27">
        <v>417.0</v>
      </c>
      <c r="H283" s="27">
        <v>168.0</v>
      </c>
      <c r="I283" s="27">
        <v>19344.0</v>
      </c>
      <c r="J283" s="27">
        <v>18395.0</v>
      </c>
      <c r="K283" s="27">
        <v>30.0</v>
      </c>
      <c r="L283" s="28" t="s">
        <v>16</v>
      </c>
      <c r="M283" s="10"/>
      <c r="N283" s="10"/>
      <c r="O283" s="28" t="str">
        <f t="shared" si="1"/>
        <v>#LiveForNow</v>
      </c>
      <c r="P283" s="27">
        <f t="shared" si="2"/>
        <v>1656</v>
      </c>
    </row>
    <row r="284">
      <c r="A284" s="10" t="s">
        <v>334</v>
      </c>
      <c r="B284" s="10" t="s">
        <v>13</v>
      </c>
      <c r="C284" s="26">
        <v>45786.0</v>
      </c>
      <c r="D284" s="10" t="s">
        <v>14</v>
      </c>
      <c r="E284" s="10" t="s">
        <v>15</v>
      </c>
      <c r="F284" s="27">
        <v>3367.0</v>
      </c>
      <c r="G284" s="27">
        <v>302.0</v>
      </c>
      <c r="H284" s="27">
        <v>57.0</v>
      </c>
      <c r="I284" s="27">
        <v>63973.0</v>
      </c>
      <c r="J284" s="27">
        <v>63789.0</v>
      </c>
      <c r="K284" s="27">
        <v>157.0</v>
      </c>
      <c r="L284" s="28" t="s">
        <v>16</v>
      </c>
      <c r="M284" s="10"/>
      <c r="N284" s="10"/>
      <c r="O284" s="28" t="str">
        <f t="shared" si="1"/>
        <v>#LiveForNow</v>
      </c>
      <c r="P284" s="27">
        <f t="shared" si="2"/>
        <v>3424</v>
      </c>
    </row>
    <row r="285">
      <c r="A285" s="10" t="s">
        <v>335</v>
      </c>
      <c r="B285" s="10" t="s">
        <v>13</v>
      </c>
      <c r="C285" s="26">
        <v>45552.0</v>
      </c>
      <c r="D285" s="10" t="s">
        <v>19</v>
      </c>
      <c r="E285" s="10" t="s">
        <v>20</v>
      </c>
      <c r="F285" s="27">
        <v>571.0</v>
      </c>
      <c r="G285" s="27">
        <v>190.0</v>
      </c>
      <c r="H285" s="27">
        <v>352.0</v>
      </c>
      <c r="I285" s="27">
        <v>9707.0</v>
      </c>
      <c r="J285" s="27">
        <v>9418.0</v>
      </c>
      <c r="K285" s="27">
        <v>231.0</v>
      </c>
      <c r="L285" s="28" t="s">
        <v>21</v>
      </c>
      <c r="M285" s="10"/>
      <c r="N285" s="10"/>
      <c r="O285" s="28" t="str">
        <f t="shared" si="1"/>
        <v>#PepsiCoRefresh</v>
      </c>
      <c r="P285" s="27">
        <f t="shared" si="2"/>
        <v>923</v>
      </c>
    </row>
    <row r="286">
      <c r="A286" s="10" t="s">
        <v>336</v>
      </c>
      <c r="B286" s="10" t="s">
        <v>24</v>
      </c>
      <c r="C286" s="26">
        <v>45491.0</v>
      </c>
      <c r="D286" s="10" t="s">
        <v>19</v>
      </c>
      <c r="E286" s="10" t="s">
        <v>70</v>
      </c>
      <c r="F286" s="27">
        <v>4021.0</v>
      </c>
      <c r="G286" s="27">
        <v>794.0</v>
      </c>
      <c r="H286" s="27">
        <v>77.0</v>
      </c>
      <c r="I286" s="27">
        <v>36189.0</v>
      </c>
      <c r="J286" s="27">
        <v>35505.0</v>
      </c>
      <c r="K286" s="27">
        <v>174.0</v>
      </c>
      <c r="L286" s="28" t="s">
        <v>30</v>
      </c>
      <c r="M286" s="10"/>
      <c r="N286" s="10"/>
      <c r="O286" s="28" t="str">
        <f t="shared" si="1"/>
        <v>#ThirstyForMore</v>
      </c>
      <c r="P286" s="27">
        <f t="shared" si="2"/>
        <v>4098</v>
      </c>
    </row>
    <row r="287">
      <c r="A287" s="10" t="s">
        <v>337</v>
      </c>
      <c r="B287" s="10" t="s">
        <v>24</v>
      </c>
      <c r="C287" s="26">
        <v>45560.0</v>
      </c>
      <c r="D287" s="10" t="s">
        <v>53</v>
      </c>
      <c r="E287" s="10" t="s">
        <v>133</v>
      </c>
      <c r="F287" s="27">
        <v>3389.0</v>
      </c>
      <c r="G287" s="27">
        <v>344.0</v>
      </c>
      <c r="H287" s="27">
        <v>229.0</v>
      </c>
      <c r="I287" s="27">
        <v>20334.0</v>
      </c>
      <c r="J287" s="27">
        <v>19443.0</v>
      </c>
      <c r="K287" s="27">
        <v>228.0</v>
      </c>
      <c r="L287" s="28" t="s">
        <v>16</v>
      </c>
      <c r="M287" s="10"/>
      <c r="N287" s="10"/>
      <c r="O287" s="28" t="str">
        <f t="shared" si="1"/>
        <v>#LiveForNow</v>
      </c>
      <c r="P287" s="27">
        <f t="shared" si="2"/>
        <v>3618</v>
      </c>
    </row>
    <row r="288">
      <c r="A288" s="10" t="s">
        <v>338</v>
      </c>
      <c r="B288" s="10" t="s">
        <v>27</v>
      </c>
      <c r="C288" s="26">
        <v>45519.0</v>
      </c>
      <c r="D288" s="10" t="s">
        <v>14</v>
      </c>
      <c r="E288" s="10" t="s">
        <v>58</v>
      </c>
      <c r="F288" s="27">
        <v>1164.0</v>
      </c>
      <c r="G288" s="27">
        <v>616.0</v>
      </c>
      <c r="H288" s="27">
        <v>324.0</v>
      </c>
      <c r="I288" s="27">
        <v>6984.0</v>
      </c>
      <c r="J288" s="27">
        <v>6636.0</v>
      </c>
      <c r="K288" s="27">
        <v>82.0</v>
      </c>
      <c r="L288" s="28" t="s">
        <v>30</v>
      </c>
      <c r="M288" s="10"/>
      <c r="N288" s="10"/>
      <c r="O288" s="28" t="str">
        <f t="shared" si="1"/>
        <v>#ThirstyForMore</v>
      </c>
      <c r="P288" s="27">
        <f t="shared" si="2"/>
        <v>1488</v>
      </c>
    </row>
    <row r="289">
      <c r="A289" s="10" t="s">
        <v>339</v>
      </c>
      <c r="B289" s="10" t="s">
        <v>24</v>
      </c>
      <c r="C289" s="26">
        <v>45764.0</v>
      </c>
      <c r="D289" s="10" t="s">
        <v>34</v>
      </c>
      <c r="E289" s="10" t="s">
        <v>49</v>
      </c>
      <c r="F289" s="27">
        <v>4780.0</v>
      </c>
      <c r="G289" s="27">
        <v>691.0</v>
      </c>
      <c r="H289" s="27">
        <v>380.0</v>
      </c>
      <c r="I289" s="27">
        <v>86040.0</v>
      </c>
      <c r="J289" s="27">
        <v>85743.0</v>
      </c>
      <c r="K289" s="27">
        <v>262.0</v>
      </c>
      <c r="L289" s="28" t="s">
        <v>16</v>
      </c>
      <c r="M289" s="10"/>
      <c r="N289" s="10"/>
      <c r="O289" s="28" t="str">
        <f t="shared" si="1"/>
        <v>#LiveForNow</v>
      </c>
      <c r="P289" s="27">
        <f t="shared" si="2"/>
        <v>5160</v>
      </c>
    </row>
    <row r="290">
      <c r="A290" s="10" t="s">
        <v>340</v>
      </c>
      <c r="B290" s="10" t="s">
        <v>33</v>
      </c>
      <c r="C290" s="26">
        <v>45624.0</v>
      </c>
      <c r="D290" s="10" t="s">
        <v>34</v>
      </c>
      <c r="E290" s="10" t="s">
        <v>35</v>
      </c>
      <c r="F290" s="27">
        <v>2751.0</v>
      </c>
      <c r="G290" s="27">
        <v>33.0</v>
      </c>
      <c r="H290" s="27">
        <v>430.0</v>
      </c>
      <c r="I290" s="27">
        <v>44016.0</v>
      </c>
      <c r="J290" s="27">
        <v>43415.0</v>
      </c>
      <c r="K290" s="27">
        <v>129.0</v>
      </c>
      <c r="L290" s="28" t="s">
        <v>16</v>
      </c>
      <c r="M290" s="10"/>
      <c r="N290" s="10"/>
      <c r="O290" s="28" t="str">
        <f t="shared" si="1"/>
        <v>#LiveForNow</v>
      </c>
      <c r="P290" s="27">
        <f t="shared" si="2"/>
        <v>3181</v>
      </c>
    </row>
    <row r="291">
      <c r="A291" s="10" t="s">
        <v>341</v>
      </c>
      <c r="B291" s="10" t="s">
        <v>27</v>
      </c>
      <c r="C291" s="26">
        <v>45646.0</v>
      </c>
      <c r="D291" s="10" t="s">
        <v>34</v>
      </c>
      <c r="E291" s="10" t="s">
        <v>62</v>
      </c>
      <c r="F291" s="27">
        <v>2107.0</v>
      </c>
      <c r="G291" s="27">
        <v>550.0</v>
      </c>
      <c r="H291" s="27">
        <v>349.0</v>
      </c>
      <c r="I291" s="27">
        <v>35819.0</v>
      </c>
      <c r="J291" s="27">
        <v>35340.0</v>
      </c>
      <c r="K291" s="27">
        <v>191.0</v>
      </c>
      <c r="L291" s="28" t="s">
        <v>30</v>
      </c>
      <c r="M291" s="10"/>
      <c r="N291" s="10"/>
      <c r="O291" s="28" t="str">
        <f t="shared" si="1"/>
        <v>#ThirstyForMore</v>
      </c>
      <c r="P291" s="27">
        <f t="shared" si="2"/>
        <v>2456</v>
      </c>
    </row>
    <row r="292">
      <c r="A292" s="10" t="s">
        <v>342</v>
      </c>
      <c r="B292" s="10" t="s">
        <v>33</v>
      </c>
      <c r="C292" s="26">
        <v>45602.0</v>
      </c>
      <c r="D292" s="10" t="s">
        <v>53</v>
      </c>
      <c r="E292" s="10" t="s">
        <v>54</v>
      </c>
      <c r="F292" s="27">
        <v>4663.0</v>
      </c>
      <c r="G292" s="27">
        <v>145.0</v>
      </c>
      <c r="H292" s="27">
        <v>225.0</v>
      </c>
      <c r="I292" s="27">
        <v>69945.0</v>
      </c>
      <c r="J292" s="27">
        <v>69596.0</v>
      </c>
      <c r="K292" s="27">
        <v>35.0</v>
      </c>
      <c r="L292" s="28" t="s">
        <v>30</v>
      </c>
      <c r="M292" s="10"/>
      <c r="N292" s="10"/>
      <c r="O292" s="28" t="str">
        <f t="shared" si="1"/>
        <v>#ThirstyForMore</v>
      </c>
      <c r="P292" s="27">
        <f t="shared" si="2"/>
        <v>4888</v>
      </c>
    </row>
    <row r="293">
      <c r="A293" s="10" t="s">
        <v>343</v>
      </c>
      <c r="B293" s="10" t="s">
        <v>33</v>
      </c>
      <c r="C293" s="26">
        <v>45613.0</v>
      </c>
      <c r="D293" s="10" t="s">
        <v>19</v>
      </c>
      <c r="E293" s="10" t="s">
        <v>42</v>
      </c>
      <c r="F293" s="27">
        <v>880.0</v>
      </c>
      <c r="G293" s="27">
        <v>297.0</v>
      </c>
      <c r="H293" s="27">
        <v>345.0</v>
      </c>
      <c r="I293" s="27">
        <v>12320.0</v>
      </c>
      <c r="J293" s="27">
        <v>11978.0</v>
      </c>
      <c r="K293" s="27">
        <v>238.0</v>
      </c>
      <c r="L293" s="28" t="s">
        <v>21</v>
      </c>
      <c r="M293" s="28" t="s">
        <v>17</v>
      </c>
      <c r="N293" s="10"/>
      <c r="O293" s="28" t="str">
        <f t="shared" si="1"/>
        <v>#PepsiCoRefresh#AnytimeIsPepsiTime</v>
      </c>
      <c r="P293" s="27">
        <f t="shared" si="2"/>
        <v>1225</v>
      </c>
    </row>
    <row r="294">
      <c r="A294" s="10" t="s">
        <v>344</v>
      </c>
      <c r="B294" s="10" t="s">
        <v>33</v>
      </c>
      <c r="C294" s="26">
        <v>45791.0</v>
      </c>
      <c r="D294" s="10" t="s">
        <v>19</v>
      </c>
      <c r="E294" s="10" t="s">
        <v>42</v>
      </c>
      <c r="F294" s="27">
        <v>2634.0</v>
      </c>
      <c r="G294" s="27">
        <v>726.0</v>
      </c>
      <c r="H294" s="27">
        <v>241.0</v>
      </c>
      <c r="I294" s="27">
        <v>28974.0</v>
      </c>
      <c r="J294" s="27">
        <v>28102.0</v>
      </c>
      <c r="K294" s="27">
        <v>277.0</v>
      </c>
      <c r="L294" s="28" t="s">
        <v>30</v>
      </c>
      <c r="M294" s="10"/>
      <c r="N294" s="10"/>
      <c r="O294" s="28" t="str">
        <f t="shared" si="1"/>
        <v>#ThirstyForMore</v>
      </c>
      <c r="P294" s="27">
        <f t="shared" si="2"/>
        <v>2875</v>
      </c>
    </row>
    <row r="295">
      <c r="A295" s="10" t="s">
        <v>345</v>
      </c>
      <c r="B295" s="10" t="s">
        <v>33</v>
      </c>
      <c r="C295" s="26">
        <v>45462.0</v>
      </c>
      <c r="D295" s="10" t="s">
        <v>34</v>
      </c>
      <c r="E295" s="10" t="s">
        <v>35</v>
      </c>
      <c r="F295" s="27">
        <v>4731.0</v>
      </c>
      <c r="G295" s="27">
        <v>173.0</v>
      </c>
      <c r="H295" s="27">
        <v>276.0</v>
      </c>
      <c r="I295" s="27">
        <v>28386.0</v>
      </c>
      <c r="J295" s="27">
        <v>28185.0</v>
      </c>
      <c r="K295" s="27">
        <v>89.0</v>
      </c>
      <c r="L295" s="28" t="s">
        <v>30</v>
      </c>
      <c r="M295" s="10"/>
      <c r="N295" s="10"/>
      <c r="O295" s="28" t="str">
        <f t="shared" si="1"/>
        <v>#ThirstyForMore</v>
      </c>
      <c r="P295" s="27">
        <f t="shared" si="2"/>
        <v>5007</v>
      </c>
    </row>
    <row r="296">
      <c r="A296" s="10" t="s">
        <v>346</v>
      </c>
      <c r="B296" s="10" t="s">
        <v>13</v>
      </c>
      <c r="C296" s="26">
        <v>45783.0</v>
      </c>
      <c r="D296" s="10" t="s">
        <v>39</v>
      </c>
      <c r="E296" s="10" t="s">
        <v>85</v>
      </c>
      <c r="F296" s="27">
        <v>1952.0</v>
      </c>
      <c r="G296" s="27">
        <v>344.0</v>
      </c>
      <c r="H296" s="27">
        <v>287.0</v>
      </c>
      <c r="I296" s="27">
        <v>15616.0</v>
      </c>
      <c r="J296" s="27">
        <v>15403.0</v>
      </c>
      <c r="K296" s="27">
        <v>235.0</v>
      </c>
      <c r="L296" s="28" t="s">
        <v>16</v>
      </c>
      <c r="M296" s="28" t="s">
        <v>21</v>
      </c>
      <c r="N296" s="28" t="s">
        <v>17</v>
      </c>
      <c r="O296" s="28" t="str">
        <f t="shared" si="1"/>
        <v>#LiveForNow#PepsiCoRefresh#AnytimeIsPepsiTime</v>
      </c>
      <c r="P296" s="27">
        <f t="shared" si="2"/>
        <v>2239</v>
      </c>
    </row>
    <row r="297">
      <c r="A297" s="10" t="s">
        <v>347</v>
      </c>
      <c r="B297" s="10" t="s">
        <v>13</v>
      </c>
      <c r="C297" s="26">
        <v>45699.0</v>
      </c>
      <c r="D297" s="10" t="s">
        <v>53</v>
      </c>
      <c r="E297" s="10" t="s">
        <v>92</v>
      </c>
      <c r="F297" s="27">
        <v>3440.0</v>
      </c>
      <c r="G297" s="27">
        <v>13.0</v>
      </c>
      <c r="H297" s="27">
        <v>20.0</v>
      </c>
      <c r="I297" s="27">
        <v>58480.0</v>
      </c>
      <c r="J297" s="27">
        <v>58146.0</v>
      </c>
      <c r="K297" s="27">
        <v>210.0</v>
      </c>
      <c r="L297" s="28" t="s">
        <v>21</v>
      </c>
      <c r="M297" s="28" t="s">
        <v>191</v>
      </c>
      <c r="N297" s="10"/>
      <c r="O297" s="28" t="str">
        <f t="shared" si="1"/>
        <v>#PepsiCoRefresh#SmoothLikeNitroPepsi</v>
      </c>
      <c r="P297" s="27">
        <f t="shared" si="2"/>
        <v>3460</v>
      </c>
    </row>
    <row r="298">
      <c r="A298" s="10" t="s">
        <v>348</v>
      </c>
      <c r="B298" s="10" t="s">
        <v>13</v>
      </c>
      <c r="C298" s="26">
        <v>45650.0</v>
      </c>
      <c r="D298" s="10" t="s">
        <v>19</v>
      </c>
      <c r="E298" s="10" t="s">
        <v>20</v>
      </c>
      <c r="F298" s="27">
        <v>2166.0</v>
      </c>
      <c r="G298" s="27">
        <v>354.0</v>
      </c>
      <c r="H298" s="27">
        <v>117.0</v>
      </c>
      <c r="I298" s="27">
        <v>10830.0</v>
      </c>
      <c r="J298" s="27">
        <v>10245.0</v>
      </c>
      <c r="K298" s="27">
        <v>24.0</v>
      </c>
      <c r="L298" s="28" t="s">
        <v>30</v>
      </c>
      <c r="M298" s="10"/>
      <c r="N298" s="10"/>
      <c r="O298" s="28" t="str">
        <f t="shared" si="1"/>
        <v>#ThirstyForMore</v>
      </c>
      <c r="P298" s="27">
        <f t="shared" si="2"/>
        <v>2283</v>
      </c>
    </row>
    <row r="299">
      <c r="A299" s="10" t="s">
        <v>349</v>
      </c>
      <c r="B299" s="10" t="s">
        <v>33</v>
      </c>
      <c r="C299" s="26">
        <v>45589.0</v>
      </c>
      <c r="D299" s="10" t="s">
        <v>39</v>
      </c>
      <c r="E299" s="10" t="s">
        <v>44</v>
      </c>
      <c r="F299" s="27">
        <v>4303.0</v>
      </c>
      <c r="G299" s="27">
        <v>451.0</v>
      </c>
      <c r="H299" s="27">
        <v>286.0</v>
      </c>
      <c r="I299" s="27">
        <v>86060.0</v>
      </c>
      <c r="J299" s="27">
        <v>85823.0</v>
      </c>
      <c r="K299" s="27">
        <v>14.0</v>
      </c>
      <c r="L299" s="28" t="s">
        <v>21</v>
      </c>
      <c r="M299" s="10"/>
      <c r="N299" s="10"/>
      <c r="O299" s="28" t="str">
        <f t="shared" si="1"/>
        <v>#PepsiCoRefresh</v>
      </c>
      <c r="P299" s="27">
        <f t="shared" si="2"/>
        <v>4589</v>
      </c>
    </row>
    <row r="300">
      <c r="A300" s="10" t="s">
        <v>350</v>
      </c>
      <c r="B300" s="10" t="s">
        <v>33</v>
      </c>
      <c r="C300" s="26">
        <v>45530.0</v>
      </c>
      <c r="D300" s="10" t="s">
        <v>39</v>
      </c>
      <c r="E300" s="10" t="s">
        <v>44</v>
      </c>
      <c r="F300" s="27">
        <v>2581.0</v>
      </c>
      <c r="G300" s="27">
        <v>517.0</v>
      </c>
      <c r="H300" s="27">
        <v>117.0</v>
      </c>
      <c r="I300" s="27">
        <v>23229.0</v>
      </c>
      <c r="J300" s="27">
        <v>22331.0</v>
      </c>
      <c r="K300" s="27">
        <v>70.0</v>
      </c>
      <c r="L300" s="28" t="s">
        <v>16</v>
      </c>
      <c r="M300" s="10"/>
      <c r="N300" s="10"/>
      <c r="O300" s="28" t="str">
        <f t="shared" si="1"/>
        <v>#LiveForNow</v>
      </c>
      <c r="P300" s="27">
        <f t="shared" si="2"/>
        <v>2698</v>
      </c>
    </row>
    <row r="301">
      <c r="A301" s="10" t="s">
        <v>351</v>
      </c>
      <c r="B301" s="10" t="s">
        <v>13</v>
      </c>
      <c r="C301" s="26">
        <v>45535.0</v>
      </c>
      <c r="D301" s="10" t="s">
        <v>34</v>
      </c>
      <c r="E301" s="10" t="s">
        <v>37</v>
      </c>
      <c r="F301" s="27">
        <v>4494.0</v>
      </c>
      <c r="G301" s="27">
        <v>717.0</v>
      </c>
      <c r="H301" s="27">
        <v>45.0</v>
      </c>
      <c r="I301" s="27">
        <v>62916.0</v>
      </c>
      <c r="J301" s="27">
        <v>62688.0</v>
      </c>
      <c r="K301" s="27">
        <v>191.0</v>
      </c>
      <c r="L301" s="28" t="s">
        <v>21</v>
      </c>
      <c r="M301" s="28" t="s">
        <v>30</v>
      </c>
      <c r="N301" s="28" t="s">
        <v>22</v>
      </c>
      <c r="O301" s="28" t="str">
        <f t="shared" si="1"/>
        <v>#PepsiCoRefresh#ThirstyForMore#BetterWithPepsi</v>
      </c>
      <c r="P301" s="27">
        <f t="shared" si="2"/>
        <v>4539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0"/>
  </cols>
  <sheetData>
    <row r="1">
      <c r="A1" s="62" t="s">
        <v>406</v>
      </c>
      <c r="B1" s="63" t="s">
        <v>3</v>
      </c>
      <c r="C1" s="64"/>
      <c r="D1" s="64"/>
      <c r="E1" s="64"/>
      <c r="F1" s="64"/>
      <c r="G1" s="64"/>
      <c r="H1" s="64"/>
    </row>
    <row r="2">
      <c r="A2" s="30" t="s">
        <v>1</v>
      </c>
      <c r="B2" s="65" t="s">
        <v>34</v>
      </c>
      <c r="C2" s="65" t="s">
        <v>39</v>
      </c>
      <c r="D2" s="65" t="s">
        <v>14</v>
      </c>
      <c r="E2" s="65" t="s">
        <v>28</v>
      </c>
      <c r="F2" s="65" t="s">
        <v>19</v>
      </c>
      <c r="G2" s="65" t="s">
        <v>53</v>
      </c>
      <c r="H2" s="31" t="s">
        <v>387</v>
      </c>
    </row>
    <row r="3">
      <c r="A3" s="44" t="s">
        <v>33</v>
      </c>
      <c r="B3" s="34">
        <v>3504.6428571428573</v>
      </c>
      <c r="C3" s="34">
        <v>3123.88</v>
      </c>
      <c r="D3" s="34">
        <v>3611.0</v>
      </c>
      <c r="E3" s="34">
        <v>2966.181818181818</v>
      </c>
      <c r="F3" s="34">
        <v>2718.4615384615386</v>
      </c>
      <c r="G3" s="34">
        <v>3467.777777777778</v>
      </c>
      <c r="H3" s="34">
        <v>3205.5542168674697</v>
      </c>
    </row>
    <row r="4">
      <c r="A4" s="44" t="s">
        <v>27</v>
      </c>
      <c r="B4" s="34">
        <v>2814.0</v>
      </c>
      <c r="C4" s="34">
        <v>3685.7</v>
      </c>
      <c r="D4" s="34">
        <v>2733.3846153846152</v>
      </c>
      <c r="E4" s="34">
        <v>2735.0</v>
      </c>
      <c r="F4" s="34">
        <v>2751.3</v>
      </c>
      <c r="G4" s="34">
        <v>2324.8333333333335</v>
      </c>
      <c r="H4" s="34">
        <v>2811.8354430379745</v>
      </c>
    </row>
    <row r="5">
      <c r="A5" s="44" t="s">
        <v>13</v>
      </c>
      <c r="B5" s="34">
        <v>3073.8823529411766</v>
      </c>
      <c r="C5" s="34">
        <v>2572.9473684210525</v>
      </c>
      <c r="D5" s="34">
        <v>2631.090909090909</v>
      </c>
      <c r="E5" s="34">
        <v>2610.222222222222</v>
      </c>
      <c r="F5" s="34">
        <v>3255.3636363636365</v>
      </c>
      <c r="G5" s="34">
        <v>2741.0</v>
      </c>
      <c r="H5" s="34">
        <v>2813.6329113924053</v>
      </c>
    </row>
    <row r="6">
      <c r="A6" s="44" t="s">
        <v>24</v>
      </c>
      <c r="B6" s="34">
        <v>2486.181818181818</v>
      </c>
      <c r="C6" s="34">
        <v>2886.6666666666665</v>
      </c>
      <c r="D6" s="34">
        <v>2922.3333333333335</v>
      </c>
      <c r="E6" s="34">
        <v>3775.5555555555557</v>
      </c>
      <c r="F6" s="34">
        <v>3514.875</v>
      </c>
      <c r="G6" s="34">
        <v>3387.4</v>
      </c>
      <c r="H6" s="34">
        <v>3124.898305084746</v>
      </c>
    </row>
    <row r="7">
      <c r="A7" s="38" t="s">
        <v>387</v>
      </c>
      <c r="B7" s="40">
        <v>2991.64406779661</v>
      </c>
      <c r="C7" s="40">
        <v>3013.0158730158732</v>
      </c>
      <c r="D7" s="40">
        <v>2963.0851063829787</v>
      </c>
      <c r="E7" s="40">
        <v>2969.4565217391305</v>
      </c>
      <c r="F7" s="40">
        <v>3018.595238095238</v>
      </c>
      <c r="G7" s="40">
        <v>2927.3023255813955</v>
      </c>
      <c r="H7" s="40">
        <v>2982.806666666667</v>
      </c>
    </row>
    <row r="33">
      <c r="D33" s="66" t="s">
        <v>407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4.5"/>
    <col customWidth="1" min="2" max="2" width="25.88"/>
    <col customWidth="1" min="3" max="3" width="44.5"/>
    <col customWidth="1" min="21" max="21" width="31.25"/>
    <col customWidth="1" min="22" max="22" width="15.63"/>
    <col customWidth="1" min="23" max="23" width="15.13"/>
  </cols>
  <sheetData>
    <row r="1">
      <c r="A1" s="67"/>
      <c r="B1" s="63" t="s">
        <v>408</v>
      </c>
      <c r="C1" s="68" t="s">
        <v>409</v>
      </c>
      <c r="D1" s="67"/>
      <c r="E1" s="67"/>
      <c r="F1" s="67"/>
      <c r="G1" s="67"/>
      <c r="H1" s="67"/>
      <c r="I1" s="67"/>
      <c r="J1" s="67"/>
      <c r="K1" s="67"/>
      <c r="L1" s="64"/>
      <c r="M1" s="67"/>
      <c r="N1" s="67"/>
      <c r="O1" s="64"/>
      <c r="P1" s="69"/>
      <c r="Q1" s="69"/>
      <c r="R1" s="64"/>
      <c r="S1" s="64"/>
      <c r="T1" s="64"/>
      <c r="U1" s="64"/>
      <c r="V1" s="70"/>
      <c r="W1" s="70"/>
      <c r="X1" s="70"/>
      <c r="Y1" s="70"/>
      <c r="Z1" s="70"/>
    </row>
    <row r="2">
      <c r="A2" s="67"/>
      <c r="B2" s="71" t="s">
        <v>410</v>
      </c>
      <c r="C2" s="72"/>
      <c r="D2" s="73"/>
      <c r="E2" s="73"/>
      <c r="F2" s="73"/>
      <c r="G2" s="71" t="s">
        <v>411</v>
      </c>
      <c r="H2" s="73"/>
      <c r="I2" s="73"/>
      <c r="J2" s="73"/>
      <c r="K2" s="73"/>
      <c r="L2" s="74" t="s">
        <v>412</v>
      </c>
      <c r="M2" s="75"/>
      <c r="N2" s="73"/>
      <c r="O2" s="75"/>
      <c r="P2" s="72"/>
      <c r="Q2" s="76" t="s">
        <v>387</v>
      </c>
      <c r="R2" s="75"/>
      <c r="S2" s="73"/>
      <c r="T2" s="75"/>
      <c r="U2" s="75"/>
      <c r="V2" s="70"/>
      <c r="W2" s="70"/>
      <c r="X2" s="70"/>
      <c r="Y2" s="70"/>
      <c r="Z2" s="70"/>
    </row>
    <row r="3">
      <c r="A3" s="30" t="s">
        <v>358</v>
      </c>
      <c r="B3" s="77" t="s">
        <v>380</v>
      </c>
      <c r="C3" s="78" t="s">
        <v>381</v>
      </c>
      <c r="D3" s="77" t="s">
        <v>413</v>
      </c>
      <c r="E3" s="77" t="s">
        <v>382</v>
      </c>
      <c r="F3" s="77" t="s">
        <v>414</v>
      </c>
      <c r="G3" s="77" t="s">
        <v>380</v>
      </c>
      <c r="H3" s="77" t="s">
        <v>381</v>
      </c>
      <c r="I3" s="77" t="s">
        <v>413</v>
      </c>
      <c r="J3" s="77" t="s">
        <v>382</v>
      </c>
      <c r="K3" s="77" t="s">
        <v>414</v>
      </c>
      <c r="L3" s="79" t="s">
        <v>380</v>
      </c>
      <c r="M3" s="79" t="s">
        <v>381</v>
      </c>
      <c r="N3" s="80" t="s">
        <v>413</v>
      </c>
      <c r="O3" s="79" t="s">
        <v>382</v>
      </c>
      <c r="P3" s="78" t="s">
        <v>414</v>
      </c>
      <c r="Q3" s="78" t="s">
        <v>380</v>
      </c>
      <c r="R3" s="79" t="s">
        <v>381</v>
      </c>
      <c r="S3" s="77" t="s">
        <v>413</v>
      </c>
      <c r="T3" s="79" t="s">
        <v>382</v>
      </c>
      <c r="U3" s="79" t="s">
        <v>414</v>
      </c>
      <c r="V3" s="81" t="s">
        <v>415</v>
      </c>
      <c r="W3" s="81" t="s">
        <v>416</v>
      </c>
      <c r="X3" s="81" t="s">
        <v>417</v>
      </c>
      <c r="Y3" s="81" t="s">
        <v>418</v>
      </c>
      <c r="Z3" s="81" t="s">
        <v>419</v>
      </c>
    </row>
    <row r="4">
      <c r="A4" s="44"/>
      <c r="B4" s="34">
        <v>146200.0</v>
      </c>
      <c r="C4" s="34">
        <v>25284.0</v>
      </c>
      <c r="D4" s="34">
        <v>1794968.0</v>
      </c>
      <c r="E4" s="34">
        <v>13105.0</v>
      </c>
      <c r="F4" s="34">
        <v>8131.0</v>
      </c>
      <c r="G4" s="34">
        <v>3960.0</v>
      </c>
      <c r="H4" s="34">
        <v>266.0</v>
      </c>
      <c r="I4" s="34">
        <v>35640.0</v>
      </c>
      <c r="J4" s="34">
        <v>8.0</v>
      </c>
      <c r="K4" s="34">
        <v>208.0</v>
      </c>
      <c r="L4" s="82"/>
      <c r="M4" s="83"/>
      <c r="N4" s="83"/>
      <c r="O4" s="82"/>
      <c r="P4" s="84"/>
      <c r="Q4" s="34">
        <v>150160.0</v>
      </c>
      <c r="R4" s="34">
        <v>25550.0</v>
      </c>
      <c r="S4" s="34">
        <v>1830608.0</v>
      </c>
      <c r="T4" s="34">
        <v>13113.0</v>
      </c>
      <c r="U4" s="34">
        <v>8339.0</v>
      </c>
      <c r="V4" s="70"/>
      <c r="W4" s="70"/>
      <c r="X4" s="70"/>
      <c r="Y4" s="70"/>
      <c r="Z4" s="70"/>
    </row>
    <row r="5">
      <c r="A5" s="44" t="s">
        <v>375</v>
      </c>
      <c r="B5" s="83"/>
      <c r="C5" s="84"/>
      <c r="D5" s="83"/>
      <c r="E5" s="83"/>
      <c r="F5" s="83"/>
      <c r="G5" s="34">
        <v>5189.0</v>
      </c>
      <c r="H5" s="34">
        <v>1144.0</v>
      </c>
      <c r="I5" s="34">
        <v>76007.0</v>
      </c>
      <c r="J5" s="34">
        <v>631.0</v>
      </c>
      <c r="K5" s="34">
        <v>386.0</v>
      </c>
      <c r="L5" s="34">
        <v>182720.0</v>
      </c>
      <c r="M5" s="34">
        <v>33716.0</v>
      </c>
      <c r="N5" s="34">
        <v>2388857.0</v>
      </c>
      <c r="O5" s="34">
        <v>17083.0</v>
      </c>
      <c r="P5" s="34">
        <v>10303.0</v>
      </c>
      <c r="Q5" s="34">
        <v>187909.0</v>
      </c>
      <c r="R5" s="34">
        <v>34860.0</v>
      </c>
      <c r="S5" s="34">
        <v>2464864.0</v>
      </c>
      <c r="T5" s="34">
        <v>17714.0</v>
      </c>
      <c r="U5" s="34">
        <v>10689.0</v>
      </c>
      <c r="V5" s="53">
        <f t="shared" ref="V5:Z5" si="1">IF(G5=0, 0, (M5 - G5) / G5 * 100)
</f>
        <v>549.7591058</v>
      </c>
      <c r="W5" s="53">
        <f t="shared" si="1"/>
        <v>208716.1713</v>
      </c>
      <c r="X5" s="53">
        <f t="shared" si="1"/>
        <v>-77.52443854</v>
      </c>
      <c r="Y5" s="53">
        <f t="shared" si="1"/>
        <v>1532.805071</v>
      </c>
      <c r="Z5" s="53">
        <f t="shared" si="1"/>
        <v>48581.08808</v>
      </c>
    </row>
    <row r="6">
      <c r="A6" s="44" t="s">
        <v>368</v>
      </c>
      <c r="B6" s="83"/>
      <c r="C6" s="84"/>
      <c r="D6" s="83"/>
      <c r="E6" s="83"/>
      <c r="F6" s="83"/>
      <c r="G6" s="34">
        <v>6299.0</v>
      </c>
      <c r="H6" s="34">
        <v>1060.0</v>
      </c>
      <c r="I6" s="34">
        <v>77626.0</v>
      </c>
      <c r="J6" s="34">
        <v>802.0</v>
      </c>
      <c r="K6" s="34">
        <v>454.0</v>
      </c>
      <c r="L6" s="34">
        <v>153484.0</v>
      </c>
      <c r="M6" s="34">
        <v>25493.0</v>
      </c>
      <c r="N6" s="34">
        <v>1908730.0</v>
      </c>
      <c r="O6" s="34">
        <v>14601.0</v>
      </c>
      <c r="P6" s="34">
        <v>9418.0</v>
      </c>
      <c r="Q6" s="34">
        <v>159783.0</v>
      </c>
      <c r="R6" s="34">
        <v>26553.0</v>
      </c>
      <c r="S6" s="34">
        <v>1986356.0</v>
      </c>
      <c r="T6" s="34">
        <v>15403.0</v>
      </c>
      <c r="U6" s="34">
        <v>9872.0</v>
      </c>
      <c r="V6" s="53">
        <f t="shared" ref="V6:Z6" si="2">IF(G6=0, 0, (M6 - G6) / G6 * 100)
</f>
        <v>304.7150341</v>
      </c>
      <c r="W6" s="53">
        <f t="shared" si="2"/>
        <v>179968.8679</v>
      </c>
      <c r="X6" s="53">
        <f t="shared" si="2"/>
        <v>-81.19058048</v>
      </c>
      <c r="Y6" s="53">
        <f t="shared" si="2"/>
        <v>1074.314214</v>
      </c>
      <c r="Z6" s="53">
        <f t="shared" si="2"/>
        <v>35094.49339</v>
      </c>
    </row>
    <row r="7">
      <c r="A7" s="44" t="s">
        <v>372</v>
      </c>
      <c r="B7" s="83"/>
      <c r="C7" s="84"/>
      <c r="D7" s="83"/>
      <c r="E7" s="83"/>
      <c r="F7" s="83"/>
      <c r="G7" s="34">
        <v>6890.0</v>
      </c>
      <c r="H7" s="34">
        <v>2024.0</v>
      </c>
      <c r="I7" s="34">
        <v>103622.0</v>
      </c>
      <c r="J7" s="34">
        <v>1032.0</v>
      </c>
      <c r="K7" s="34">
        <v>439.0</v>
      </c>
      <c r="L7" s="34">
        <v>176456.0</v>
      </c>
      <c r="M7" s="34">
        <v>30885.0</v>
      </c>
      <c r="N7" s="34">
        <v>2162431.0</v>
      </c>
      <c r="O7" s="34">
        <v>15534.0</v>
      </c>
      <c r="P7" s="34">
        <v>9593.0</v>
      </c>
      <c r="Q7" s="34">
        <v>183346.0</v>
      </c>
      <c r="R7" s="34">
        <v>32909.0</v>
      </c>
      <c r="S7" s="34">
        <v>2266053.0</v>
      </c>
      <c r="T7" s="34">
        <v>16566.0</v>
      </c>
      <c r="U7" s="34">
        <v>10032.0</v>
      </c>
      <c r="V7" s="53">
        <f t="shared" ref="V7:Z7" si="3">IF(G7=0, 0, (M7 - G7) / G7 * 100)
</f>
        <v>348.2583454</v>
      </c>
      <c r="W7" s="53">
        <f t="shared" si="3"/>
        <v>106739.4763</v>
      </c>
      <c r="X7" s="53">
        <f t="shared" si="3"/>
        <v>-85.00897493</v>
      </c>
      <c r="Y7" s="53">
        <f t="shared" si="3"/>
        <v>829.5542636</v>
      </c>
      <c r="Z7" s="53">
        <f t="shared" si="3"/>
        <v>41664.46469</v>
      </c>
    </row>
    <row r="8">
      <c r="A8" s="44" t="s">
        <v>365</v>
      </c>
      <c r="B8" s="83"/>
      <c r="C8" s="84"/>
      <c r="D8" s="83"/>
      <c r="E8" s="83"/>
      <c r="F8" s="83"/>
      <c r="G8" s="34">
        <v>4494.0</v>
      </c>
      <c r="H8" s="34">
        <v>717.0</v>
      </c>
      <c r="I8" s="34">
        <v>62916.0</v>
      </c>
      <c r="J8" s="34">
        <v>45.0</v>
      </c>
      <c r="K8" s="34">
        <v>191.0</v>
      </c>
      <c r="L8" s="34">
        <v>134299.0</v>
      </c>
      <c r="M8" s="34">
        <v>22336.0</v>
      </c>
      <c r="N8" s="34">
        <v>1783356.0</v>
      </c>
      <c r="O8" s="34">
        <v>12010.0</v>
      </c>
      <c r="P8" s="34">
        <v>6243.0</v>
      </c>
      <c r="Q8" s="34">
        <v>138793.0</v>
      </c>
      <c r="R8" s="34">
        <v>23053.0</v>
      </c>
      <c r="S8" s="34">
        <v>1846272.0</v>
      </c>
      <c r="T8" s="34">
        <v>12055.0</v>
      </c>
      <c r="U8" s="34">
        <v>6434.0</v>
      </c>
      <c r="V8" s="53">
        <f t="shared" ref="V8:Z8" si="4">IF(G8=0, 0, (M8 - G8) / G8 * 100)
</f>
        <v>397.0182466</v>
      </c>
      <c r="W8" s="53">
        <f t="shared" si="4"/>
        <v>248624.6862</v>
      </c>
      <c r="X8" s="53">
        <f t="shared" si="4"/>
        <v>-80.91105601</v>
      </c>
      <c r="Y8" s="53">
        <f t="shared" si="4"/>
        <v>13773.33333</v>
      </c>
      <c r="Z8" s="53">
        <f t="shared" si="4"/>
        <v>72566.49215</v>
      </c>
    </row>
    <row r="9">
      <c r="A9" s="85" t="s">
        <v>387</v>
      </c>
      <c r="B9" s="40">
        <v>146200.0</v>
      </c>
      <c r="C9" s="40">
        <v>25284.0</v>
      </c>
      <c r="D9" s="40">
        <v>1794968.0</v>
      </c>
      <c r="E9" s="40">
        <v>13105.0</v>
      </c>
      <c r="F9" s="40">
        <v>8131.0</v>
      </c>
      <c r="G9" s="40">
        <v>26832.0</v>
      </c>
      <c r="H9" s="40">
        <v>5211.0</v>
      </c>
      <c r="I9" s="40">
        <v>355811.0</v>
      </c>
      <c r="J9" s="40">
        <v>2518.0</v>
      </c>
      <c r="K9" s="40">
        <v>1678.0</v>
      </c>
      <c r="L9" s="40">
        <v>646959.0</v>
      </c>
      <c r="M9" s="40">
        <v>112430.0</v>
      </c>
      <c r="N9" s="40">
        <v>8243374.0</v>
      </c>
      <c r="O9" s="40">
        <v>59228.0</v>
      </c>
      <c r="P9" s="40">
        <v>35557.0</v>
      </c>
      <c r="Q9" s="40">
        <v>819991.0</v>
      </c>
      <c r="R9" s="40">
        <v>142925.0</v>
      </c>
      <c r="S9" s="40">
        <v>1.0394153E7</v>
      </c>
      <c r="T9" s="40">
        <v>74851.0</v>
      </c>
      <c r="U9" s="40">
        <v>45366.0</v>
      </c>
      <c r="V9" s="53">
        <f t="shared" ref="V9:Z9" si="5">IF(G9=0, 0, (M9 - G9) / G9 * 100)
</f>
        <v>319.0146094</v>
      </c>
      <c r="W9" s="53">
        <f t="shared" si="5"/>
        <v>158091.7866</v>
      </c>
      <c r="X9" s="53">
        <f t="shared" si="5"/>
        <v>-83.35408405</v>
      </c>
      <c r="Y9" s="53">
        <f t="shared" si="5"/>
        <v>1312.112788</v>
      </c>
      <c r="Z9" s="53">
        <f t="shared" si="5"/>
        <v>48767.16329</v>
      </c>
    </row>
    <row r="10">
      <c r="A10" s="10"/>
      <c r="B10" s="10"/>
      <c r="C10" s="26"/>
      <c r="D10" s="10"/>
      <c r="E10" s="10"/>
      <c r="F10" s="27"/>
      <c r="G10" s="27"/>
      <c r="H10" s="27"/>
      <c r="I10" s="27"/>
      <c r="J10" s="27"/>
      <c r="K10" s="27"/>
      <c r="L10" s="28"/>
      <c r="M10" s="10"/>
      <c r="N10" s="10"/>
      <c r="O10" s="28"/>
      <c r="P10" s="26"/>
      <c r="Q10" s="26"/>
      <c r="R10" s="28"/>
      <c r="S10" s="27"/>
      <c r="T10" s="29"/>
    </row>
    <row r="11">
      <c r="A11" s="10"/>
      <c r="B11" s="10"/>
      <c r="C11" s="26"/>
      <c r="D11" s="10"/>
      <c r="E11" s="10"/>
      <c r="F11" s="27"/>
      <c r="G11" s="27"/>
      <c r="H11" s="27"/>
      <c r="I11" s="27"/>
      <c r="J11" s="27"/>
      <c r="K11" s="27"/>
      <c r="L11" s="28"/>
      <c r="M11" s="10"/>
      <c r="N11" s="10"/>
      <c r="O11" s="28"/>
      <c r="P11" s="26"/>
      <c r="Q11" s="26"/>
      <c r="R11" s="28"/>
      <c r="S11" s="27"/>
      <c r="T11" s="29"/>
    </row>
    <row r="12">
      <c r="A12" s="10"/>
      <c r="B12" s="10"/>
      <c r="C12" s="26"/>
      <c r="D12" s="10"/>
      <c r="E12" s="10"/>
      <c r="F12" s="27"/>
      <c r="G12" s="27"/>
      <c r="H12" s="27"/>
      <c r="I12" s="27"/>
      <c r="J12" s="27"/>
      <c r="K12" s="27"/>
      <c r="L12" s="28"/>
      <c r="M12" s="10"/>
      <c r="N12" s="10"/>
      <c r="O12" s="28"/>
      <c r="P12" s="26"/>
      <c r="Q12" s="26"/>
      <c r="R12" s="28"/>
      <c r="S12" s="27"/>
      <c r="T12" s="29"/>
    </row>
    <row r="13">
      <c r="A13" s="10"/>
      <c r="B13" s="10"/>
      <c r="C13" s="26"/>
      <c r="D13" s="10"/>
      <c r="E13" s="10"/>
      <c r="F13" s="27"/>
      <c r="G13" s="27"/>
      <c r="H13" s="27"/>
      <c r="I13" s="27"/>
      <c r="J13" s="27"/>
      <c r="K13" s="27"/>
      <c r="L13" s="28"/>
      <c r="M13" s="10"/>
      <c r="N13" s="10"/>
      <c r="O13" s="28"/>
      <c r="P13" s="26"/>
      <c r="Q13" s="26"/>
      <c r="R13" s="28"/>
      <c r="S13" s="27"/>
      <c r="T13" s="29"/>
    </row>
    <row r="14">
      <c r="A14" s="10"/>
      <c r="B14" s="10"/>
      <c r="C14" s="26"/>
      <c r="D14" s="10"/>
      <c r="E14" s="10"/>
      <c r="F14" s="27"/>
      <c r="G14" s="27"/>
      <c r="H14" s="27"/>
      <c r="I14" s="27"/>
      <c r="J14" s="27"/>
      <c r="K14" s="27"/>
      <c r="L14" s="28"/>
      <c r="M14" s="10"/>
      <c r="N14" s="10"/>
      <c r="O14" s="28"/>
      <c r="P14" s="26"/>
      <c r="Q14" s="26"/>
      <c r="R14" s="28"/>
      <c r="S14" s="27"/>
      <c r="T14" s="29"/>
    </row>
    <row r="15">
      <c r="A15" s="10"/>
      <c r="B15" s="10"/>
      <c r="C15" s="26"/>
      <c r="D15" s="10"/>
      <c r="E15" s="10"/>
      <c r="F15" s="27"/>
      <c r="G15" s="27"/>
      <c r="H15" s="27"/>
      <c r="I15" s="27"/>
      <c r="J15" s="27"/>
      <c r="K15" s="27"/>
      <c r="L15" s="28"/>
      <c r="M15" s="10"/>
      <c r="N15" s="10"/>
      <c r="O15" s="28"/>
      <c r="P15" s="86"/>
      <c r="Q15" s="86"/>
      <c r="R15" s="28"/>
      <c r="S15" s="27"/>
      <c r="T15" s="29"/>
      <c r="W15" s="24"/>
    </row>
    <row r="16">
      <c r="A16" s="10"/>
      <c r="B16" s="10"/>
      <c r="C16" s="26"/>
      <c r="D16" s="10"/>
      <c r="E16" s="10"/>
      <c r="F16" s="27"/>
      <c r="G16" s="27"/>
      <c r="H16" s="27"/>
      <c r="I16" s="27"/>
      <c r="J16" s="27"/>
      <c r="K16" s="27"/>
      <c r="L16" s="28"/>
      <c r="M16" s="10"/>
      <c r="N16" s="10"/>
      <c r="O16" s="28"/>
      <c r="P16" s="26"/>
      <c r="Q16" s="26"/>
      <c r="R16" s="28"/>
      <c r="S16" s="27"/>
      <c r="T16" s="29"/>
    </row>
    <row r="17">
      <c r="A17" s="10"/>
      <c r="B17" s="10"/>
      <c r="C17" s="26"/>
      <c r="D17" s="10"/>
      <c r="E17" s="10"/>
      <c r="F17" s="27"/>
      <c r="G17" s="27"/>
      <c r="H17" s="27"/>
      <c r="I17" s="27"/>
      <c r="J17" s="27"/>
      <c r="K17" s="27"/>
      <c r="L17" s="28"/>
      <c r="M17" s="10"/>
      <c r="N17" s="10"/>
      <c r="O17" s="28"/>
      <c r="P17" s="26"/>
      <c r="Q17" s="26"/>
      <c r="R17" s="28"/>
      <c r="S17" s="27"/>
      <c r="T17" s="29"/>
    </row>
    <row r="18">
      <c r="A18" s="10"/>
      <c r="B18" s="10"/>
      <c r="C18" s="26"/>
      <c r="D18" s="10"/>
      <c r="E18" s="10"/>
      <c r="F18" s="27"/>
      <c r="G18" s="27"/>
      <c r="H18" s="27"/>
      <c r="I18" s="27"/>
      <c r="J18" s="27"/>
      <c r="K18" s="27"/>
      <c r="L18" s="28"/>
      <c r="M18" s="10"/>
      <c r="N18" s="10"/>
      <c r="O18" s="28"/>
      <c r="P18" s="26"/>
      <c r="Q18" s="26"/>
      <c r="R18" s="28"/>
      <c r="S18" s="27"/>
      <c r="T18" s="29"/>
    </row>
    <row r="19">
      <c r="A19" s="10"/>
      <c r="B19" s="10"/>
      <c r="C19" s="26"/>
      <c r="D19" s="10"/>
      <c r="E19" s="10"/>
      <c r="F19" s="27"/>
      <c r="G19" s="27"/>
      <c r="H19" s="27"/>
      <c r="I19" s="27"/>
      <c r="J19" s="27"/>
      <c r="K19" s="27"/>
      <c r="L19" s="28"/>
      <c r="M19" s="10"/>
      <c r="N19" s="10"/>
      <c r="O19" s="28"/>
      <c r="P19" s="26"/>
      <c r="Q19" s="26"/>
      <c r="R19" s="28"/>
      <c r="S19" s="27"/>
      <c r="T19" s="29"/>
    </row>
    <row r="20">
      <c r="A20" s="10"/>
      <c r="B20" s="10"/>
      <c r="C20" s="26"/>
      <c r="D20" s="10"/>
      <c r="E20" s="10"/>
      <c r="F20" s="27"/>
      <c r="G20" s="27"/>
      <c r="H20" s="27"/>
      <c r="I20" s="27"/>
      <c r="J20" s="27"/>
      <c r="K20" s="27"/>
      <c r="L20" s="28"/>
      <c r="M20" s="10"/>
      <c r="N20" s="10"/>
      <c r="O20" s="28"/>
      <c r="P20" s="26"/>
      <c r="Q20" s="26"/>
      <c r="R20" s="28"/>
      <c r="S20" s="27"/>
      <c r="T20" s="29"/>
    </row>
    <row r="21">
      <c r="A21" s="10"/>
      <c r="B21" s="10"/>
      <c r="C21" s="26"/>
      <c r="D21" s="10"/>
      <c r="E21" s="10"/>
      <c r="F21" s="27"/>
      <c r="G21" s="27"/>
      <c r="H21" s="27"/>
      <c r="I21" s="27"/>
      <c r="J21" s="27"/>
      <c r="K21" s="27"/>
      <c r="L21" s="28"/>
      <c r="M21" s="10"/>
      <c r="N21" s="10"/>
      <c r="O21" s="28"/>
      <c r="P21" s="26"/>
      <c r="Q21" s="26"/>
      <c r="R21" s="28"/>
      <c r="S21" s="27"/>
      <c r="T21" s="29"/>
    </row>
    <row r="22">
      <c r="A22" s="10"/>
      <c r="B22" s="10"/>
      <c r="C22" s="26"/>
      <c r="D22" s="10"/>
      <c r="E22" s="10"/>
      <c r="F22" s="27"/>
      <c r="G22" s="27"/>
      <c r="H22" s="27"/>
      <c r="I22" s="27"/>
      <c r="J22" s="27"/>
      <c r="K22" s="27"/>
      <c r="L22" s="28"/>
      <c r="M22" s="10"/>
      <c r="N22" s="10"/>
      <c r="O22" s="28"/>
      <c r="P22" s="26"/>
      <c r="Q22" s="26"/>
      <c r="R22" s="28"/>
      <c r="S22" s="27"/>
      <c r="T22" s="29"/>
    </row>
    <row r="23">
      <c r="A23" s="10"/>
      <c r="B23" s="10"/>
      <c r="C23" s="26"/>
      <c r="D23" s="10"/>
      <c r="E23" s="10"/>
      <c r="F23" s="27"/>
      <c r="G23" s="27"/>
      <c r="H23" s="27"/>
      <c r="I23" s="27"/>
      <c r="J23" s="27"/>
      <c r="K23" s="27"/>
      <c r="L23" s="28"/>
      <c r="M23" s="10"/>
      <c r="N23" s="10"/>
      <c r="O23" s="28"/>
      <c r="P23" s="26"/>
      <c r="Q23" s="26"/>
      <c r="R23" s="28"/>
      <c r="S23" s="27"/>
      <c r="T23" s="29"/>
    </row>
    <row r="24">
      <c r="A24" s="10"/>
      <c r="B24" s="10"/>
      <c r="C24" s="26"/>
      <c r="D24" s="10"/>
      <c r="E24" s="10"/>
      <c r="F24" s="27"/>
      <c r="G24" s="27"/>
      <c r="H24" s="27"/>
      <c r="I24" s="27"/>
      <c r="J24" s="27"/>
      <c r="K24" s="27"/>
      <c r="L24" s="28"/>
      <c r="M24" s="28"/>
      <c r="N24" s="10"/>
      <c r="O24" s="28"/>
      <c r="P24" s="26"/>
      <c r="Q24" s="26"/>
      <c r="R24" s="28"/>
      <c r="S24" s="27"/>
      <c r="T24" s="29"/>
    </row>
    <row r="25">
      <c r="A25" s="10"/>
      <c r="B25" s="10"/>
      <c r="C25" s="26"/>
      <c r="D25" s="10"/>
      <c r="E25" s="10"/>
      <c r="F25" s="27"/>
      <c r="G25" s="27"/>
      <c r="H25" s="27"/>
      <c r="I25" s="27"/>
      <c r="J25" s="27"/>
      <c r="K25" s="27"/>
      <c r="L25" s="28"/>
      <c r="M25" s="10"/>
      <c r="N25" s="10"/>
      <c r="O25" s="28"/>
      <c r="P25" s="26"/>
      <c r="Q25" s="26"/>
      <c r="R25" s="28"/>
      <c r="S25" s="27"/>
      <c r="T25" s="29"/>
    </row>
    <row r="26">
      <c r="A26" s="10"/>
      <c r="B26" s="10"/>
      <c r="C26" s="26"/>
      <c r="D26" s="10"/>
      <c r="E26" s="10"/>
      <c r="F26" s="27"/>
      <c r="G26" s="27"/>
      <c r="H26" s="27"/>
      <c r="I26" s="27"/>
      <c r="J26" s="27"/>
      <c r="K26" s="27"/>
      <c r="L26" s="28"/>
      <c r="M26" s="10"/>
      <c r="N26" s="10"/>
      <c r="O26" s="28"/>
      <c r="P26" s="86"/>
      <c r="Q26" s="86"/>
      <c r="R26" s="28"/>
      <c r="S26" s="27"/>
      <c r="T26" s="29"/>
    </row>
    <row r="27">
      <c r="A27" s="10"/>
      <c r="B27" s="10"/>
      <c r="C27" s="26"/>
      <c r="D27" s="10"/>
      <c r="E27" s="10"/>
      <c r="F27" s="27"/>
      <c r="G27" s="27"/>
      <c r="H27" s="27"/>
      <c r="I27" s="27"/>
      <c r="J27" s="27"/>
      <c r="K27" s="27"/>
      <c r="L27" s="28"/>
      <c r="M27" s="10"/>
      <c r="N27" s="10"/>
      <c r="O27" s="28"/>
      <c r="P27" s="26"/>
      <c r="Q27" s="26"/>
      <c r="R27" s="28"/>
      <c r="S27" s="27"/>
      <c r="T27" s="29"/>
    </row>
    <row r="28">
      <c r="A28" s="10"/>
      <c r="B28" s="10"/>
      <c r="C28" s="26"/>
      <c r="D28" s="10"/>
      <c r="E28" s="10"/>
      <c r="F28" s="27"/>
      <c r="G28" s="27"/>
      <c r="H28" s="27"/>
      <c r="I28" s="27"/>
      <c r="J28" s="27"/>
      <c r="K28" s="27"/>
      <c r="L28" s="28"/>
      <c r="M28" s="10"/>
      <c r="N28" s="10"/>
      <c r="O28" s="28"/>
      <c r="P28" s="26"/>
      <c r="Q28" s="26"/>
      <c r="R28" s="28"/>
      <c r="S28" s="27"/>
      <c r="T28" s="29"/>
    </row>
    <row r="29">
      <c r="A29" s="10"/>
      <c r="B29" s="10"/>
      <c r="C29" s="26"/>
      <c r="D29" s="10"/>
      <c r="E29" s="10"/>
      <c r="F29" s="27"/>
      <c r="G29" s="27"/>
      <c r="H29" s="27"/>
      <c r="I29" s="27"/>
      <c r="J29" s="27"/>
      <c r="K29" s="27"/>
      <c r="L29" s="28"/>
      <c r="M29" s="10"/>
      <c r="N29" s="10"/>
      <c r="O29" s="28"/>
      <c r="P29" s="26"/>
      <c r="Q29" s="26"/>
      <c r="R29" s="28"/>
      <c r="S29" s="27"/>
      <c r="T29" s="29"/>
    </row>
    <row r="30">
      <c r="A30" s="10"/>
      <c r="B30" s="10"/>
      <c r="C30" s="26"/>
      <c r="D30" s="10"/>
      <c r="E30" s="10"/>
      <c r="F30" s="27"/>
      <c r="G30" s="27"/>
      <c r="H30" s="27"/>
      <c r="I30" s="27"/>
      <c r="J30" s="27"/>
      <c r="K30" s="27"/>
      <c r="L30" s="28"/>
      <c r="M30" s="10"/>
      <c r="N30" s="10"/>
      <c r="O30" s="28"/>
      <c r="P30" s="26"/>
      <c r="Q30" s="26"/>
      <c r="R30" s="28"/>
      <c r="S30" s="27"/>
      <c r="T30" s="29"/>
    </row>
    <row r="31" ht="12.0" customHeight="1">
      <c r="A31" s="10"/>
      <c r="B31" s="10"/>
      <c r="C31" s="26"/>
      <c r="D31" s="10"/>
      <c r="E31" s="10"/>
      <c r="F31" s="27"/>
      <c r="G31" s="27"/>
      <c r="H31" s="27"/>
      <c r="I31" s="27"/>
      <c r="J31" s="27"/>
      <c r="K31" s="27"/>
      <c r="L31" s="28"/>
      <c r="M31" s="10"/>
      <c r="N31" s="10"/>
      <c r="O31" s="28"/>
      <c r="P31" s="86"/>
      <c r="Q31" s="86"/>
      <c r="R31" s="28"/>
      <c r="S31" s="27"/>
      <c r="T31" s="29"/>
    </row>
    <row r="32">
      <c r="A32" s="10"/>
      <c r="B32" s="10"/>
      <c r="C32" s="26"/>
      <c r="D32" s="10"/>
      <c r="E32" s="10"/>
      <c r="F32" s="27"/>
      <c r="G32" s="27"/>
      <c r="H32" s="27"/>
      <c r="I32" s="27"/>
      <c r="J32" s="27"/>
      <c r="K32" s="27"/>
      <c r="L32" s="28"/>
      <c r="M32" s="10"/>
      <c r="N32" s="10"/>
      <c r="O32" s="28"/>
      <c r="P32" s="26"/>
      <c r="Q32" s="26"/>
      <c r="R32" s="28"/>
      <c r="S32" s="27"/>
      <c r="T32" s="29"/>
    </row>
    <row r="33">
      <c r="A33" s="10"/>
      <c r="B33" s="10"/>
      <c r="C33" s="26"/>
      <c r="D33" s="10"/>
      <c r="E33" s="10"/>
      <c r="F33" s="27"/>
      <c r="G33" s="27"/>
      <c r="H33" s="27"/>
      <c r="I33" s="27"/>
      <c r="J33" s="27"/>
      <c r="K33" s="27"/>
      <c r="L33" s="28"/>
      <c r="M33" s="10"/>
      <c r="N33" s="10"/>
      <c r="O33" s="28"/>
      <c r="P33" s="26"/>
      <c r="Q33" s="26"/>
      <c r="R33" s="28"/>
      <c r="S33" s="27"/>
      <c r="T33" s="29"/>
    </row>
    <row r="34">
      <c r="A34" s="87" t="s">
        <v>420</v>
      </c>
      <c r="B34" s="10"/>
      <c r="C34" s="26"/>
      <c r="D34" s="10"/>
      <c r="E34" s="10"/>
      <c r="F34" s="27"/>
      <c r="G34" s="27"/>
      <c r="H34" s="27"/>
      <c r="I34" s="27"/>
      <c r="J34" s="27"/>
      <c r="K34" s="27"/>
      <c r="L34" s="28"/>
      <c r="M34" s="10"/>
      <c r="N34" s="10"/>
      <c r="O34" s="28"/>
      <c r="P34" s="26"/>
      <c r="Q34" s="26"/>
      <c r="R34" s="28"/>
      <c r="S34" s="27"/>
      <c r="T34" s="29"/>
    </row>
    <row r="35">
      <c r="A35" s="10"/>
      <c r="B35" s="10"/>
      <c r="C35" s="26"/>
      <c r="D35" s="10"/>
      <c r="E35" s="10"/>
      <c r="F35" s="27"/>
      <c r="G35" s="27"/>
      <c r="H35" s="27"/>
      <c r="I35" s="27"/>
      <c r="J35" s="27"/>
      <c r="K35" s="27"/>
      <c r="L35" s="28"/>
      <c r="M35" s="10"/>
      <c r="N35" s="10"/>
      <c r="O35" s="28"/>
      <c r="P35" s="26"/>
      <c r="Q35" s="26"/>
      <c r="R35" s="28"/>
      <c r="S35" s="27"/>
      <c r="T35" s="29"/>
    </row>
    <row r="36">
      <c r="A36" s="10"/>
      <c r="B36" s="10"/>
      <c r="C36" s="26"/>
      <c r="D36" s="10"/>
      <c r="E36" s="10"/>
      <c r="F36" s="27"/>
      <c r="G36" s="27"/>
      <c r="H36" s="27"/>
      <c r="I36" s="27"/>
      <c r="J36" s="27"/>
      <c r="K36" s="27"/>
      <c r="L36" s="28"/>
      <c r="M36" s="10"/>
      <c r="N36" s="10"/>
      <c r="O36" s="28"/>
      <c r="P36" s="26"/>
      <c r="Q36" s="26"/>
      <c r="R36" s="28"/>
      <c r="S36" s="27"/>
      <c r="T36" s="29"/>
    </row>
    <row r="37">
      <c r="A37" s="10"/>
      <c r="B37" s="10"/>
      <c r="C37" s="26"/>
      <c r="D37" s="10"/>
      <c r="E37" s="10"/>
      <c r="F37" s="27"/>
      <c r="G37" s="27"/>
      <c r="H37" s="27"/>
      <c r="I37" s="27"/>
      <c r="J37" s="27"/>
      <c r="K37" s="27"/>
      <c r="L37" s="28"/>
      <c r="M37" s="10"/>
      <c r="N37" s="10"/>
      <c r="O37" s="28"/>
      <c r="P37" s="26"/>
      <c r="Q37" s="26"/>
      <c r="R37" s="28"/>
      <c r="S37" s="27"/>
      <c r="T37" s="29"/>
    </row>
    <row r="38">
      <c r="A38" s="10"/>
      <c r="B38" s="10"/>
      <c r="C38" s="26"/>
      <c r="D38" s="10"/>
      <c r="E38" s="10"/>
      <c r="F38" s="27"/>
      <c r="G38" s="27"/>
      <c r="H38" s="27"/>
      <c r="I38" s="27"/>
      <c r="J38" s="27"/>
      <c r="K38" s="27"/>
      <c r="L38" s="28"/>
      <c r="M38" s="10"/>
      <c r="N38" s="10"/>
      <c r="O38" s="28"/>
      <c r="P38" s="26"/>
      <c r="Q38" s="26"/>
      <c r="R38" s="28"/>
      <c r="S38" s="27"/>
      <c r="T38" s="29"/>
    </row>
    <row r="39">
      <c r="A39" s="10"/>
      <c r="B39" s="10"/>
      <c r="C39" s="26"/>
      <c r="D39" s="10"/>
      <c r="E39" s="10"/>
      <c r="F39" s="27"/>
      <c r="G39" s="27"/>
      <c r="H39" s="27"/>
      <c r="I39" s="27"/>
      <c r="J39" s="27"/>
      <c r="K39" s="27"/>
      <c r="L39" s="28"/>
      <c r="M39" s="10"/>
      <c r="N39" s="10"/>
      <c r="O39" s="28"/>
      <c r="P39" s="26"/>
      <c r="Q39" s="26"/>
      <c r="R39" s="28"/>
      <c r="S39" s="27"/>
      <c r="T39" s="29"/>
    </row>
    <row r="40">
      <c r="A40" s="10"/>
      <c r="B40" s="10"/>
      <c r="C40" s="26"/>
      <c r="D40" s="10"/>
      <c r="E40" s="10"/>
      <c r="F40" s="27"/>
      <c r="G40" s="27"/>
      <c r="H40" s="27"/>
      <c r="I40" s="27"/>
      <c r="J40" s="27"/>
      <c r="K40" s="27"/>
      <c r="L40" s="28"/>
      <c r="M40" s="10"/>
      <c r="N40" s="10"/>
      <c r="O40" s="28"/>
      <c r="P40" s="86"/>
      <c r="Q40" s="86"/>
      <c r="R40" s="28"/>
      <c r="S40" s="27"/>
      <c r="T40" s="29"/>
    </row>
    <row r="41">
      <c r="A41" s="10"/>
      <c r="B41" s="10"/>
      <c r="C41" s="26"/>
      <c r="D41" s="10"/>
      <c r="E41" s="10"/>
      <c r="F41" s="27"/>
      <c r="G41" s="27"/>
      <c r="H41" s="27"/>
      <c r="I41" s="27"/>
      <c r="J41" s="27"/>
      <c r="K41" s="27"/>
      <c r="L41" s="28"/>
      <c r="M41" s="10"/>
      <c r="N41" s="10"/>
      <c r="O41" s="28"/>
      <c r="P41" s="26"/>
      <c r="Q41" s="26"/>
      <c r="R41" s="28"/>
      <c r="S41" s="27"/>
      <c r="T41" s="29"/>
    </row>
    <row r="42">
      <c r="A42" s="10"/>
      <c r="B42" s="10"/>
      <c r="C42" s="26"/>
      <c r="D42" s="10"/>
      <c r="E42" s="10"/>
      <c r="F42" s="27"/>
      <c r="G42" s="27"/>
      <c r="H42" s="27"/>
      <c r="I42" s="27"/>
      <c r="J42" s="27"/>
      <c r="K42" s="27"/>
      <c r="L42" s="28"/>
      <c r="M42" s="10"/>
      <c r="N42" s="10"/>
      <c r="O42" s="28"/>
      <c r="P42" s="26"/>
      <c r="Q42" s="26"/>
      <c r="R42" s="28"/>
      <c r="S42" s="27"/>
      <c r="T42" s="29"/>
    </row>
    <row r="43">
      <c r="A43" s="10"/>
      <c r="B43" s="10"/>
      <c r="C43" s="26"/>
      <c r="D43" s="10"/>
      <c r="E43" s="10"/>
      <c r="F43" s="27"/>
      <c r="G43" s="27"/>
      <c r="H43" s="27"/>
      <c r="I43" s="27"/>
      <c r="J43" s="27"/>
      <c r="K43" s="27"/>
      <c r="L43" s="28"/>
      <c r="M43" s="10"/>
      <c r="N43" s="10"/>
      <c r="O43" s="28"/>
      <c r="P43" s="86"/>
      <c r="Q43" s="86"/>
      <c r="R43" s="28"/>
      <c r="S43" s="27"/>
      <c r="T43" s="29"/>
    </row>
    <row r="44">
      <c r="A44" s="10"/>
      <c r="B44" s="10"/>
      <c r="C44" s="26"/>
      <c r="D44" s="10"/>
      <c r="E44" s="10"/>
      <c r="F44" s="27"/>
      <c r="G44" s="27"/>
      <c r="H44" s="27"/>
      <c r="I44" s="27"/>
      <c r="J44" s="27"/>
      <c r="K44" s="27"/>
      <c r="L44" s="28"/>
      <c r="M44" s="10"/>
      <c r="N44" s="10"/>
      <c r="O44" s="28"/>
      <c r="P44" s="26"/>
      <c r="Q44" s="26"/>
      <c r="R44" s="28"/>
      <c r="S44" s="27"/>
      <c r="T44" s="29"/>
    </row>
    <row r="45">
      <c r="A45" s="10"/>
      <c r="B45" s="10"/>
      <c r="C45" s="26"/>
      <c r="D45" s="10"/>
      <c r="E45" s="10"/>
      <c r="F45" s="27"/>
      <c r="G45" s="27"/>
      <c r="H45" s="27"/>
      <c r="I45" s="27"/>
      <c r="J45" s="27"/>
      <c r="K45" s="27"/>
      <c r="L45" s="28"/>
      <c r="M45" s="10"/>
      <c r="N45" s="10"/>
      <c r="O45" s="28"/>
      <c r="P45" s="86"/>
      <c r="Q45" s="86"/>
      <c r="R45" s="28"/>
      <c r="S45" s="27"/>
      <c r="T45" s="29"/>
    </row>
    <row r="46">
      <c r="A46" s="10"/>
      <c r="B46" s="10"/>
      <c r="C46" s="26"/>
      <c r="D46" s="10"/>
      <c r="E46" s="10"/>
      <c r="F46" s="27"/>
      <c r="G46" s="27"/>
      <c r="H46" s="27"/>
      <c r="I46" s="27"/>
      <c r="J46" s="27"/>
      <c r="K46" s="27"/>
      <c r="L46" s="28"/>
      <c r="M46" s="10"/>
      <c r="N46" s="10"/>
      <c r="O46" s="28"/>
      <c r="P46" s="26"/>
      <c r="Q46" s="26"/>
      <c r="R46" s="28"/>
      <c r="S46" s="27"/>
      <c r="T46" s="29"/>
    </row>
    <row r="47">
      <c r="A47" s="10"/>
      <c r="B47" s="10"/>
      <c r="C47" s="26"/>
      <c r="D47" s="10"/>
      <c r="E47" s="10"/>
      <c r="F47" s="27"/>
      <c r="G47" s="27"/>
      <c r="H47" s="27"/>
      <c r="I47" s="27"/>
      <c r="J47" s="27"/>
      <c r="K47" s="27"/>
      <c r="L47" s="28"/>
      <c r="M47" s="10"/>
      <c r="N47" s="10"/>
      <c r="O47" s="28"/>
      <c r="P47" s="26"/>
      <c r="Q47" s="26"/>
      <c r="R47" s="28"/>
      <c r="S47" s="27"/>
      <c r="T47" s="29"/>
    </row>
    <row r="48">
      <c r="A48" s="10"/>
      <c r="B48" s="10"/>
      <c r="C48" s="26"/>
      <c r="D48" s="10"/>
      <c r="E48" s="10"/>
      <c r="F48" s="27"/>
      <c r="G48" s="27"/>
      <c r="H48" s="27"/>
      <c r="I48" s="27"/>
      <c r="J48" s="27"/>
      <c r="K48" s="27"/>
      <c r="L48" s="28"/>
      <c r="M48" s="10"/>
      <c r="N48" s="10"/>
      <c r="O48" s="28"/>
      <c r="P48" s="86"/>
      <c r="Q48" s="86"/>
      <c r="R48" s="28"/>
      <c r="S48" s="27"/>
      <c r="T48" s="29"/>
    </row>
    <row r="49">
      <c r="A49" s="10"/>
      <c r="B49" s="10"/>
      <c r="C49" s="26"/>
      <c r="D49" s="10"/>
      <c r="E49" s="10"/>
      <c r="F49" s="27"/>
      <c r="G49" s="27"/>
      <c r="H49" s="27"/>
      <c r="I49" s="27"/>
      <c r="J49" s="27"/>
      <c r="K49" s="27"/>
      <c r="L49" s="28"/>
      <c r="M49" s="10"/>
      <c r="N49" s="10"/>
      <c r="O49" s="28"/>
      <c r="P49" s="86"/>
      <c r="Q49" s="86"/>
      <c r="R49" s="28"/>
      <c r="S49" s="27"/>
      <c r="T49" s="29"/>
    </row>
    <row r="50">
      <c r="A50" s="10"/>
      <c r="B50" s="10"/>
      <c r="C50" s="26"/>
      <c r="D50" s="10"/>
      <c r="E50" s="10"/>
      <c r="F50" s="27"/>
      <c r="G50" s="27"/>
      <c r="H50" s="27"/>
      <c r="I50" s="27"/>
      <c r="J50" s="27"/>
      <c r="K50" s="27"/>
      <c r="L50" s="28"/>
      <c r="M50" s="10"/>
      <c r="N50" s="10"/>
      <c r="O50" s="28"/>
      <c r="P50" s="26"/>
      <c r="Q50" s="26"/>
      <c r="R50" s="28"/>
      <c r="S50" s="27"/>
      <c r="T50" s="29"/>
    </row>
    <row r="51">
      <c r="A51" s="10"/>
      <c r="B51" s="10"/>
      <c r="C51" s="26"/>
      <c r="D51" s="10"/>
      <c r="E51" s="10"/>
      <c r="F51" s="27"/>
      <c r="G51" s="27"/>
      <c r="H51" s="27"/>
      <c r="I51" s="27"/>
      <c r="J51" s="27"/>
      <c r="K51" s="27"/>
      <c r="L51" s="28"/>
      <c r="M51" s="10"/>
      <c r="N51" s="10"/>
      <c r="O51" s="28"/>
      <c r="P51" s="26"/>
      <c r="Q51" s="26"/>
      <c r="R51" s="28"/>
      <c r="S51" s="27"/>
      <c r="T51" s="29"/>
    </row>
    <row r="52">
      <c r="A52" s="10"/>
      <c r="B52" s="10"/>
      <c r="C52" s="26"/>
      <c r="D52" s="10"/>
      <c r="E52" s="10"/>
      <c r="F52" s="27"/>
      <c r="G52" s="27"/>
      <c r="H52" s="27"/>
      <c r="I52" s="27"/>
      <c r="J52" s="27"/>
      <c r="K52" s="27"/>
      <c r="L52" s="28"/>
      <c r="M52" s="10"/>
      <c r="N52" s="10"/>
      <c r="O52" s="28"/>
      <c r="P52" s="26"/>
      <c r="Q52" s="26"/>
      <c r="R52" s="28"/>
      <c r="S52" s="27"/>
      <c r="T52" s="29"/>
    </row>
    <row r="53">
      <c r="A53" s="10"/>
      <c r="B53" s="10"/>
      <c r="C53" s="26"/>
      <c r="D53" s="10"/>
      <c r="E53" s="10"/>
      <c r="F53" s="27"/>
      <c r="G53" s="27"/>
      <c r="H53" s="27"/>
      <c r="I53" s="27"/>
      <c r="J53" s="27"/>
      <c r="K53" s="27"/>
      <c r="L53" s="28"/>
      <c r="M53" s="10"/>
      <c r="N53" s="10"/>
      <c r="O53" s="28"/>
      <c r="P53" s="26"/>
      <c r="Q53" s="26"/>
      <c r="R53" s="28"/>
      <c r="S53" s="27"/>
      <c r="T53" s="29"/>
    </row>
    <row r="54">
      <c r="A54" s="10"/>
      <c r="B54" s="10"/>
      <c r="C54" s="26"/>
      <c r="D54" s="10"/>
      <c r="E54" s="10"/>
      <c r="F54" s="27"/>
      <c r="G54" s="27"/>
      <c r="H54" s="27"/>
      <c r="I54" s="27"/>
      <c r="J54" s="27"/>
      <c r="K54" s="27"/>
      <c r="L54" s="28"/>
      <c r="M54" s="28"/>
      <c r="N54" s="10"/>
      <c r="O54" s="28"/>
      <c r="P54" s="86"/>
      <c r="Q54" s="86"/>
      <c r="R54" s="28"/>
      <c r="S54" s="27"/>
      <c r="T54" s="29"/>
    </row>
    <row r="55">
      <c r="A55" s="10"/>
      <c r="B55" s="10"/>
      <c r="C55" s="26"/>
      <c r="D55" s="10"/>
      <c r="E55" s="10"/>
      <c r="F55" s="27"/>
      <c r="G55" s="27"/>
      <c r="H55" s="27"/>
      <c r="I55" s="27"/>
      <c r="J55" s="27"/>
      <c r="K55" s="27"/>
      <c r="L55" s="28"/>
      <c r="M55" s="10"/>
      <c r="N55" s="10"/>
      <c r="O55" s="28"/>
      <c r="P55" s="26"/>
      <c r="Q55" s="26"/>
      <c r="R55" s="28"/>
      <c r="S55" s="27"/>
      <c r="T55" s="29"/>
    </row>
    <row r="56">
      <c r="A56" s="10"/>
      <c r="B56" s="10"/>
      <c r="C56" s="26"/>
      <c r="D56" s="10"/>
      <c r="E56" s="10"/>
      <c r="F56" s="27"/>
      <c r="G56" s="27"/>
      <c r="H56" s="27"/>
      <c r="I56" s="27"/>
      <c r="J56" s="27"/>
      <c r="K56" s="27"/>
      <c r="L56" s="28"/>
      <c r="M56" s="10"/>
      <c r="N56" s="10"/>
      <c r="O56" s="28"/>
      <c r="P56" s="26"/>
      <c r="Q56" s="26"/>
      <c r="R56" s="28"/>
      <c r="S56" s="27"/>
      <c r="T56" s="29"/>
    </row>
    <row r="57">
      <c r="A57" s="10"/>
      <c r="B57" s="10"/>
      <c r="C57" s="26"/>
      <c r="D57" s="10"/>
      <c r="E57" s="10"/>
      <c r="F57" s="27"/>
      <c r="G57" s="27"/>
      <c r="H57" s="27"/>
      <c r="I57" s="27"/>
      <c r="J57" s="27"/>
      <c r="K57" s="27"/>
      <c r="L57" s="28"/>
      <c r="M57" s="10"/>
      <c r="N57" s="10"/>
      <c r="O57" s="28"/>
      <c r="P57" s="26"/>
      <c r="Q57" s="26"/>
      <c r="R57" s="28"/>
      <c r="S57" s="27"/>
      <c r="T57" s="29"/>
    </row>
    <row r="58">
      <c r="A58" s="10"/>
      <c r="B58" s="10"/>
      <c r="C58" s="26"/>
      <c r="D58" s="10"/>
      <c r="E58" s="10"/>
      <c r="F58" s="27"/>
      <c r="G58" s="27"/>
      <c r="H58" s="27"/>
      <c r="I58" s="27"/>
      <c r="J58" s="27"/>
      <c r="K58" s="27"/>
      <c r="L58" s="28"/>
      <c r="M58" s="10"/>
      <c r="N58" s="10"/>
      <c r="O58" s="28"/>
      <c r="P58" s="26"/>
      <c r="Q58" s="26"/>
      <c r="R58" s="28"/>
      <c r="S58" s="27"/>
      <c r="T58" s="29"/>
    </row>
    <row r="59">
      <c r="A59" s="10"/>
      <c r="B59" s="10"/>
      <c r="C59" s="26"/>
      <c r="D59" s="10"/>
      <c r="E59" s="10"/>
      <c r="F59" s="27"/>
      <c r="G59" s="27"/>
      <c r="H59" s="27"/>
      <c r="I59" s="27"/>
      <c r="J59" s="27"/>
      <c r="K59" s="27"/>
      <c r="L59" s="28"/>
      <c r="M59" s="10"/>
      <c r="N59" s="10"/>
      <c r="O59" s="28"/>
      <c r="P59" s="26"/>
      <c r="Q59" s="26"/>
      <c r="R59" s="28"/>
      <c r="S59" s="27"/>
      <c r="T59" s="29"/>
    </row>
    <row r="60">
      <c r="A60" s="10"/>
      <c r="B60" s="10"/>
      <c r="C60" s="26"/>
      <c r="D60" s="10"/>
      <c r="E60" s="10"/>
      <c r="F60" s="27"/>
      <c r="G60" s="27"/>
      <c r="H60" s="27"/>
      <c r="I60" s="27"/>
      <c r="J60" s="27"/>
      <c r="K60" s="27"/>
      <c r="L60" s="28"/>
      <c r="M60" s="10"/>
      <c r="N60" s="10"/>
      <c r="O60" s="28"/>
      <c r="P60" s="86"/>
      <c r="Q60" s="86"/>
      <c r="R60" s="28"/>
      <c r="S60" s="27"/>
      <c r="T60" s="29"/>
    </row>
    <row r="61">
      <c r="A61" s="10"/>
      <c r="B61" s="10"/>
      <c r="C61" s="26"/>
      <c r="D61" s="10"/>
      <c r="E61" s="10"/>
      <c r="F61" s="27"/>
      <c r="G61" s="27"/>
      <c r="H61" s="27"/>
      <c r="I61" s="27"/>
      <c r="J61" s="27"/>
      <c r="K61" s="27"/>
      <c r="L61" s="28"/>
      <c r="M61" s="28"/>
      <c r="N61" s="28"/>
      <c r="O61" s="28"/>
      <c r="P61" s="26"/>
      <c r="Q61" s="26"/>
      <c r="R61" s="28"/>
      <c r="S61" s="27"/>
      <c r="T61" s="29"/>
    </row>
    <row r="62">
      <c r="A62" s="10"/>
      <c r="B62" s="10"/>
      <c r="C62" s="26"/>
      <c r="D62" s="10"/>
      <c r="E62" s="10"/>
      <c r="F62" s="27"/>
      <c r="G62" s="27"/>
      <c r="H62" s="27"/>
      <c r="I62" s="27"/>
      <c r="J62" s="27"/>
      <c r="K62" s="27"/>
      <c r="L62" s="28"/>
      <c r="M62" s="10"/>
      <c r="N62" s="10"/>
      <c r="O62" s="28"/>
      <c r="P62" s="26"/>
      <c r="Q62" s="26"/>
      <c r="R62" s="28"/>
      <c r="S62" s="27"/>
      <c r="T62" s="29"/>
    </row>
    <row r="63">
      <c r="A63" s="10"/>
      <c r="B63" s="10"/>
      <c r="C63" s="26"/>
      <c r="D63" s="10"/>
      <c r="E63" s="10"/>
      <c r="F63" s="27"/>
      <c r="G63" s="27"/>
      <c r="H63" s="27"/>
      <c r="I63" s="27"/>
      <c r="J63" s="27"/>
      <c r="K63" s="27"/>
      <c r="L63" s="28"/>
      <c r="M63" s="10"/>
      <c r="N63" s="10"/>
      <c r="O63" s="28"/>
      <c r="P63" s="26"/>
      <c r="Q63" s="26"/>
      <c r="R63" s="28"/>
      <c r="S63" s="27"/>
      <c r="T63" s="29"/>
    </row>
    <row r="64">
      <c r="A64" s="10"/>
      <c r="B64" s="10"/>
      <c r="C64" s="26"/>
      <c r="D64" s="10"/>
      <c r="E64" s="10"/>
      <c r="F64" s="27"/>
      <c r="G64" s="27"/>
      <c r="H64" s="27"/>
      <c r="I64" s="27"/>
      <c r="J64" s="27"/>
      <c r="K64" s="27"/>
      <c r="L64" s="28"/>
      <c r="M64" s="10"/>
      <c r="N64" s="10"/>
      <c r="O64" s="28"/>
      <c r="P64" s="26"/>
      <c r="Q64" s="26"/>
      <c r="R64" s="28"/>
      <c r="S64" s="27"/>
      <c r="T64" s="29"/>
    </row>
    <row r="65">
      <c r="A65" s="10"/>
      <c r="B65" s="10"/>
      <c r="C65" s="26"/>
      <c r="D65" s="10"/>
      <c r="E65" s="10"/>
      <c r="F65" s="27"/>
      <c r="G65" s="27"/>
      <c r="H65" s="27"/>
      <c r="I65" s="27"/>
      <c r="J65" s="27"/>
      <c r="K65" s="27"/>
      <c r="L65" s="28"/>
      <c r="M65" s="10"/>
      <c r="N65" s="10"/>
      <c r="O65" s="28"/>
      <c r="P65" s="26"/>
      <c r="Q65" s="26"/>
      <c r="R65" s="28"/>
      <c r="S65" s="27"/>
      <c r="T65" s="29"/>
    </row>
    <row r="66">
      <c r="A66" s="10"/>
      <c r="B66" s="10"/>
      <c r="C66" s="26"/>
      <c r="D66" s="10"/>
      <c r="E66" s="10"/>
      <c r="F66" s="27"/>
      <c r="G66" s="27"/>
      <c r="H66" s="27"/>
      <c r="I66" s="27"/>
      <c r="J66" s="27"/>
      <c r="K66" s="27"/>
      <c r="L66" s="28"/>
      <c r="M66" s="10"/>
      <c r="N66" s="10"/>
      <c r="O66" s="28"/>
      <c r="P66" s="86"/>
      <c r="Q66" s="86"/>
      <c r="R66" s="28"/>
      <c r="S66" s="27"/>
      <c r="T66" s="29"/>
    </row>
    <row r="67">
      <c r="A67" s="10"/>
      <c r="B67" s="10"/>
      <c r="C67" s="26"/>
      <c r="D67" s="10"/>
      <c r="E67" s="10"/>
      <c r="F67" s="27"/>
      <c r="G67" s="27"/>
      <c r="H67" s="27"/>
      <c r="I67" s="27"/>
      <c r="J67" s="27"/>
      <c r="K67" s="27"/>
      <c r="L67" s="28"/>
      <c r="M67" s="10"/>
      <c r="N67" s="10"/>
      <c r="O67" s="28"/>
      <c r="P67" s="26"/>
      <c r="Q67" s="26"/>
      <c r="R67" s="28"/>
      <c r="S67" s="27"/>
      <c r="T67" s="29"/>
    </row>
    <row r="68">
      <c r="A68" s="10"/>
      <c r="B68" s="10"/>
      <c r="C68" s="26"/>
      <c r="D68" s="10"/>
      <c r="E68" s="10"/>
      <c r="F68" s="27"/>
      <c r="G68" s="27"/>
      <c r="H68" s="27"/>
      <c r="I68" s="27"/>
      <c r="J68" s="27"/>
      <c r="K68" s="27"/>
      <c r="L68" s="28"/>
      <c r="M68" s="10"/>
      <c r="N68" s="10"/>
      <c r="O68" s="28"/>
      <c r="P68" s="26"/>
      <c r="Q68" s="26"/>
      <c r="R68" s="28"/>
      <c r="S68" s="27"/>
      <c r="T68" s="29"/>
    </row>
    <row r="69">
      <c r="A69" s="10"/>
      <c r="B69" s="10"/>
      <c r="C69" s="26"/>
      <c r="D69" s="10"/>
      <c r="E69" s="10"/>
      <c r="F69" s="27"/>
      <c r="G69" s="27"/>
      <c r="H69" s="27"/>
      <c r="I69" s="27"/>
      <c r="J69" s="27"/>
      <c r="K69" s="27"/>
      <c r="L69" s="28"/>
      <c r="M69" s="10"/>
      <c r="N69" s="10"/>
      <c r="O69" s="28"/>
      <c r="P69" s="86"/>
      <c r="Q69" s="86"/>
      <c r="R69" s="28"/>
      <c r="S69" s="27"/>
      <c r="T69" s="29"/>
    </row>
    <row r="70">
      <c r="A70" s="10"/>
      <c r="B70" s="10"/>
      <c r="C70" s="26"/>
      <c r="D70" s="10"/>
      <c r="E70" s="10"/>
      <c r="F70" s="27"/>
      <c r="G70" s="27"/>
      <c r="H70" s="27"/>
      <c r="I70" s="27"/>
      <c r="J70" s="27"/>
      <c r="K70" s="27"/>
      <c r="L70" s="28"/>
      <c r="M70" s="10"/>
      <c r="N70" s="10"/>
      <c r="O70" s="28"/>
      <c r="P70" s="26"/>
      <c r="Q70" s="26"/>
      <c r="R70" s="28"/>
      <c r="S70" s="27"/>
      <c r="T70" s="29"/>
    </row>
    <row r="71">
      <c r="A71" s="10"/>
      <c r="B71" s="10"/>
      <c r="C71" s="26"/>
      <c r="D71" s="10"/>
      <c r="E71" s="10"/>
      <c r="F71" s="27"/>
      <c r="G71" s="27"/>
      <c r="H71" s="27"/>
      <c r="I71" s="27"/>
      <c r="J71" s="27"/>
      <c r="K71" s="27"/>
      <c r="L71" s="28"/>
      <c r="M71" s="10"/>
      <c r="N71" s="10"/>
      <c r="O71" s="28"/>
      <c r="P71" s="86"/>
      <c r="Q71" s="86"/>
      <c r="R71" s="28"/>
      <c r="S71" s="27"/>
      <c r="T71" s="29"/>
    </row>
    <row r="72">
      <c r="A72" s="10"/>
      <c r="B72" s="10"/>
      <c r="C72" s="26"/>
      <c r="D72" s="10"/>
      <c r="E72" s="10"/>
      <c r="F72" s="27"/>
      <c r="G72" s="27"/>
      <c r="H72" s="27"/>
      <c r="I72" s="27"/>
      <c r="J72" s="27"/>
      <c r="K72" s="27"/>
      <c r="L72" s="28"/>
      <c r="M72" s="10"/>
      <c r="N72" s="10"/>
      <c r="O72" s="28"/>
      <c r="P72" s="26"/>
      <c r="Q72" s="26"/>
      <c r="R72" s="28"/>
      <c r="S72" s="27"/>
      <c r="T72" s="29"/>
    </row>
    <row r="73">
      <c r="A73" s="10"/>
      <c r="B73" s="10"/>
      <c r="C73" s="26"/>
      <c r="D73" s="10"/>
      <c r="E73" s="10"/>
      <c r="F73" s="27"/>
      <c r="G73" s="27"/>
      <c r="H73" s="27"/>
      <c r="I73" s="27"/>
      <c r="J73" s="27"/>
      <c r="K73" s="27"/>
      <c r="L73" s="28"/>
      <c r="M73" s="10"/>
      <c r="N73" s="10"/>
      <c r="O73" s="28"/>
      <c r="P73" s="26"/>
      <c r="Q73" s="26"/>
      <c r="R73" s="28"/>
      <c r="S73" s="27"/>
      <c r="T73" s="29"/>
    </row>
    <row r="74">
      <c r="A74" s="10"/>
      <c r="B74" s="10"/>
      <c r="C74" s="26"/>
      <c r="D74" s="10"/>
      <c r="E74" s="10"/>
      <c r="F74" s="27"/>
      <c r="G74" s="27"/>
      <c r="H74" s="27"/>
      <c r="I74" s="27"/>
      <c r="J74" s="27"/>
      <c r="K74" s="27"/>
      <c r="L74" s="28"/>
      <c r="M74" s="10"/>
      <c r="N74" s="10"/>
      <c r="O74" s="28"/>
      <c r="P74" s="26"/>
      <c r="Q74" s="26"/>
      <c r="R74" s="28"/>
      <c r="S74" s="27"/>
      <c r="T74" s="29"/>
    </row>
    <row r="75">
      <c r="A75" s="10"/>
      <c r="B75" s="10"/>
      <c r="C75" s="26"/>
      <c r="D75" s="10"/>
      <c r="E75" s="10"/>
      <c r="F75" s="27"/>
      <c r="G75" s="27"/>
      <c r="H75" s="27"/>
      <c r="I75" s="27"/>
      <c r="J75" s="27"/>
      <c r="K75" s="27"/>
      <c r="L75" s="28"/>
      <c r="M75" s="10"/>
      <c r="N75" s="10"/>
      <c r="O75" s="28"/>
      <c r="P75" s="26"/>
      <c r="Q75" s="26"/>
      <c r="R75" s="28"/>
      <c r="S75" s="27"/>
      <c r="T75" s="29"/>
    </row>
    <row r="76">
      <c r="A76" s="10"/>
      <c r="B76" s="10"/>
      <c r="C76" s="26"/>
      <c r="D76" s="10"/>
      <c r="E76" s="10"/>
      <c r="F76" s="27"/>
      <c r="G76" s="27"/>
      <c r="H76" s="27"/>
      <c r="I76" s="27"/>
      <c r="J76" s="27"/>
      <c r="K76" s="27"/>
      <c r="L76" s="28"/>
      <c r="M76" s="10"/>
      <c r="N76" s="10"/>
      <c r="O76" s="28"/>
      <c r="P76" s="26"/>
      <c r="Q76" s="26"/>
      <c r="R76" s="28"/>
      <c r="S76" s="27"/>
      <c r="T76" s="29"/>
    </row>
    <row r="77">
      <c r="A77" s="10"/>
      <c r="B77" s="10"/>
      <c r="C77" s="26"/>
      <c r="D77" s="10"/>
      <c r="E77" s="10"/>
      <c r="F77" s="27"/>
      <c r="G77" s="27"/>
      <c r="H77" s="27"/>
      <c r="I77" s="27"/>
      <c r="J77" s="27"/>
      <c r="K77" s="27"/>
      <c r="L77" s="28"/>
      <c r="M77" s="10"/>
      <c r="N77" s="10"/>
      <c r="O77" s="28"/>
      <c r="P77" s="26"/>
      <c r="Q77" s="26"/>
      <c r="R77" s="28"/>
      <c r="S77" s="27"/>
      <c r="T77" s="29"/>
    </row>
    <row r="78">
      <c r="A78" s="10"/>
      <c r="B78" s="10"/>
      <c r="C78" s="26"/>
      <c r="D78" s="10"/>
      <c r="E78" s="10"/>
      <c r="F78" s="27"/>
      <c r="G78" s="27"/>
      <c r="H78" s="27"/>
      <c r="I78" s="27"/>
      <c r="J78" s="27"/>
      <c r="K78" s="27"/>
      <c r="L78" s="28"/>
      <c r="M78" s="10"/>
      <c r="N78" s="10"/>
      <c r="O78" s="28"/>
      <c r="P78" s="86"/>
      <c r="Q78" s="86"/>
      <c r="R78" s="28"/>
      <c r="S78" s="27"/>
      <c r="T78" s="29"/>
    </row>
    <row r="79">
      <c r="A79" s="10"/>
      <c r="B79" s="10"/>
      <c r="C79" s="26"/>
      <c r="D79" s="10"/>
      <c r="E79" s="10"/>
      <c r="F79" s="27"/>
      <c r="G79" s="27"/>
      <c r="H79" s="27"/>
      <c r="I79" s="27"/>
      <c r="J79" s="27"/>
      <c r="K79" s="27"/>
      <c r="L79" s="28"/>
      <c r="M79" s="10"/>
      <c r="N79" s="10"/>
      <c r="O79" s="28"/>
      <c r="P79" s="26"/>
      <c r="Q79" s="26"/>
      <c r="R79" s="28"/>
      <c r="S79" s="27"/>
      <c r="T79" s="29"/>
    </row>
    <row r="80">
      <c r="A80" s="10"/>
      <c r="B80" s="10"/>
      <c r="C80" s="26"/>
      <c r="D80" s="10"/>
      <c r="E80" s="10"/>
      <c r="F80" s="27"/>
      <c r="G80" s="27"/>
      <c r="H80" s="27"/>
      <c r="I80" s="27"/>
      <c r="J80" s="27"/>
      <c r="K80" s="27"/>
      <c r="L80" s="28"/>
      <c r="M80" s="10"/>
      <c r="N80" s="10"/>
      <c r="O80" s="28"/>
      <c r="P80" s="26"/>
      <c r="Q80" s="26"/>
      <c r="R80" s="28"/>
      <c r="S80" s="27"/>
      <c r="T80" s="29"/>
    </row>
    <row r="81">
      <c r="A81" s="10"/>
      <c r="B81" s="10"/>
      <c r="C81" s="26"/>
      <c r="D81" s="10"/>
      <c r="E81" s="10"/>
      <c r="F81" s="27"/>
      <c r="G81" s="27"/>
      <c r="H81" s="27"/>
      <c r="I81" s="27"/>
      <c r="J81" s="27"/>
      <c r="K81" s="27"/>
      <c r="L81" s="28"/>
      <c r="M81" s="10"/>
      <c r="N81" s="10"/>
      <c r="O81" s="28"/>
      <c r="P81" s="86"/>
      <c r="Q81" s="86"/>
      <c r="R81" s="28"/>
      <c r="S81" s="27"/>
      <c r="T81" s="29"/>
    </row>
    <row r="82">
      <c r="A82" s="10"/>
      <c r="B82" s="10"/>
      <c r="C82" s="26"/>
      <c r="D82" s="10"/>
      <c r="E82" s="10"/>
      <c r="F82" s="27"/>
      <c r="G82" s="27"/>
      <c r="H82" s="27"/>
      <c r="I82" s="27"/>
      <c r="J82" s="27"/>
      <c r="K82" s="27"/>
      <c r="L82" s="28"/>
      <c r="M82" s="10"/>
      <c r="N82" s="10"/>
      <c r="O82" s="28"/>
      <c r="P82" s="26"/>
      <c r="Q82" s="26"/>
      <c r="R82" s="28"/>
      <c r="S82" s="27"/>
      <c r="T82" s="29"/>
    </row>
    <row r="83">
      <c r="A83" s="10"/>
      <c r="B83" s="10"/>
      <c r="C83" s="26"/>
      <c r="D83" s="10"/>
      <c r="E83" s="10"/>
      <c r="F83" s="27"/>
      <c r="G83" s="27"/>
      <c r="H83" s="27"/>
      <c r="I83" s="27"/>
      <c r="J83" s="27"/>
      <c r="K83" s="27"/>
      <c r="L83" s="28"/>
      <c r="M83" s="28"/>
      <c r="N83" s="28"/>
      <c r="O83" s="28"/>
      <c r="P83" s="26"/>
      <c r="Q83" s="26"/>
      <c r="R83" s="28"/>
      <c r="S83" s="27"/>
      <c r="T83" s="29"/>
    </row>
    <row r="84">
      <c r="A84" s="10"/>
      <c r="B84" s="10"/>
      <c r="C84" s="26"/>
      <c r="D84" s="10"/>
      <c r="E84" s="10"/>
      <c r="F84" s="27"/>
      <c r="G84" s="27"/>
      <c r="H84" s="27"/>
      <c r="I84" s="27"/>
      <c r="J84" s="27"/>
      <c r="K84" s="27"/>
      <c r="L84" s="28"/>
      <c r="M84" s="10"/>
      <c r="N84" s="10"/>
      <c r="O84" s="28"/>
      <c r="P84" s="86"/>
      <c r="Q84" s="86"/>
      <c r="R84" s="28"/>
      <c r="S84" s="27"/>
      <c r="T84" s="29"/>
    </row>
    <row r="85">
      <c r="A85" s="10"/>
      <c r="B85" s="10"/>
      <c r="C85" s="26"/>
      <c r="D85" s="10"/>
      <c r="E85" s="10"/>
      <c r="F85" s="27"/>
      <c r="G85" s="27"/>
      <c r="H85" s="27"/>
      <c r="I85" s="27"/>
      <c r="J85" s="27"/>
      <c r="K85" s="27"/>
      <c r="L85" s="28"/>
      <c r="M85" s="10"/>
      <c r="N85" s="10"/>
      <c r="O85" s="28"/>
      <c r="P85" s="26"/>
      <c r="Q85" s="26"/>
      <c r="R85" s="28"/>
      <c r="S85" s="27"/>
      <c r="T85" s="29"/>
    </row>
    <row r="86">
      <c r="A86" s="10"/>
      <c r="B86" s="10"/>
      <c r="C86" s="26"/>
      <c r="D86" s="10"/>
      <c r="E86" s="10"/>
      <c r="F86" s="27"/>
      <c r="G86" s="27"/>
      <c r="H86" s="27"/>
      <c r="I86" s="27"/>
      <c r="J86" s="27"/>
      <c r="K86" s="27"/>
      <c r="L86" s="28"/>
      <c r="M86" s="10"/>
      <c r="N86" s="10"/>
      <c r="O86" s="28"/>
      <c r="P86" s="26"/>
      <c r="Q86" s="26"/>
      <c r="R86" s="28"/>
      <c r="S86" s="27"/>
      <c r="T86" s="29"/>
    </row>
    <row r="87">
      <c r="A87" s="10"/>
      <c r="B87" s="10"/>
      <c r="C87" s="26"/>
      <c r="D87" s="10"/>
      <c r="E87" s="10"/>
      <c r="F87" s="27"/>
      <c r="G87" s="27"/>
      <c r="H87" s="27"/>
      <c r="I87" s="27"/>
      <c r="J87" s="27"/>
      <c r="K87" s="27"/>
      <c r="L87" s="28"/>
      <c r="M87" s="28"/>
      <c r="N87" s="10"/>
      <c r="O87" s="28"/>
      <c r="P87" s="26"/>
      <c r="Q87" s="26"/>
      <c r="R87" s="28"/>
      <c r="S87" s="27"/>
      <c r="T87" s="29"/>
    </row>
    <row r="88">
      <c r="A88" s="10"/>
      <c r="B88" s="10"/>
      <c r="C88" s="26"/>
      <c r="D88" s="10"/>
      <c r="E88" s="10"/>
      <c r="F88" s="27"/>
      <c r="G88" s="27"/>
      <c r="H88" s="27"/>
      <c r="I88" s="27"/>
      <c r="J88" s="27"/>
      <c r="K88" s="27"/>
      <c r="L88" s="28"/>
      <c r="M88" s="10"/>
      <c r="N88" s="10"/>
      <c r="O88" s="28"/>
      <c r="P88" s="26"/>
      <c r="Q88" s="26"/>
      <c r="R88" s="28"/>
      <c r="S88" s="27"/>
      <c r="T88" s="29"/>
    </row>
    <row r="89">
      <c r="A89" s="10"/>
      <c r="B89" s="10"/>
      <c r="C89" s="26"/>
      <c r="D89" s="10"/>
      <c r="E89" s="10"/>
      <c r="F89" s="27"/>
      <c r="G89" s="27"/>
      <c r="H89" s="27"/>
      <c r="I89" s="27"/>
      <c r="J89" s="27"/>
      <c r="K89" s="27"/>
      <c r="L89" s="28"/>
      <c r="M89" s="10"/>
      <c r="N89" s="10"/>
      <c r="O89" s="28"/>
      <c r="P89" s="26"/>
      <c r="Q89" s="26"/>
      <c r="R89" s="28"/>
      <c r="S89" s="27"/>
      <c r="T89" s="29"/>
    </row>
    <row r="90">
      <c r="A90" s="10"/>
      <c r="B90" s="10"/>
      <c r="C90" s="26"/>
      <c r="D90" s="10"/>
      <c r="E90" s="10"/>
      <c r="F90" s="27"/>
      <c r="G90" s="27"/>
      <c r="H90" s="27"/>
      <c r="I90" s="27"/>
      <c r="J90" s="27"/>
      <c r="K90" s="27"/>
      <c r="L90" s="28"/>
      <c r="M90" s="10"/>
      <c r="N90" s="10"/>
      <c r="O90" s="28"/>
      <c r="P90" s="86"/>
      <c r="Q90" s="86"/>
      <c r="R90" s="28"/>
      <c r="S90" s="27"/>
      <c r="T90" s="29"/>
    </row>
    <row r="91">
      <c r="A91" s="10"/>
      <c r="B91" s="10"/>
      <c r="C91" s="26"/>
      <c r="D91" s="10"/>
      <c r="E91" s="10"/>
      <c r="F91" s="27"/>
      <c r="G91" s="27"/>
      <c r="H91" s="27"/>
      <c r="I91" s="27"/>
      <c r="J91" s="27"/>
      <c r="K91" s="27"/>
      <c r="L91" s="28"/>
      <c r="M91" s="10"/>
      <c r="N91" s="10"/>
      <c r="O91" s="28"/>
      <c r="P91" s="26"/>
      <c r="Q91" s="26"/>
      <c r="R91" s="28"/>
      <c r="S91" s="27"/>
      <c r="T91" s="29"/>
    </row>
    <row r="92">
      <c r="A92" s="10"/>
      <c r="B92" s="10"/>
      <c r="C92" s="26"/>
      <c r="D92" s="10"/>
      <c r="E92" s="10"/>
      <c r="F92" s="27"/>
      <c r="G92" s="27"/>
      <c r="H92" s="27"/>
      <c r="I92" s="27"/>
      <c r="J92" s="27"/>
      <c r="K92" s="27"/>
      <c r="L92" s="28"/>
      <c r="M92" s="10"/>
      <c r="N92" s="10"/>
      <c r="O92" s="28"/>
      <c r="P92" s="26"/>
      <c r="Q92" s="26"/>
      <c r="R92" s="28"/>
      <c r="S92" s="27"/>
      <c r="T92" s="29"/>
    </row>
    <row r="93">
      <c r="A93" s="10"/>
      <c r="B93" s="10"/>
      <c r="C93" s="26"/>
      <c r="D93" s="10"/>
      <c r="E93" s="10"/>
      <c r="F93" s="27"/>
      <c r="G93" s="27"/>
      <c r="H93" s="27"/>
      <c r="I93" s="27"/>
      <c r="J93" s="27"/>
      <c r="K93" s="27"/>
      <c r="L93" s="28"/>
      <c r="M93" s="10"/>
      <c r="N93" s="10"/>
      <c r="O93" s="28"/>
      <c r="P93" s="26"/>
      <c r="Q93" s="26"/>
      <c r="R93" s="28"/>
      <c r="S93" s="27"/>
      <c r="T93" s="29"/>
    </row>
    <row r="94">
      <c r="A94" s="10"/>
      <c r="B94" s="10"/>
      <c r="C94" s="26"/>
      <c r="D94" s="10"/>
      <c r="E94" s="10"/>
      <c r="F94" s="27"/>
      <c r="G94" s="27"/>
      <c r="H94" s="27"/>
      <c r="I94" s="27"/>
      <c r="J94" s="27"/>
      <c r="K94" s="27"/>
      <c r="L94" s="28"/>
      <c r="M94" s="10"/>
      <c r="N94" s="10"/>
      <c r="O94" s="28"/>
      <c r="P94" s="26"/>
      <c r="Q94" s="26"/>
      <c r="R94" s="28"/>
      <c r="S94" s="27"/>
      <c r="T94" s="29"/>
    </row>
    <row r="95">
      <c r="A95" s="10"/>
      <c r="B95" s="10"/>
      <c r="C95" s="26"/>
      <c r="D95" s="10"/>
      <c r="E95" s="10"/>
      <c r="F95" s="27"/>
      <c r="G95" s="27"/>
      <c r="H95" s="27"/>
      <c r="I95" s="27"/>
      <c r="J95" s="27"/>
      <c r="K95" s="27"/>
      <c r="L95" s="28"/>
      <c r="M95" s="10"/>
      <c r="N95" s="10"/>
      <c r="O95" s="28"/>
      <c r="P95" s="26"/>
      <c r="Q95" s="26"/>
      <c r="R95" s="28"/>
      <c r="S95" s="27"/>
      <c r="T95" s="29"/>
    </row>
    <row r="96">
      <c r="A96" s="10"/>
      <c r="B96" s="10"/>
      <c r="C96" s="26"/>
      <c r="D96" s="10"/>
      <c r="E96" s="10"/>
      <c r="F96" s="27"/>
      <c r="G96" s="27"/>
      <c r="H96" s="27"/>
      <c r="I96" s="27"/>
      <c r="J96" s="27"/>
      <c r="K96" s="27"/>
      <c r="L96" s="28"/>
      <c r="M96" s="10"/>
      <c r="N96" s="10"/>
      <c r="O96" s="28"/>
      <c r="P96" s="26"/>
      <c r="Q96" s="26"/>
      <c r="R96" s="28"/>
      <c r="S96" s="27"/>
      <c r="T96" s="29"/>
    </row>
    <row r="97">
      <c r="A97" s="10"/>
      <c r="B97" s="10"/>
      <c r="C97" s="26"/>
      <c r="D97" s="10"/>
      <c r="E97" s="10"/>
      <c r="F97" s="27"/>
      <c r="G97" s="27"/>
      <c r="H97" s="27"/>
      <c r="I97" s="27"/>
      <c r="J97" s="27"/>
      <c r="K97" s="27"/>
      <c r="L97" s="28"/>
      <c r="M97" s="10"/>
      <c r="N97" s="10"/>
      <c r="O97" s="28"/>
      <c r="P97" s="86"/>
      <c r="Q97" s="86"/>
      <c r="R97" s="28"/>
      <c r="S97" s="27"/>
      <c r="T97" s="29"/>
    </row>
    <row r="98">
      <c r="A98" s="10"/>
      <c r="B98" s="10"/>
      <c r="C98" s="26"/>
      <c r="D98" s="10"/>
      <c r="E98" s="10"/>
      <c r="F98" s="27"/>
      <c r="G98" s="27"/>
      <c r="H98" s="27"/>
      <c r="I98" s="27"/>
      <c r="J98" s="27"/>
      <c r="K98" s="27"/>
      <c r="L98" s="28"/>
      <c r="M98" s="28"/>
      <c r="N98" s="10"/>
      <c r="O98" s="28"/>
      <c r="P98" s="26"/>
      <c r="Q98" s="26"/>
      <c r="R98" s="28"/>
      <c r="S98" s="27"/>
      <c r="T98" s="29"/>
    </row>
    <row r="99">
      <c r="A99" s="10"/>
      <c r="B99" s="10"/>
      <c r="C99" s="26"/>
      <c r="D99" s="10"/>
      <c r="E99" s="10"/>
      <c r="F99" s="27"/>
      <c r="G99" s="27"/>
      <c r="H99" s="27"/>
      <c r="I99" s="27"/>
      <c r="J99" s="27"/>
      <c r="K99" s="27"/>
      <c r="L99" s="28"/>
      <c r="M99" s="10"/>
      <c r="N99" s="10"/>
      <c r="O99" s="28"/>
      <c r="P99" s="26"/>
      <c r="Q99" s="26"/>
      <c r="R99" s="28"/>
      <c r="S99" s="27"/>
      <c r="T99" s="29"/>
    </row>
    <row r="100">
      <c r="A100" s="10"/>
      <c r="B100" s="10"/>
      <c r="C100" s="26"/>
      <c r="D100" s="10"/>
      <c r="E100" s="10"/>
      <c r="F100" s="27"/>
      <c r="G100" s="27"/>
      <c r="H100" s="27"/>
      <c r="I100" s="27"/>
      <c r="J100" s="27"/>
      <c r="K100" s="27"/>
      <c r="L100" s="28"/>
      <c r="M100" s="10"/>
      <c r="N100" s="10"/>
      <c r="O100" s="28"/>
      <c r="P100" s="26"/>
      <c r="Q100" s="26"/>
      <c r="R100" s="28"/>
      <c r="S100" s="27"/>
      <c r="T100" s="29"/>
    </row>
    <row r="101">
      <c r="A101" s="10"/>
      <c r="B101" s="10"/>
      <c r="C101" s="26"/>
      <c r="D101" s="10"/>
      <c r="E101" s="10"/>
      <c r="F101" s="27"/>
      <c r="G101" s="27"/>
      <c r="H101" s="27"/>
      <c r="I101" s="27"/>
      <c r="J101" s="27"/>
      <c r="K101" s="27"/>
      <c r="L101" s="28"/>
      <c r="M101" s="10"/>
      <c r="N101" s="10"/>
      <c r="O101" s="28"/>
      <c r="P101" s="86"/>
      <c r="Q101" s="86"/>
      <c r="R101" s="28"/>
      <c r="S101" s="27"/>
      <c r="T101" s="29"/>
    </row>
    <row r="102">
      <c r="A102" s="10"/>
      <c r="B102" s="10"/>
      <c r="C102" s="26"/>
      <c r="D102" s="10"/>
      <c r="E102" s="10"/>
      <c r="F102" s="27"/>
      <c r="G102" s="27"/>
      <c r="H102" s="27"/>
      <c r="I102" s="27"/>
      <c r="J102" s="27"/>
      <c r="K102" s="27"/>
      <c r="L102" s="28"/>
      <c r="M102" s="10"/>
      <c r="N102" s="10"/>
      <c r="O102" s="28"/>
      <c r="P102" s="26"/>
      <c r="Q102" s="26"/>
      <c r="R102" s="28"/>
      <c r="S102" s="27"/>
      <c r="T102" s="29"/>
    </row>
    <row r="103">
      <c r="A103" s="10"/>
      <c r="B103" s="10"/>
      <c r="C103" s="26"/>
      <c r="D103" s="10"/>
      <c r="E103" s="10"/>
      <c r="F103" s="27"/>
      <c r="G103" s="27"/>
      <c r="H103" s="27"/>
      <c r="I103" s="27"/>
      <c r="J103" s="27"/>
      <c r="K103" s="27"/>
      <c r="L103" s="28"/>
      <c r="M103" s="10"/>
      <c r="N103" s="10"/>
      <c r="O103" s="28"/>
      <c r="P103" s="26"/>
      <c r="Q103" s="26"/>
      <c r="R103" s="28"/>
      <c r="S103" s="27"/>
      <c r="T103" s="29"/>
    </row>
    <row r="104">
      <c r="A104" s="10"/>
      <c r="B104" s="10"/>
      <c r="C104" s="26"/>
      <c r="D104" s="10"/>
      <c r="E104" s="10"/>
      <c r="F104" s="27"/>
      <c r="G104" s="27"/>
      <c r="H104" s="27"/>
      <c r="I104" s="27"/>
      <c r="J104" s="27"/>
      <c r="K104" s="27"/>
      <c r="L104" s="28"/>
      <c r="M104" s="10"/>
      <c r="N104" s="10"/>
      <c r="O104" s="28"/>
      <c r="P104" s="26"/>
      <c r="Q104" s="26"/>
      <c r="R104" s="28"/>
      <c r="S104" s="27"/>
      <c r="T104" s="29"/>
    </row>
    <row r="105">
      <c r="A105" s="10"/>
      <c r="B105" s="10"/>
      <c r="C105" s="26"/>
      <c r="D105" s="10"/>
      <c r="E105" s="10"/>
      <c r="F105" s="27"/>
      <c r="G105" s="27"/>
      <c r="H105" s="27"/>
      <c r="I105" s="27"/>
      <c r="J105" s="27"/>
      <c r="K105" s="27"/>
      <c r="L105" s="28"/>
      <c r="M105" s="10"/>
      <c r="N105" s="10"/>
      <c r="O105" s="28"/>
      <c r="P105" s="26"/>
      <c r="Q105" s="26"/>
      <c r="R105" s="28"/>
      <c r="S105" s="27"/>
      <c r="T105" s="29"/>
    </row>
    <row r="106">
      <c r="A106" s="10"/>
      <c r="B106" s="10"/>
      <c r="C106" s="26"/>
      <c r="D106" s="10"/>
      <c r="E106" s="10"/>
      <c r="F106" s="27"/>
      <c r="G106" s="27"/>
      <c r="H106" s="27"/>
      <c r="I106" s="27"/>
      <c r="J106" s="27"/>
      <c r="K106" s="27"/>
      <c r="L106" s="28"/>
      <c r="M106" s="10"/>
      <c r="N106" s="10"/>
      <c r="O106" s="28"/>
      <c r="P106" s="26"/>
      <c r="Q106" s="26"/>
      <c r="R106" s="28"/>
      <c r="S106" s="27"/>
      <c r="T106" s="29"/>
    </row>
    <row r="107">
      <c r="A107" s="10"/>
      <c r="B107" s="10"/>
      <c r="C107" s="26"/>
      <c r="D107" s="10"/>
      <c r="E107" s="10"/>
      <c r="F107" s="27"/>
      <c r="G107" s="27"/>
      <c r="H107" s="27"/>
      <c r="I107" s="27"/>
      <c r="J107" s="27"/>
      <c r="K107" s="27"/>
      <c r="L107" s="28"/>
      <c r="M107" s="10"/>
      <c r="N107" s="10"/>
      <c r="O107" s="28"/>
      <c r="P107" s="26"/>
      <c r="Q107" s="26"/>
      <c r="R107" s="28"/>
      <c r="S107" s="27"/>
      <c r="T107" s="29"/>
    </row>
    <row r="108">
      <c r="A108" s="10"/>
      <c r="B108" s="10"/>
      <c r="C108" s="26"/>
      <c r="D108" s="10"/>
      <c r="E108" s="10"/>
      <c r="F108" s="27"/>
      <c r="G108" s="27"/>
      <c r="H108" s="27"/>
      <c r="I108" s="27"/>
      <c r="J108" s="27"/>
      <c r="K108" s="27"/>
      <c r="L108" s="28"/>
      <c r="M108" s="10"/>
      <c r="N108" s="10"/>
      <c r="O108" s="28"/>
      <c r="P108" s="86"/>
      <c r="Q108" s="86"/>
      <c r="R108" s="28"/>
      <c r="S108" s="27"/>
      <c r="T108" s="29"/>
    </row>
    <row r="109">
      <c r="A109" s="10"/>
      <c r="B109" s="10"/>
      <c r="C109" s="26"/>
      <c r="D109" s="10"/>
      <c r="E109" s="10"/>
      <c r="F109" s="27"/>
      <c r="G109" s="27"/>
      <c r="H109" s="27"/>
      <c r="I109" s="27"/>
      <c r="J109" s="27"/>
      <c r="K109" s="27"/>
      <c r="L109" s="28"/>
      <c r="M109" s="10"/>
      <c r="N109" s="10"/>
      <c r="O109" s="28"/>
      <c r="P109" s="26"/>
      <c r="Q109" s="26"/>
      <c r="R109" s="28"/>
      <c r="S109" s="27"/>
      <c r="T109" s="29"/>
    </row>
    <row r="110">
      <c r="A110" s="10"/>
      <c r="B110" s="10"/>
      <c r="C110" s="26"/>
      <c r="D110" s="10"/>
      <c r="E110" s="10"/>
      <c r="F110" s="27"/>
      <c r="G110" s="27"/>
      <c r="H110" s="27"/>
      <c r="I110" s="27"/>
      <c r="J110" s="27"/>
      <c r="K110" s="27"/>
      <c r="L110" s="28"/>
      <c r="M110" s="10"/>
      <c r="N110" s="10"/>
      <c r="O110" s="28"/>
      <c r="P110" s="26"/>
      <c r="Q110" s="26"/>
      <c r="R110" s="28"/>
      <c r="S110" s="27"/>
      <c r="T110" s="29"/>
    </row>
    <row r="111">
      <c r="A111" s="10"/>
      <c r="B111" s="10"/>
      <c r="C111" s="26"/>
      <c r="D111" s="10"/>
      <c r="E111" s="10"/>
      <c r="F111" s="27"/>
      <c r="G111" s="27"/>
      <c r="H111" s="27"/>
      <c r="I111" s="27"/>
      <c r="J111" s="27"/>
      <c r="K111" s="27"/>
      <c r="L111" s="28"/>
      <c r="M111" s="10"/>
      <c r="N111" s="10"/>
      <c r="O111" s="28"/>
      <c r="P111" s="26"/>
      <c r="Q111" s="26"/>
      <c r="R111" s="28"/>
      <c r="S111" s="27"/>
      <c r="T111" s="29"/>
    </row>
    <row r="112">
      <c r="A112" s="10"/>
      <c r="B112" s="10"/>
      <c r="C112" s="26"/>
      <c r="D112" s="10"/>
      <c r="E112" s="10"/>
      <c r="F112" s="27"/>
      <c r="G112" s="27"/>
      <c r="H112" s="27"/>
      <c r="I112" s="27"/>
      <c r="J112" s="27"/>
      <c r="K112" s="27"/>
      <c r="L112" s="28"/>
      <c r="M112" s="10"/>
      <c r="N112" s="10"/>
      <c r="O112" s="28"/>
      <c r="P112" s="26"/>
      <c r="Q112" s="26"/>
      <c r="R112" s="28"/>
      <c r="S112" s="27"/>
      <c r="T112" s="29"/>
    </row>
    <row r="113">
      <c r="A113" s="10"/>
      <c r="B113" s="10"/>
      <c r="C113" s="26"/>
      <c r="D113" s="10"/>
      <c r="E113" s="10"/>
      <c r="F113" s="27"/>
      <c r="G113" s="27"/>
      <c r="H113" s="27"/>
      <c r="I113" s="27"/>
      <c r="J113" s="27"/>
      <c r="K113" s="27"/>
      <c r="L113" s="28"/>
      <c r="M113" s="10"/>
      <c r="N113" s="10"/>
      <c r="O113" s="28"/>
      <c r="P113" s="26"/>
      <c r="Q113" s="26"/>
      <c r="R113" s="28"/>
      <c r="S113" s="27"/>
      <c r="T113" s="29"/>
    </row>
    <row r="114">
      <c r="A114" s="10"/>
      <c r="B114" s="10"/>
      <c r="C114" s="26"/>
      <c r="D114" s="10"/>
      <c r="E114" s="10"/>
      <c r="F114" s="27"/>
      <c r="G114" s="27"/>
      <c r="H114" s="27"/>
      <c r="I114" s="27"/>
      <c r="J114" s="27"/>
      <c r="K114" s="27"/>
      <c r="L114" s="28"/>
      <c r="M114" s="10"/>
      <c r="N114" s="10"/>
      <c r="O114" s="28"/>
      <c r="P114" s="26"/>
      <c r="Q114" s="26"/>
      <c r="R114" s="28"/>
      <c r="S114" s="27"/>
      <c r="T114" s="29"/>
    </row>
    <row r="115">
      <c r="A115" s="10"/>
      <c r="B115" s="10"/>
      <c r="C115" s="26"/>
      <c r="D115" s="10"/>
      <c r="E115" s="10"/>
      <c r="F115" s="27"/>
      <c r="G115" s="27"/>
      <c r="H115" s="27"/>
      <c r="I115" s="27"/>
      <c r="J115" s="27"/>
      <c r="K115" s="27"/>
      <c r="L115" s="28"/>
      <c r="M115" s="10"/>
      <c r="N115" s="10"/>
      <c r="O115" s="28"/>
      <c r="P115" s="26"/>
      <c r="Q115" s="26"/>
      <c r="R115" s="28"/>
      <c r="S115" s="27"/>
      <c r="T115" s="29"/>
    </row>
    <row r="116">
      <c r="A116" s="10"/>
      <c r="B116" s="10"/>
      <c r="C116" s="26"/>
      <c r="D116" s="10"/>
      <c r="E116" s="10"/>
      <c r="F116" s="27"/>
      <c r="G116" s="27"/>
      <c r="H116" s="27"/>
      <c r="I116" s="27"/>
      <c r="J116" s="27"/>
      <c r="K116" s="27"/>
      <c r="L116" s="28"/>
      <c r="M116" s="28"/>
      <c r="N116" s="10"/>
      <c r="O116" s="28"/>
      <c r="P116" s="26"/>
      <c r="Q116" s="26"/>
      <c r="R116" s="28"/>
      <c r="S116" s="27"/>
      <c r="T116" s="29"/>
    </row>
    <row r="117">
      <c r="A117" s="10"/>
      <c r="B117" s="10"/>
      <c r="C117" s="26"/>
      <c r="D117" s="10"/>
      <c r="E117" s="10"/>
      <c r="F117" s="27"/>
      <c r="G117" s="27"/>
      <c r="H117" s="27"/>
      <c r="I117" s="27"/>
      <c r="J117" s="27"/>
      <c r="K117" s="27"/>
      <c r="L117" s="28"/>
      <c r="M117" s="10"/>
      <c r="N117" s="10"/>
      <c r="O117" s="28"/>
      <c r="P117" s="86"/>
      <c r="Q117" s="86"/>
      <c r="R117" s="28"/>
      <c r="S117" s="27"/>
      <c r="T117" s="29"/>
    </row>
    <row r="118">
      <c r="A118" s="10"/>
      <c r="B118" s="10"/>
      <c r="C118" s="26"/>
      <c r="D118" s="10"/>
      <c r="E118" s="10"/>
      <c r="F118" s="27"/>
      <c r="G118" s="27"/>
      <c r="H118" s="27"/>
      <c r="I118" s="27"/>
      <c r="J118" s="27"/>
      <c r="K118" s="27"/>
      <c r="L118" s="28"/>
      <c r="M118" s="10"/>
      <c r="N118" s="10"/>
      <c r="O118" s="28"/>
      <c r="P118" s="26"/>
      <c r="Q118" s="26"/>
      <c r="R118" s="28"/>
      <c r="S118" s="27"/>
      <c r="T118" s="29"/>
    </row>
    <row r="119">
      <c r="A119" s="10"/>
      <c r="B119" s="10"/>
      <c r="C119" s="26"/>
      <c r="D119" s="10"/>
      <c r="E119" s="10"/>
      <c r="F119" s="27"/>
      <c r="G119" s="27"/>
      <c r="H119" s="27"/>
      <c r="I119" s="27"/>
      <c r="J119" s="27"/>
      <c r="K119" s="27"/>
      <c r="L119" s="28"/>
      <c r="M119" s="10"/>
      <c r="N119" s="10"/>
      <c r="O119" s="28"/>
      <c r="P119" s="26"/>
      <c r="Q119" s="26"/>
      <c r="R119" s="28"/>
      <c r="S119" s="27"/>
      <c r="T119" s="29"/>
    </row>
    <row r="120">
      <c r="A120" s="10"/>
      <c r="B120" s="10"/>
      <c r="C120" s="26"/>
      <c r="D120" s="10"/>
      <c r="E120" s="10"/>
      <c r="F120" s="27"/>
      <c r="G120" s="27"/>
      <c r="H120" s="27"/>
      <c r="I120" s="27"/>
      <c r="J120" s="27"/>
      <c r="K120" s="27"/>
      <c r="L120" s="28"/>
      <c r="M120" s="10"/>
      <c r="N120" s="10"/>
      <c r="O120" s="28"/>
      <c r="P120" s="86"/>
      <c r="Q120" s="86"/>
      <c r="R120" s="28"/>
      <c r="S120" s="27"/>
      <c r="T120" s="29"/>
    </row>
    <row r="121">
      <c r="A121" s="10"/>
      <c r="B121" s="10"/>
      <c r="C121" s="26"/>
      <c r="D121" s="10"/>
      <c r="E121" s="10"/>
      <c r="F121" s="27"/>
      <c r="G121" s="27"/>
      <c r="H121" s="27"/>
      <c r="I121" s="27"/>
      <c r="J121" s="27"/>
      <c r="K121" s="27"/>
      <c r="L121" s="28"/>
      <c r="M121" s="10"/>
      <c r="N121" s="10"/>
      <c r="O121" s="28"/>
      <c r="P121" s="26"/>
      <c r="Q121" s="26"/>
      <c r="R121" s="28"/>
      <c r="S121" s="27"/>
      <c r="T121" s="29"/>
    </row>
    <row r="122">
      <c r="A122" s="10"/>
      <c r="B122" s="10"/>
      <c r="C122" s="26"/>
      <c r="D122" s="10"/>
      <c r="E122" s="10"/>
      <c r="F122" s="27"/>
      <c r="G122" s="27"/>
      <c r="H122" s="27"/>
      <c r="I122" s="27"/>
      <c r="J122" s="27"/>
      <c r="K122" s="27"/>
      <c r="L122" s="28"/>
      <c r="M122" s="10"/>
      <c r="N122" s="10"/>
      <c r="O122" s="28"/>
      <c r="P122" s="86"/>
      <c r="Q122" s="86"/>
      <c r="R122" s="28"/>
      <c r="S122" s="27"/>
      <c r="T122" s="29"/>
    </row>
    <row r="123">
      <c r="A123" s="10"/>
      <c r="B123" s="10"/>
      <c r="C123" s="26"/>
      <c r="D123" s="10"/>
      <c r="E123" s="10"/>
      <c r="F123" s="27"/>
      <c r="G123" s="27"/>
      <c r="H123" s="27"/>
      <c r="I123" s="27"/>
      <c r="J123" s="27"/>
      <c r="K123" s="27"/>
      <c r="L123" s="28"/>
      <c r="M123" s="10"/>
      <c r="N123" s="10"/>
      <c r="O123" s="28"/>
      <c r="P123" s="26"/>
      <c r="Q123" s="26"/>
      <c r="R123" s="28"/>
      <c r="S123" s="27"/>
      <c r="T123" s="29"/>
    </row>
    <row r="124">
      <c r="A124" s="10"/>
      <c r="B124" s="10"/>
      <c r="C124" s="26"/>
      <c r="D124" s="10"/>
      <c r="E124" s="10"/>
      <c r="F124" s="27"/>
      <c r="G124" s="27"/>
      <c r="H124" s="27"/>
      <c r="I124" s="27"/>
      <c r="J124" s="27"/>
      <c r="K124" s="27"/>
      <c r="L124" s="28"/>
      <c r="M124" s="10"/>
      <c r="N124" s="10"/>
      <c r="O124" s="28"/>
      <c r="P124" s="26"/>
      <c r="Q124" s="26"/>
      <c r="R124" s="28"/>
      <c r="S124" s="27"/>
      <c r="T124" s="29"/>
    </row>
    <row r="125">
      <c r="A125" s="10"/>
      <c r="B125" s="10"/>
      <c r="C125" s="26"/>
      <c r="D125" s="10"/>
      <c r="E125" s="10"/>
      <c r="F125" s="27"/>
      <c r="G125" s="27"/>
      <c r="H125" s="27"/>
      <c r="I125" s="27"/>
      <c r="J125" s="27"/>
      <c r="K125" s="27"/>
      <c r="L125" s="28"/>
      <c r="M125" s="10"/>
      <c r="N125" s="10"/>
      <c r="O125" s="28"/>
      <c r="P125" s="26"/>
      <c r="Q125" s="26"/>
      <c r="R125" s="28"/>
      <c r="S125" s="27"/>
      <c r="T125" s="29"/>
    </row>
    <row r="126">
      <c r="A126" s="10"/>
      <c r="B126" s="10"/>
      <c r="C126" s="26"/>
      <c r="D126" s="10"/>
      <c r="E126" s="10"/>
      <c r="F126" s="27"/>
      <c r="G126" s="27"/>
      <c r="H126" s="27"/>
      <c r="I126" s="27"/>
      <c r="J126" s="27"/>
      <c r="K126" s="27"/>
      <c r="L126" s="28"/>
      <c r="M126" s="10"/>
      <c r="N126" s="10"/>
      <c r="O126" s="28"/>
      <c r="P126" s="26"/>
      <c r="Q126" s="26"/>
      <c r="R126" s="28"/>
      <c r="S126" s="27"/>
      <c r="T126" s="29"/>
    </row>
    <row r="127">
      <c r="A127" s="10"/>
      <c r="B127" s="10"/>
      <c r="C127" s="26"/>
      <c r="D127" s="10"/>
      <c r="E127" s="10"/>
      <c r="F127" s="27"/>
      <c r="G127" s="27"/>
      <c r="H127" s="27"/>
      <c r="I127" s="27"/>
      <c r="J127" s="27"/>
      <c r="K127" s="27"/>
      <c r="L127" s="28"/>
      <c r="M127" s="10"/>
      <c r="N127" s="10"/>
      <c r="O127" s="28"/>
      <c r="P127" s="86"/>
      <c r="Q127" s="86"/>
      <c r="R127" s="28"/>
      <c r="S127" s="27"/>
      <c r="T127" s="29"/>
    </row>
    <row r="128">
      <c r="A128" s="10"/>
      <c r="B128" s="10"/>
      <c r="C128" s="26"/>
      <c r="D128" s="10"/>
      <c r="E128" s="10"/>
      <c r="F128" s="27"/>
      <c r="G128" s="27"/>
      <c r="H128" s="27"/>
      <c r="I128" s="27"/>
      <c r="J128" s="27"/>
      <c r="K128" s="27"/>
      <c r="L128" s="28"/>
      <c r="M128" s="10"/>
      <c r="N128" s="10"/>
      <c r="O128" s="28"/>
      <c r="P128" s="26"/>
      <c r="Q128" s="26"/>
      <c r="R128" s="28"/>
      <c r="S128" s="27"/>
      <c r="T128" s="29"/>
    </row>
    <row r="129">
      <c r="A129" s="10"/>
      <c r="B129" s="10"/>
      <c r="C129" s="26"/>
      <c r="D129" s="10"/>
      <c r="E129" s="10"/>
      <c r="F129" s="27"/>
      <c r="G129" s="27"/>
      <c r="H129" s="27"/>
      <c r="I129" s="27"/>
      <c r="J129" s="27"/>
      <c r="K129" s="27"/>
      <c r="L129" s="28"/>
      <c r="M129" s="10"/>
      <c r="N129" s="10"/>
      <c r="O129" s="28"/>
      <c r="P129" s="86"/>
      <c r="Q129" s="86"/>
      <c r="R129" s="28"/>
      <c r="S129" s="27"/>
      <c r="T129" s="29"/>
    </row>
    <row r="130">
      <c r="A130" s="10"/>
      <c r="B130" s="10"/>
      <c r="C130" s="26"/>
      <c r="D130" s="10"/>
      <c r="E130" s="10"/>
      <c r="F130" s="27"/>
      <c r="G130" s="27"/>
      <c r="H130" s="27"/>
      <c r="I130" s="27"/>
      <c r="J130" s="27"/>
      <c r="K130" s="27"/>
      <c r="L130" s="28"/>
      <c r="M130" s="10"/>
      <c r="N130" s="10"/>
      <c r="O130" s="28"/>
      <c r="P130" s="86"/>
      <c r="Q130" s="86"/>
      <c r="R130" s="28"/>
      <c r="S130" s="27"/>
      <c r="T130" s="29"/>
    </row>
    <row r="131">
      <c r="A131" s="10"/>
      <c r="B131" s="10"/>
      <c r="C131" s="26"/>
      <c r="D131" s="10"/>
      <c r="E131" s="10"/>
      <c r="F131" s="27"/>
      <c r="G131" s="27"/>
      <c r="H131" s="27"/>
      <c r="I131" s="27"/>
      <c r="J131" s="27"/>
      <c r="K131" s="27"/>
      <c r="L131" s="28"/>
      <c r="M131" s="10"/>
      <c r="N131" s="10"/>
      <c r="O131" s="28"/>
      <c r="P131" s="26"/>
      <c r="Q131" s="26"/>
      <c r="R131" s="28"/>
      <c r="S131" s="27"/>
      <c r="T131" s="29"/>
    </row>
    <row r="132">
      <c r="A132" s="10"/>
      <c r="B132" s="10"/>
      <c r="C132" s="26"/>
      <c r="D132" s="10"/>
      <c r="E132" s="10"/>
      <c r="F132" s="27"/>
      <c r="G132" s="27"/>
      <c r="H132" s="27"/>
      <c r="I132" s="27"/>
      <c r="J132" s="27"/>
      <c r="K132" s="27"/>
      <c r="L132" s="28"/>
      <c r="M132" s="10"/>
      <c r="N132" s="10"/>
      <c r="O132" s="28"/>
      <c r="P132" s="26"/>
      <c r="Q132" s="26"/>
      <c r="R132" s="28"/>
      <c r="S132" s="27"/>
      <c r="T132" s="29"/>
    </row>
    <row r="133">
      <c r="A133" s="10"/>
      <c r="B133" s="10"/>
      <c r="C133" s="26"/>
      <c r="D133" s="10"/>
      <c r="E133" s="10"/>
      <c r="F133" s="27"/>
      <c r="G133" s="27"/>
      <c r="H133" s="27"/>
      <c r="I133" s="27"/>
      <c r="J133" s="27"/>
      <c r="K133" s="27"/>
      <c r="L133" s="28"/>
      <c r="M133" s="10"/>
      <c r="N133" s="10"/>
      <c r="O133" s="28"/>
      <c r="P133" s="26"/>
      <c r="Q133" s="26"/>
      <c r="R133" s="28"/>
      <c r="S133" s="27"/>
      <c r="T133" s="29"/>
    </row>
    <row r="134">
      <c r="A134" s="10"/>
      <c r="B134" s="10"/>
      <c r="C134" s="26"/>
      <c r="D134" s="10"/>
      <c r="E134" s="10"/>
      <c r="F134" s="27"/>
      <c r="G134" s="27"/>
      <c r="H134" s="27"/>
      <c r="I134" s="27"/>
      <c r="J134" s="27"/>
      <c r="K134" s="27"/>
      <c r="L134" s="28"/>
      <c r="M134" s="10"/>
      <c r="N134" s="10"/>
      <c r="O134" s="28"/>
      <c r="P134" s="26"/>
      <c r="Q134" s="26"/>
      <c r="R134" s="28"/>
      <c r="S134" s="27"/>
      <c r="T134" s="29"/>
    </row>
    <row r="135">
      <c r="A135" s="10"/>
      <c r="B135" s="10"/>
      <c r="C135" s="26"/>
      <c r="D135" s="10"/>
      <c r="E135" s="10"/>
      <c r="F135" s="27"/>
      <c r="G135" s="27"/>
      <c r="H135" s="27"/>
      <c r="I135" s="27"/>
      <c r="J135" s="27"/>
      <c r="K135" s="27"/>
      <c r="L135" s="28"/>
      <c r="M135" s="10"/>
      <c r="N135" s="10"/>
      <c r="O135" s="28"/>
      <c r="P135" s="26"/>
      <c r="Q135" s="26"/>
      <c r="R135" s="28"/>
      <c r="S135" s="27"/>
      <c r="T135" s="29"/>
    </row>
    <row r="136">
      <c r="A136" s="10"/>
      <c r="B136" s="10"/>
      <c r="C136" s="26"/>
      <c r="D136" s="10"/>
      <c r="E136" s="10"/>
      <c r="F136" s="27"/>
      <c r="G136" s="27"/>
      <c r="H136" s="27"/>
      <c r="I136" s="27"/>
      <c r="J136" s="27"/>
      <c r="K136" s="27"/>
      <c r="L136" s="28"/>
      <c r="M136" s="10"/>
      <c r="N136" s="10"/>
      <c r="O136" s="28"/>
      <c r="P136" s="26"/>
      <c r="Q136" s="26"/>
      <c r="R136" s="28"/>
      <c r="S136" s="27"/>
      <c r="T136" s="29"/>
    </row>
    <row r="137">
      <c r="A137" s="10"/>
      <c r="B137" s="10"/>
      <c r="C137" s="26"/>
      <c r="D137" s="10"/>
      <c r="E137" s="10"/>
      <c r="F137" s="27"/>
      <c r="G137" s="27"/>
      <c r="H137" s="27"/>
      <c r="I137" s="27"/>
      <c r="J137" s="27"/>
      <c r="K137" s="27"/>
      <c r="L137" s="28"/>
      <c r="M137" s="10"/>
      <c r="N137" s="10"/>
      <c r="O137" s="28"/>
      <c r="P137" s="26"/>
      <c r="Q137" s="26"/>
      <c r="R137" s="28"/>
      <c r="S137" s="27"/>
      <c r="T137" s="29"/>
    </row>
    <row r="138">
      <c r="A138" s="10"/>
      <c r="B138" s="10"/>
      <c r="C138" s="26"/>
      <c r="D138" s="10"/>
      <c r="E138" s="10"/>
      <c r="F138" s="27"/>
      <c r="G138" s="27"/>
      <c r="H138" s="27"/>
      <c r="I138" s="27"/>
      <c r="J138" s="27"/>
      <c r="K138" s="27"/>
      <c r="L138" s="28"/>
      <c r="M138" s="10"/>
      <c r="N138" s="10"/>
      <c r="O138" s="28"/>
      <c r="P138" s="86"/>
      <c r="Q138" s="86"/>
      <c r="R138" s="28"/>
      <c r="S138" s="27"/>
      <c r="T138" s="29"/>
    </row>
    <row r="139">
      <c r="A139" s="10"/>
      <c r="B139" s="10"/>
      <c r="C139" s="26"/>
      <c r="D139" s="10"/>
      <c r="E139" s="10"/>
      <c r="F139" s="27"/>
      <c r="G139" s="27"/>
      <c r="H139" s="27"/>
      <c r="I139" s="27"/>
      <c r="J139" s="27"/>
      <c r="K139" s="27"/>
      <c r="L139" s="28"/>
      <c r="M139" s="10"/>
      <c r="N139" s="10"/>
      <c r="O139" s="28"/>
      <c r="P139" s="26"/>
      <c r="Q139" s="26"/>
      <c r="R139" s="28"/>
      <c r="S139" s="27"/>
      <c r="T139" s="29"/>
    </row>
    <row r="140">
      <c r="A140" s="10"/>
      <c r="B140" s="10"/>
      <c r="C140" s="26"/>
      <c r="D140" s="10"/>
      <c r="E140" s="10"/>
      <c r="F140" s="27"/>
      <c r="G140" s="27"/>
      <c r="H140" s="27"/>
      <c r="I140" s="27"/>
      <c r="J140" s="27"/>
      <c r="K140" s="27"/>
      <c r="L140" s="28"/>
      <c r="M140" s="10"/>
      <c r="N140" s="10"/>
      <c r="O140" s="28"/>
      <c r="P140" s="26"/>
      <c r="Q140" s="26"/>
      <c r="R140" s="28"/>
      <c r="S140" s="27"/>
      <c r="T140" s="29"/>
    </row>
    <row r="141">
      <c r="A141" s="10"/>
      <c r="B141" s="10"/>
      <c r="C141" s="26"/>
      <c r="D141" s="10"/>
      <c r="E141" s="10"/>
      <c r="F141" s="27"/>
      <c r="G141" s="27"/>
      <c r="H141" s="27"/>
      <c r="I141" s="27"/>
      <c r="J141" s="27"/>
      <c r="K141" s="27"/>
      <c r="L141" s="28"/>
      <c r="M141" s="28"/>
      <c r="N141" s="10"/>
      <c r="O141" s="28"/>
      <c r="P141" s="26"/>
      <c r="Q141" s="26"/>
      <c r="R141" s="28"/>
      <c r="S141" s="27"/>
      <c r="T141" s="29"/>
    </row>
    <row r="142">
      <c r="A142" s="10"/>
      <c r="B142" s="10"/>
      <c r="C142" s="26"/>
      <c r="D142" s="10"/>
      <c r="E142" s="10"/>
      <c r="F142" s="27"/>
      <c r="G142" s="27"/>
      <c r="H142" s="27"/>
      <c r="I142" s="27"/>
      <c r="J142" s="27"/>
      <c r="K142" s="27"/>
      <c r="L142" s="28"/>
      <c r="M142" s="10"/>
      <c r="N142" s="10"/>
      <c r="O142" s="28"/>
      <c r="P142" s="86"/>
      <c r="Q142" s="86"/>
      <c r="R142" s="28"/>
      <c r="S142" s="27"/>
      <c r="T142" s="29"/>
    </row>
    <row r="143">
      <c r="A143" s="10"/>
      <c r="B143" s="10"/>
      <c r="C143" s="26"/>
      <c r="D143" s="10"/>
      <c r="E143" s="10"/>
      <c r="F143" s="27"/>
      <c r="G143" s="27"/>
      <c r="H143" s="27"/>
      <c r="I143" s="27"/>
      <c r="J143" s="27"/>
      <c r="K143" s="27"/>
      <c r="L143" s="28"/>
      <c r="M143" s="10"/>
      <c r="N143" s="10"/>
      <c r="O143" s="28"/>
      <c r="P143" s="26"/>
      <c r="Q143" s="26"/>
      <c r="R143" s="28"/>
      <c r="S143" s="27"/>
      <c r="T143" s="29"/>
    </row>
    <row r="144">
      <c r="A144" s="10"/>
      <c r="B144" s="10"/>
      <c r="C144" s="26"/>
      <c r="D144" s="10"/>
      <c r="E144" s="10"/>
      <c r="F144" s="27"/>
      <c r="G144" s="27"/>
      <c r="H144" s="27"/>
      <c r="I144" s="27"/>
      <c r="J144" s="27"/>
      <c r="K144" s="27"/>
      <c r="L144" s="28"/>
      <c r="M144" s="10"/>
      <c r="N144" s="10"/>
      <c r="O144" s="28"/>
      <c r="P144" s="26"/>
      <c r="Q144" s="26"/>
      <c r="R144" s="28"/>
      <c r="S144" s="27"/>
      <c r="T144" s="29"/>
    </row>
    <row r="145">
      <c r="A145" s="10"/>
      <c r="B145" s="10"/>
      <c r="C145" s="26"/>
      <c r="D145" s="10"/>
      <c r="E145" s="10"/>
      <c r="F145" s="27"/>
      <c r="G145" s="27"/>
      <c r="H145" s="27"/>
      <c r="I145" s="27"/>
      <c r="J145" s="27"/>
      <c r="K145" s="27"/>
      <c r="L145" s="28"/>
      <c r="M145" s="10"/>
      <c r="N145" s="10"/>
      <c r="O145" s="28"/>
      <c r="P145" s="26"/>
      <c r="Q145" s="26"/>
      <c r="R145" s="28"/>
      <c r="S145" s="27"/>
      <c r="T145" s="29"/>
    </row>
    <row r="146">
      <c r="A146" s="10"/>
      <c r="B146" s="10"/>
      <c r="C146" s="26"/>
      <c r="D146" s="10"/>
      <c r="E146" s="10"/>
      <c r="F146" s="27"/>
      <c r="G146" s="27"/>
      <c r="H146" s="27"/>
      <c r="I146" s="27"/>
      <c r="J146" s="27"/>
      <c r="K146" s="27"/>
      <c r="L146" s="28"/>
      <c r="M146" s="10"/>
      <c r="N146" s="10"/>
      <c r="O146" s="28"/>
      <c r="P146" s="26"/>
      <c r="Q146" s="26"/>
      <c r="R146" s="28"/>
      <c r="S146" s="27"/>
      <c r="T146" s="29"/>
    </row>
    <row r="147">
      <c r="A147" s="10"/>
      <c r="B147" s="10"/>
      <c r="C147" s="26"/>
      <c r="D147" s="10"/>
      <c r="E147" s="10"/>
      <c r="F147" s="27"/>
      <c r="G147" s="27"/>
      <c r="H147" s="27"/>
      <c r="I147" s="27"/>
      <c r="J147" s="27"/>
      <c r="K147" s="27"/>
      <c r="L147" s="28"/>
      <c r="M147" s="28"/>
      <c r="N147" s="10"/>
      <c r="O147" s="28"/>
      <c r="P147" s="86"/>
      <c r="Q147" s="86"/>
      <c r="R147" s="28"/>
      <c r="S147" s="27"/>
      <c r="T147" s="29"/>
    </row>
    <row r="148">
      <c r="A148" s="10"/>
      <c r="B148" s="10"/>
      <c r="C148" s="26"/>
      <c r="D148" s="10"/>
      <c r="E148" s="10"/>
      <c r="F148" s="27"/>
      <c r="G148" s="27"/>
      <c r="H148" s="27"/>
      <c r="I148" s="27"/>
      <c r="J148" s="27"/>
      <c r="K148" s="27"/>
      <c r="L148" s="28"/>
      <c r="M148" s="10"/>
      <c r="N148" s="10"/>
      <c r="O148" s="28"/>
      <c r="P148" s="26"/>
      <c r="Q148" s="26"/>
      <c r="R148" s="28"/>
      <c r="S148" s="27"/>
      <c r="T148" s="29"/>
    </row>
    <row r="149">
      <c r="A149" s="10"/>
      <c r="B149" s="10"/>
      <c r="C149" s="26"/>
      <c r="D149" s="10"/>
      <c r="E149" s="10"/>
      <c r="F149" s="27"/>
      <c r="G149" s="27"/>
      <c r="H149" s="27"/>
      <c r="I149" s="27"/>
      <c r="J149" s="27"/>
      <c r="K149" s="27"/>
      <c r="L149" s="28"/>
      <c r="M149" s="10"/>
      <c r="N149" s="10"/>
      <c r="O149" s="28"/>
      <c r="P149" s="26"/>
      <c r="Q149" s="26"/>
      <c r="R149" s="28"/>
      <c r="S149" s="27"/>
      <c r="T149" s="29"/>
    </row>
    <row r="150">
      <c r="A150" s="10"/>
      <c r="B150" s="10"/>
      <c r="C150" s="26"/>
      <c r="D150" s="10"/>
      <c r="E150" s="10"/>
      <c r="F150" s="27"/>
      <c r="G150" s="27"/>
      <c r="H150" s="27"/>
      <c r="I150" s="27"/>
      <c r="J150" s="27"/>
      <c r="K150" s="27"/>
      <c r="L150" s="28"/>
      <c r="M150" s="10"/>
      <c r="N150" s="10"/>
      <c r="O150" s="28"/>
      <c r="P150" s="26"/>
      <c r="Q150" s="26"/>
      <c r="R150" s="28"/>
      <c r="S150" s="27"/>
      <c r="T150" s="29"/>
    </row>
    <row r="151">
      <c r="A151" s="10"/>
      <c r="B151" s="10"/>
      <c r="C151" s="26"/>
      <c r="D151" s="10"/>
      <c r="E151" s="10"/>
      <c r="F151" s="27"/>
      <c r="G151" s="27"/>
      <c r="H151" s="27"/>
      <c r="I151" s="27"/>
      <c r="J151" s="27"/>
      <c r="K151" s="27"/>
      <c r="L151" s="28"/>
      <c r="M151" s="10"/>
      <c r="N151" s="10"/>
      <c r="O151" s="28"/>
      <c r="P151" s="26"/>
      <c r="Q151" s="26"/>
      <c r="R151" s="28"/>
      <c r="S151" s="27"/>
      <c r="T151" s="29"/>
    </row>
    <row r="152">
      <c r="A152" s="10"/>
      <c r="B152" s="10"/>
      <c r="C152" s="26"/>
      <c r="D152" s="10"/>
      <c r="E152" s="10"/>
      <c r="F152" s="27"/>
      <c r="G152" s="27"/>
      <c r="H152" s="27"/>
      <c r="I152" s="27"/>
      <c r="J152" s="27"/>
      <c r="K152" s="27"/>
      <c r="L152" s="28"/>
      <c r="M152" s="10"/>
      <c r="N152" s="10"/>
      <c r="O152" s="28"/>
      <c r="P152" s="26"/>
      <c r="Q152" s="26"/>
      <c r="R152" s="28"/>
      <c r="S152" s="27"/>
      <c r="T152" s="29"/>
    </row>
    <row r="153">
      <c r="A153" s="10"/>
      <c r="B153" s="10"/>
      <c r="C153" s="26"/>
      <c r="D153" s="10"/>
      <c r="E153" s="10"/>
      <c r="F153" s="27"/>
      <c r="G153" s="27"/>
      <c r="H153" s="27"/>
      <c r="I153" s="27"/>
      <c r="J153" s="27"/>
      <c r="K153" s="27"/>
      <c r="L153" s="28"/>
      <c r="M153" s="10"/>
      <c r="N153" s="10"/>
      <c r="O153" s="28"/>
      <c r="P153" s="26"/>
      <c r="Q153" s="26"/>
      <c r="R153" s="28"/>
      <c r="S153" s="27"/>
      <c r="T153" s="29"/>
    </row>
    <row r="154">
      <c r="A154" s="10"/>
      <c r="B154" s="10"/>
      <c r="C154" s="26"/>
      <c r="D154" s="10"/>
      <c r="E154" s="10"/>
      <c r="F154" s="27"/>
      <c r="G154" s="27"/>
      <c r="H154" s="27"/>
      <c r="I154" s="27"/>
      <c r="J154" s="27"/>
      <c r="K154" s="27"/>
      <c r="L154" s="28"/>
      <c r="M154" s="10"/>
      <c r="N154" s="10"/>
      <c r="O154" s="28"/>
      <c r="P154" s="26"/>
      <c r="Q154" s="26"/>
      <c r="R154" s="28"/>
      <c r="S154" s="27"/>
      <c r="T154" s="29"/>
    </row>
    <row r="155">
      <c r="A155" s="10"/>
      <c r="B155" s="10"/>
      <c r="C155" s="26"/>
      <c r="D155" s="10"/>
      <c r="E155" s="10"/>
      <c r="F155" s="27"/>
      <c r="G155" s="27"/>
      <c r="H155" s="27"/>
      <c r="I155" s="27"/>
      <c r="J155" s="27"/>
      <c r="K155" s="27"/>
      <c r="L155" s="28"/>
      <c r="M155" s="10"/>
      <c r="N155" s="10"/>
      <c r="O155" s="28"/>
      <c r="P155" s="26"/>
      <c r="Q155" s="26"/>
      <c r="R155" s="28"/>
      <c r="S155" s="27"/>
      <c r="T155" s="29"/>
    </row>
    <row r="156">
      <c r="A156" s="10"/>
      <c r="B156" s="10"/>
      <c r="C156" s="26"/>
      <c r="D156" s="10"/>
      <c r="E156" s="10"/>
      <c r="F156" s="27"/>
      <c r="G156" s="27"/>
      <c r="H156" s="27"/>
      <c r="I156" s="27"/>
      <c r="J156" s="27"/>
      <c r="K156" s="27"/>
      <c r="L156" s="28"/>
      <c r="M156" s="10"/>
      <c r="N156" s="10"/>
      <c r="O156" s="28"/>
      <c r="P156" s="26"/>
      <c r="Q156" s="26"/>
      <c r="R156" s="28"/>
      <c r="S156" s="27"/>
      <c r="T156" s="29"/>
    </row>
    <row r="157">
      <c r="A157" s="10"/>
      <c r="B157" s="10"/>
      <c r="C157" s="26"/>
      <c r="D157" s="10"/>
      <c r="E157" s="10"/>
      <c r="F157" s="27"/>
      <c r="G157" s="27"/>
      <c r="H157" s="27"/>
      <c r="I157" s="27"/>
      <c r="J157" s="27"/>
      <c r="K157" s="27"/>
      <c r="L157" s="28"/>
      <c r="M157" s="10"/>
      <c r="N157" s="10"/>
      <c r="O157" s="28"/>
      <c r="P157" s="26"/>
      <c r="Q157" s="26"/>
      <c r="R157" s="28"/>
      <c r="S157" s="27"/>
      <c r="T157" s="29"/>
    </row>
    <row r="158">
      <c r="A158" s="10"/>
      <c r="B158" s="10"/>
      <c r="C158" s="26"/>
      <c r="D158" s="10"/>
      <c r="E158" s="10"/>
      <c r="F158" s="27"/>
      <c r="G158" s="27"/>
      <c r="H158" s="27"/>
      <c r="I158" s="27"/>
      <c r="J158" s="27"/>
      <c r="K158" s="27"/>
      <c r="L158" s="28"/>
      <c r="M158" s="10"/>
      <c r="N158" s="10"/>
      <c r="O158" s="28"/>
      <c r="P158" s="26"/>
      <c r="Q158" s="26"/>
      <c r="R158" s="28"/>
      <c r="S158" s="27"/>
      <c r="T158" s="29"/>
    </row>
    <row r="159">
      <c r="A159" s="10"/>
      <c r="B159" s="10"/>
      <c r="C159" s="26"/>
      <c r="D159" s="10"/>
      <c r="E159" s="10"/>
      <c r="F159" s="27"/>
      <c r="G159" s="27"/>
      <c r="H159" s="27"/>
      <c r="I159" s="27"/>
      <c r="J159" s="27"/>
      <c r="K159" s="27"/>
      <c r="L159" s="28"/>
      <c r="M159" s="10"/>
      <c r="N159" s="10"/>
      <c r="O159" s="28"/>
      <c r="P159" s="26"/>
      <c r="Q159" s="26"/>
      <c r="R159" s="28"/>
      <c r="S159" s="27"/>
      <c r="T159" s="29"/>
    </row>
    <row r="160">
      <c r="A160" s="10"/>
      <c r="B160" s="10"/>
      <c r="C160" s="26"/>
      <c r="D160" s="10"/>
      <c r="E160" s="10"/>
      <c r="F160" s="27"/>
      <c r="G160" s="27"/>
      <c r="H160" s="27"/>
      <c r="I160" s="27"/>
      <c r="J160" s="27"/>
      <c r="K160" s="27"/>
      <c r="L160" s="28"/>
      <c r="M160" s="10"/>
      <c r="N160" s="10"/>
      <c r="O160" s="28"/>
      <c r="P160" s="26"/>
      <c r="Q160" s="26"/>
      <c r="R160" s="28"/>
      <c r="S160" s="27"/>
      <c r="T160" s="29"/>
    </row>
    <row r="161">
      <c r="A161" s="10"/>
      <c r="B161" s="10"/>
      <c r="C161" s="26"/>
      <c r="D161" s="10"/>
      <c r="E161" s="10"/>
      <c r="F161" s="27"/>
      <c r="G161" s="27"/>
      <c r="H161" s="27"/>
      <c r="I161" s="27"/>
      <c r="J161" s="27"/>
      <c r="K161" s="27"/>
      <c r="L161" s="28"/>
      <c r="M161" s="10"/>
      <c r="N161" s="10"/>
      <c r="O161" s="28"/>
      <c r="P161" s="86"/>
      <c r="Q161" s="86"/>
      <c r="R161" s="28"/>
      <c r="S161" s="27"/>
      <c r="T161" s="29"/>
    </row>
    <row r="162">
      <c r="A162" s="10"/>
      <c r="B162" s="10"/>
      <c r="C162" s="26"/>
      <c r="D162" s="10"/>
      <c r="E162" s="10"/>
      <c r="F162" s="27"/>
      <c r="G162" s="27"/>
      <c r="H162" s="27"/>
      <c r="I162" s="27"/>
      <c r="J162" s="27"/>
      <c r="K162" s="27"/>
      <c r="L162" s="28"/>
      <c r="M162" s="10"/>
      <c r="N162" s="10"/>
      <c r="O162" s="28"/>
      <c r="P162" s="26"/>
      <c r="Q162" s="26"/>
      <c r="R162" s="28"/>
      <c r="S162" s="27"/>
      <c r="T162" s="29"/>
    </row>
    <row r="163">
      <c r="A163" s="10"/>
      <c r="B163" s="10"/>
      <c r="C163" s="26"/>
      <c r="D163" s="10"/>
      <c r="E163" s="10"/>
      <c r="F163" s="27"/>
      <c r="G163" s="27"/>
      <c r="H163" s="27"/>
      <c r="I163" s="27"/>
      <c r="J163" s="27"/>
      <c r="K163" s="27"/>
      <c r="L163" s="28"/>
      <c r="M163" s="10"/>
      <c r="N163" s="10"/>
      <c r="O163" s="28"/>
      <c r="P163" s="86"/>
      <c r="Q163" s="86"/>
      <c r="R163" s="28"/>
      <c r="S163" s="27"/>
      <c r="T163" s="29"/>
    </row>
    <row r="164">
      <c r="A164" s="10"/>
      <c r="B164" s="10"/>
      <c r="C164" s="26"/>
      <c r="D164" s="10"/>
      <c r="E164" s="10"/>
      <c r="F164" s="27"/>
      <c r="G164" s="27"/>
      <c r="H164" s="27"/>
      <c r="I164" s="27"/>
      <c r="J164" s="27"/>
      <c r="K164" s="27"/>
      <c r="L164" s="28"/>
      <c r="M164" s="10"/>
      <c r="N164" s="10"/>
      <c r="O164" s="28"/>
      <c r="P164" s="26"/>
      <c r="Q164" s="26"/>
      <c r="R164" s="28"/>
      <c r="S164" s="27"/>
      <c r="T164" s="29"/>
    </row>
    <row r="165">
      <c r="A165" s="10"/>
      <c r="B165" s="10"/>
      <c r="C165" s="26"/>
      <c r="D165" s="10"/>
      <c r="E165" s="10"/>
      <c r="F165" s="27"/>
      <c r="G165" s="27"/>
      <c r="H165" s="27"/>
      <c r="I165" s="27"/>
      <c r="J165" s="27"/>
      <c r="K165" s="27"/>
      <c r="L165" s="28"/>
      <c r="M165" s="28"/>
      <c r="N165" s="10"/>
      <c r="O165" s="28"/>
      <c r="P165" s="26"/>
      <c r="Q165" s="26"/>
      <c r="R165" s="28"/>
      <c r="S165" s="27"/>
      <c r="T165" s="29"/>
    </row>
    <row r="166">
      <c r="A166" s="10"/>
      <c r="B166" s="10"/>
      <c r="C166" s="26"/>
      <c r="D166" s="10"/>
      <c r="E166" s="10"/>
      <c r="F166" s="27"/>
      <c r="G166" s="27"/>
      <c r="H166" s="27"/>
      <c r="I166" s="27"/>
      <c r="J166" s="27"/>
      <c r="K166" s="27"/>
      <c r="L166" s="28"/>
      <c r="M166" s="10"/>
      <c r="N166" s="10"/>
      <c r="O166" s="28"/>
      <c r="P166" s="26"/>
      <c r="Q166" s="26"/>
      <c r="R166" s="28"/>
      <c r="S166" s="27"/>
      <c r="T166" s="29"/>
    </row>
    <row r="167">
      <c r="A167" s="10"/>
      <c r="B167" s="10"/>
      <c r="C167" s="26"/>
      <c r="D167" s="10"/>
      <c r="E167" s="10"/>
      <c r="F167" s="27"/>
      <c r="G167" s="27"/>
      <c r="H167" s="27"/>
      <c r="I167" s="27"/>
      <c r="J167" s="27"/>
      <c r="K167" s="27"/>
      <c r="L167" s="28"/>
      <c r="M167" s="10"/>
      <c r="N167" s="10"/>
      <c r="O167" s="28"/>
      <c r="P167" s="26"/>
      <c r="Q167" s="26"/>
      <c r="R167" s="28"/>
      <c r="S167" s="27"/>
      <c r="T167" s="29"/>
    </row>
    <row r="168">
      <c r="A168" s="10"/>
      <c r="B168" s="10"/>
      <c r="C168" s="26"/>
      <c r="D168" s="10"/>
      <c r="E168" s="10"/>
      <c r="F168" s="27"/>
      <c r="G168" s="27"/>
      <c r="H168" s="27"/>
      <c r="I168" s="27"/>
      <c r="J168" s="27"/>
      <c r="K168" s="27"/>
      <c r="L168" s="28"/>
      <c r="M168" s="10"/>
      <c r="N168" s="10"/>
      <c r="O168" s="28"/>
      <c r="P168" s="86"/>
      <c r="Q168" s="86"/>
      <c r="R168" s="28"/>
      <c r="S168" s="27"/>
      <c r="T168" s="29"/>
    </row>
    <row r="169">
      <c r="A169" s="10"/>
      <c r="B169" s="10"/>
      <c r="C169" s="26"/>
      <c r="D169" s="10"/>
      <c r="E169" s="10"/>
      <c r="F169" s="27"/>
      <c r="G169" s="27"/>
      <c r="H169" s="27"/>
      <c r="I169" s="27"/>
      <c r="J169" s="27"/>
      <c r="K169" s="27"/>
      <c r="L169" s="28"/>
      <c r="M169" s="10"/>
      <c r="N169" s="10"/>
      <c r="O169" s="28"/>
      <c r="P169" s="26"/>
      <c r="Q169" s="26"/>
      <c r="R169" s="28"/>
      <c r="S169" s="27"/>
      <c r="T169" s="29"/>
    </row>
    <row r="170">
      <c r="A170" s="10"/>
      <c r="B170" s="10"/>
      <c r="C170" s="26"/>
      <c r="D170" s="10"/>
      <c r="E170" s="10"/>
      <c r="F170" s="27"/>
      <c r="G170" s="27"/>
      <c r="H170" s="27"/>
      <c r="I170" s="27"/>
      <c r="J170" s="27"/>
      <c r="K170" s="27"/>
      <c r="L170" s="28"/>
      <c r="M170" s="10"/>
      <c r="N170" s="10"/>
      <c r="O170" s="28"/>
      <c r="P170" s="26"/>
      <c r="Q170" s="26"/>
      <c r="R170" s="28"/>
      <c r="S170" s="27"/>
      <c r="T170" s="29"/>
    </row>
    <row r="171">
      <c r="A171" s="10"/>
      <c r="B171" s="10"/>
      <c r="C171" s="26"/>
      <c r="D171" s="10"/>
      <c r="E171" s="10"/>
      <c r="F171" s="27"/>
      <c r="G171" s="27"/>
      <c r="H171" s="27"/>
      <c r="I171" s="27"/>
      <c r="J171" s="27"/>
      <c r="K171" s="27"/>
      <c r="L171" s="28"/>
      <c r="M171" s="10"/>
      <c r="N171" s="10"/>
      <c r="O171" s="28"/>
      <c r="P171" s="26"/>
      <c r="Q171" s="26"/>
      <c r="R171" s="28"/>
      <c r="S171" s="27"/>
      <c r="T171" s="29"/>
    </row>
    <row r="172">
      <c r="A172" s="10"/>
      <c r="B172" s="10"/>
      <c r="C172" s="26"/>
      <c r="D172" s="10"/>
      <c r="E172" s="10"/>
      <c r="F172" s="27"/>
      <c r="G172" s="27"/>
      <c r="H172" s="27"/>
      <c r="I172" s="27"/>
      <c r="J172" s="27"/>
      <c r="K172" s="27"/>
      <c r="L172" s="28"/>
      <c r="M172" s="10"/>
      <c r="N172" s="10"/>
      <c r="O172" s="28"/>
      <c r="P172" s="26"/>
      <c r="Q172" s="26"/>
      <c r="R172" s="28"/>
      <c r="S172" s="27"/>
      <c r="T172" s="29"/>
    </row>
    <row r="173">
      <c r="A173" s="10"/>
      <c r="B173" s="10"/>
      <c r="C173" s="26"/>
      <c r="D173" s="10"/>
      <c r="E173" s="10"/>
      <c r="F173" s="27"/>
      <c r="G173" s="27"/>
      <c r="H173" s="27"/>
      <c r="I173" s="27"/>
      <c r="J173" s="27"/>
      <c r="K173" s="27"/>
      <c r="L173" s="28"/>
      <c r="M173" s="10"/>
      <c r="N173" s="10"/>
      <c r="O173" s="28"/>
      <c r="P173" s="26"/>
      <c r="Q173" s="26"/>
      <c r="R173" s="28"/>
      <c r="S173" s="27"/>
      <c r="T173" s="29"/>
    </row>
    <row r="174">
      <c r="A174" s="10"/>
      <c r="B174" s="10"/>
      <c r="C174" s="26"/>
      <c r="D174" s="10"/>
      <c r="E174" s="10"/>
      <c r="F174" s="27"/>
      <c r="G174" s="27"/>
      <c r="H174" s="27"/>
      <c r="I174" s="27"/>
      <c r="J174" s="27"/>
      <c r="K174" s="27"/>
      <c r="L174" s="28"/>
      <c r="M174" s="10"/>
      <c r="N174" s="10"/>
      <c r="O174" s="28"/>
      <c r="P174" s="26"/>
      <c r="Q174" s="26"/>
      <c r="R174" s="28"/>
      <c r="S174" s="27"/>
      <c r="T174" s="29"/>
    </row>
    <row r="175">
      <c r="A175" s="10"/>
      <c r="B175" s="10"/>
      <c r="C175" s="26"/>
      <c r="D175" s="10"/>
      <c r="E175" s="10"/>
      <c r="F175" s="27"/>
      <c r="G175" s="27"/>
      <c r="H175" s="27"/>
      <c r="I175" s="27"/>
      <c r="J175" s="27"/>
      <c r="K175" s="27"/>
      <c r="L175" s="28"/>
      <c r="M175" s="10"/>
      <c r="N175" s="10"/>
      <c r="O175" s="28"/>
      <c r="P175" s="86"/>
      <c r="Q175" s="86"/>
      <c r="R175" s="28"/>
      <c r="S175" s="27"/>
      <c r="T175" s="29"/>
    </row>
    <row r="176">
      <c r="A176" s="10"/>
      <c r="B176" s="10"/>
      <c r="C176" s="26"/>
      <c r="D176" s="10"/>
      <c r="E176" s="10"/>
      <c r="F176" s="27"/>
      <c r="G176" s="27"/>
      <c r="H176" s="27"/>
      <c r="I176" s="27"/>
      <c r="J176" s="27"/>
      <c r="K176" s="27"/>
      <c r="L176" s="28"/>
      <c r="M176" s="10"/>
      <c r="N176" s="10"/>
      <c r="O176" s="28"/>
      <c r="P176" s="26"/>
      <c r="Q176" s="26"/>
      <c r="R176" s="28"/>
      <c r="S176" s="27"/>
      <c r="T176" s="29"/>
    </row>
    <row r="177">
      <c r="A177" s="10"/>
      <c r="B177" s="10"/>
      <c r="C177" s="26"/>
      <c r="D177" s="10"/>
      <c r="E177" s="10"/>
      <c r="F177" s="27"/>
      <c r="G177" s="27"/>
      <c r="H177" s="27"/>
      <c r="I177" s="27"/>
      <c r="J177" s="27"/>
      <c r="K177" s="27"/>
      <c r="L177" s="28"/>
      <c r="M177" s="10"/>
      <c r="N177" s="10"/>
      <c r="O177" s="28"/>
      <c r="P177" s="26"/>
      <c r="Q177" s="26"/>
      <c r="R177" s="28"/>
      <c r="S177" s="27"/>
      <c r="T177" s="29"/>
    </row>
    <row r="178">
      <c r="A178" s="10"/>
      <c r="B178" s="10"/>
      <c r="C178" s="26"/>
      <c r="D178" s="10"/>
      <c r="E178" s="10"/>
      <c r="F178" s="27"/>
      <c r="G178" s="27"/>
      <c r="H178" s="27"/>
      <c r="I178" s="27"/>
      <c r="J178" s="27"/>
      <c r="K178" s="27"/>
      <c r="L178" s="28"/>
      <c r="M178" s="10"/>
      <c r="N178" s="10"/>
      <c r="O178" s="28"/>
      <c r="P178" s="26"/>
      <c r="Q178" s="26"/>
      <c r="R178" s="28"/>
      <c r="S178" s="27"/>
      <c r="T178" s="29"/>
    </row>
    <row r="179">
      <c r="A179" s="10"/>
      <c r="B179" s="10"/>
      <c r="C179" s="26"/>
      <c r="D179" s="10"/>
      <c r="E179" s="10"/>
      <c r="F179" s="27"/>
      <c r="G179" s="27"/>
      <c r="H179" s="27"/>
      <c r="I179" s="27"/>
      <c r="J179" s="27"/>
      <c r="K179" s="27"/>
      <c r="L179" s="28"/>
      <c r="M179" s="10"/>
      <c r="N179" s="10"/>
      <c r="O179" s="28"/>
      <c r="P179" s="26"/>
      <c r="Q179" s="26"/>
      <c r="R179" s="28"/>
      <c r="S179" s="27"/>
      <c r="T179" s="29"/>
    </row>
    <row r="180">
      <c r="A180" s="10"/>
      <c r="B180" s="10"/>
      <c r="C180" s="26"/>
      <c r="D180" s="10"/>
      <c r="E180" s="10"/>
      <c r="F180" s="27"/>
      <c r="G180" s="27"/>
      <c r="H180" s="27"/>
      <c r="I180" s="27"/>
      <c r="J180" s="27"/>
      <c r="K180" s="27"/>
      <c r="L180" s="28"/>
      <c r="M180" s="10"/>
      <c r="N180" s="10"/>
      <c r="O180" s="28"/>
      <c r="P180" s="86"/>
      <c r="Q180" s="86"/>
      <c r="R180" s="28"/>
      <c r="S180" s="27"/>
      <c r="T180" s="29"/>
    </row>
    <row r="181">
      <c r="A181" s="10"/>
      <c r="B181" s="10"/>
      <c r="C181" s="26"/>
      <c r="D181" s="10"/>
      <c r="E181" s="10"/>
      <c r="F181" s="27"/>
      <c r="G181" s="27"/>
      <c r="H181" s="27"/>
      <c r="I181" s="27"/>
      <c r="J181" s="27"/>
      <c r="K181" s="27"/>
      <c r="L181" s="28"/>
      <c r="M181" s="10"/>
      <c r="N181" s="10"/>
      <c r="O181" s="28"/>
      <c r="P181" s="26"/>
      <c r="Q181" s="26"/>
      <c r="R181" s="28"/>
      <c r="S181" s="27"/>
      <c r="T181" s="29"/>
    </row>
    <row r="182">
      <c r="A182" s="10"/>
      <c r="B182" s="10"/>
      <c r="C182" s="26"/>
      <c r="D182" s="10"/>
      <c r="E182" s="10"/>
      <c r="F182" s="27"/>
      <c r="G182" s="27"/>
      <c r="H182" s="27"/>
      <c r="I182" s="27"/>
      <c r="J182" s="27"/>
      <c r="K182" s="27"/>
      <c r="L182" s="28"/>
      <c r="M182" s="10"/>
      <c r="N182" s="10"/>
      <c r="O182" s="28"/>
      <c r="P182" s="26"/>
      <c r="Q182" s="26"/>
      <c r="R182" s="28"/>
      <c r="S182" s="27"/>
      <c r="T182" s="29"/>
    </row>
    <row r="183">
      <c r="A183" s="10"/>
      <c r="B183" s="10"/>
      <c r="C183" s="26"/>
      <c r="D183" s="10"/>
      <c r="E183" s="10"/>
      <c r="F183" s="27"/>
      <c r="G183" s="27"/>
      <c r="H183" s="27"/>
      <c r="I183" s="27"/>
      <c r="J183" s="27"/>
      <c r="K183" s="27"/>
      <c r="L183" s="28"/>
      <c r="M183" s="10"/>
      <c r="N183" s="10"/>
      <c r="O183" s="28"/>
      <c r="P183" s="26"/>
      <c r="Q183" s="26"/>
      <c r="R183" s="28"/>
      <c r="S183" s="27"/>
      <c r="T183" s="29"/>
    </row>
    <row r="184">
      <c r="A184" s="10"/>
      <c r="B184" s="10"/>
      <c r="C184" s="26"/>
      <c r="D184" s="10"/>
      <c r="E184" s="10"/>
      <c r="F184" s="27"/>
      <c r="G184" s="27"/>
      <c r="H184" s="27"/>
      <c r="I184" s="27"/>
      <c r="J184" s="27"/>
      <c r="K184" s="27"/>
      <c r="L184" s="28"/>
      <c r="M184" s="10"/>
      <c r="N184" s="10"/>
      <c r="O184" s="28"/>
      <c r="P184" s="26"/>
      <c r="Q184" s="26"/>
      <c r="R184" s="28"/>
      <c r="S184" s="27"/>
      <c r="T184" s="29"/>
    </row>
    <row r="185">
      <c r="A185" s="10"/>
      <c r="B185" s="10"/>
      <c r="C185" s="26"/>
      <c r="D185" s="10"/>
      <c r="E185" s="10"/>
      <c r="F185" s="27"/>
      <c r="G185" s="27"/>
      <c r="H185" s="27"/>
      <c r="I185" s="27"/>
      <c r="J185" s="27"/>
      <c r="K185" s="27"/>
      <c r="L185" s="28"/>
      <c r="M185" s="10"/>
      <c r="N185" s="10"/>
      <c r="O185" s="28"/>
      <c r="P185" s="26"/>
      <c r="Q185" s="26"/>
      <c r="R185" s="28"/>
      <c r="S185" s="27"/>
      <c r="T185" s="29"/>
    </row>
    <row r="186">
      <c r="A186" s="10"/>
      <c r="B186" s="10"/>
      <c r="C186" s="26"/>
      <c r="D186" s="10"/>
      <c r="E186" s="10"/>
      <c r="F186" s="27"/>
      <c r="G186" s="27"/>
      <c r="H186" s="27"/>
      <c r="I186" s="27"/>
      <c r="J186" s="27"/>
      <c r="K186" s="27"/>
      <c r="L186" s="28"/>
      <c r="M186" s="10"/>
      <c r="N186" s="10"/>
      <c r="O186" s="28"/>
      <c r="P186" s="86"/>
      <c r="Q186" s="86"/>
      <c r="R186" s="28"/>
      <c r="S186" s="27"/>
      <c r="T186" s="29"/>
    </row>
    <row r="187">
      <c r="A187" s="10"/>
      <c r="B187" s="10"/>
      <c r="C187" s="26"/>
      <c r="D187" s="10"/>
      <c r="E187" s="10"/>
      <c r="F187" s="27"/>
      <c r="G187" s="27"/>
      <c r="H187" s="27"/>
      <c r="I187" s="27"/>
      <c r="J187" s="27"/>
      <c r="K187" s="27"/>
      <c r="L187" s="28"/>
      <c r="M187" s="10"/>
      <c r="N187" s="10"/>
      <c r="O187" s="28"/>
      <c r="P187" s="26"/>
      <c r="Q187" s="26"/>
      <c r="R187" s="28"/>
      <c r="S187" s="27"/>
      <c r="T187" s="29"/>
    </row>
    <row r="188">
      <c r="A188" s="10"/>
      <c r="B188" s="10"/>
      <c r="C188" s="26"/>
      <c r="D188" s="10"/>
      <c r="E188" s="10"/>
      <c r="F188" s="27"/>
      <c r="G188" s="27"/>
      <c r="H188" s="27"/>
      <c r="I188" s="27"/>
      <c r="J188" s="27"/>
      <c r="K188" s="27"/>
      <c r="L188" s="28"/>
      <c r="M188" s="10"/>
      <c r="N188" s="10"/>
      <c r="O188" s="28"/>
      <c r="P188" s="26"/>
      <c r="Q188" s="26"/>
      <c r="R188" s="28"/>
      <c r="S188" s="27"/>
      <c r="T188" s="29"/>
    </row>
    <row r="189">
      <c r="A189" s="10"/>
      <c r="B189" s="10"/>
      <c r="C189" s="26"/>
      <c r="D189" s="10"/>
      <c r="E189" s="10"/>
      <c r="F189" s="27"/>
      <c r="G189" s="27"/>
      <c r="H189" s="27"/>
      <c r="I189" s="27"/>
      <c r="J189" s="27"/>
      <c r="K189" s="27"/>
      <c r="L189" s="28"/>
      <c r="M189" s="10"/>
      <c r="N189" s="10"/>
      <c r="O189" s="28"/>
      <c r="P189" s="26"/>
      <c r="Q189" s="26"/>
      <c r="R189" s="28"/>
      <c r="S189" s="27"/>
      <c r="T189" s="29"/>
    </row>
    <row r="190">
      <c r="A190" s="10"/>
      <c r="B190" s="10"/>
      <c r="C190" s="26"/>
      <c r="D190" s="10"/>
      <c r="E190" s="10"/>
      <c r="F190" s="27"/>
      <c r="G190" s="27"/>
      <c r="H190" s="27"/>
      <c r="I190" s="27"/>
      <c r="J190" s="27"/>
      <c r="K190" s="27"/>
      <c r="L190" s="28"/>
      <c r="M190" s="10"/>
      <c r="N190" s="10"/>
      <c r="O190" s="28"/>
      <c r="P190" s="26"/>
      <c r="Q190" s="26"/>
      <c r="R190" s="28"/>
      <c r="S190" s="27"/>
      <c r="T190" s="29"/>
    </row>
    <row r="191">
      <c r="A191" s="10"/>
      <c r="B191" s="10"/>
      <c r="C191" s="26"/>
      <c r="D191" s="10"/>
      <c r="E191" s="10"/>
      <c r="F191" s="27"/>
      <c r="G191" s="27"/>
      <c r="H191" s="27"/>
      <c r="I191" s="27"/>
      <c r="J191" s="27"/>
      <c r="K191" s="27"/>
      <c r="L191" s="28"/>
      <c r="M191" s="10"/>
      <c r="N191" s="10"/>
      <c r="O191" s="28"/>
      <c r="P191" s="86"/>
      <c r="Q191" s="86"/>
      <c r="R191" s="28"/>
      <c r="S191" s="27"/>
      <c r="T191" s="29"/>
    </row>
    <row r="192">
      <c r="A192" s="10"/>
      <c r="B192" s="10"/>
      <c r="C192" s="26"/>
      <c r="D192" s="10"/>
      <c r="E192" s="10"/>
      <c r="F192" s="27"/>
      <c r="G192" s="27"/>
      <c r="H192" s="27"/>
      <c r="I192" s="27"/>
      <c r="J192" s="27"/>
      <c r="K192" s="27"/>
      <c r="L192" s="28"/>
      <c r="M192" s="10"/>
      <c r="N192" s="10"/>
      <c r="O192" s="28"/>
      <c r="P192" s="26"/>
      <c r="Q192" s="26"/>
      <c r="R192" s="28"/>
      <c r="S192" s="27"/>
      <c r="T192" s="29"/>
    </row>
    <row r="193">
      <c r="A193" s="10"/>
      <c r="B193" s="10"/>
      <c r="C193" s="26"/>
      <c r="D193" s="10"/>
      <c r="E193" s="10"/>
      <c r="F193" s="27"/>
      <c r="G193" s="27"/>
      <c r="H193" s="27"/>
      <c r="I193" s="27"/>
      <c r="J193" s="27"/>
      <c r="K193" s="27"/>
      <c r="L193" s="28"/>
      <c r="M193" s="10"/>
      <c r="N193" s="10"/>
      <c r="O193" s="28"/>
      <c r="P193" s="86"/>
      <c r="Q193" s="86"/>
      <c r="R193" s="28"/>
      <c r="S193" s="27"/>
      <c r="T193" s="29"/>
    </row>
    <row r="194">
      <c r="A194" s="10"/>
      <c r="B194" s="10"/>
      <c r="C194" s="26"/>
      <c r="D194" s="10"/>
      <c r="E194" s="10"/>
      <c r="F194" s="27"/>
      <c r="G194" s="27"/>
      <c r="H194" s="27"/>
      <c r="I194" s="27"/>
      <c r="J194" s="27"/>
      <c r="K194" s="27"/>
      <c r="L194" s="28"/>
      <c r="M194" s="10"/>
      <c r="N194" s="10"/>
      <c r="O194" s="28"/>
      <c r="P194" s="26"/>
      <c r="Q194" s="26"/>
      <c r="R194" s="28"/>
      <c r="S194" s="27"/>
      <c r="T194" s="29"/>
    </row>
    <row r="195">
      <c r="A195" s="10"/>
      <c r="B195" s="10"/>
      <c r="C195" s="26"/>
      <c r="D195" s="10"/>
      <c r="E195" s="10"/>
      <c r="F195" s="27"/>
      <c r="G195" s="27"/>
      <c r="H195" s="27"/>
      <c r="I195" s="27"/>
      <c r="J195" s="27"/>
      <c r="K195" s="27"/>
      <c r="L195" s="28"/>
      <c r="M195" s="10"/>
      <c r="N195" s="10"/>
      <c r="O195" s="28"/>
      <c r="P195" s="26"/>
      <c r="Q195" s="26"/>
      <c r="R195" s="28"/>
      <c r="S195" s="27"/>
      <c r="T195" s="29"/>
    </row>
    <row r="196">
      <c r="A196" s="10"/>
      <c r="B196" s="10"/>
      <c r="C196" s="26"/>
      <c r="D196" s="10"/>
      <c r="E196" s="10"/>
      <c r="F196" s="27"/>
      <c r="G196" s="27"/>
      <c r="H196" s="27"/>
      <c r="I196" s="27"/>
      <c r="J196" s="27"/>
      <c r="K196" s="27"/>
      <c r="L196" s="28"/>
      <c r="M196" s="28"/>
      <c r="N196" s="28"/>
      <c r="O196" s="28"/>
      <c r="P196" s="26"/>
      <c r="Q196" s="26"/>
      <c r="R196" s="28"/>
      <c r="S196" s="27"/>
      <c r="T196" s="29"/>
    </row>
    <row r="197">
      <c r="A197" s="10"/>
      <c r="B197" s="10"/>
      <c r="C197" s="26"/>
      <c r="D197" s="10"/>
      <c r="E197" s="10"/>
      <c r="F197" s="27"/>
      <c r="G197" s="27"/>
      <c r="H197" s="27"/>
      <c r="I197" s="27"/>
      <c r="J197" s="27"/>
      <c r="K197" s="27"/>
      <c r="L197" s="28"/>
      <c r="M197" s="10"/>
      <c r="N197" s="10"/>
      <c r="O197" s="28"/>
      <c r="P197" s="26"/>
      <c r="Q197" s="26"/>
      <c r="R197" s="28"/>
      <c r="S197" s="27"/>
      <c r="T197" s="29"/>
    </row>
    <row r="198">
      <c r="A198" s="10"/>
      <c r="B198" s="10"/>
      <c r="C198" s="26"/>
      <c r="D198" s="10"/>
      <c r="E198" s="10"/>
      <c r="F198" s="27"/>
      <c r="G198" s="27"/>
      <c r="H198" s="27"/>
      <c r="I198" s="27"/>
      <c r="J198" s="27"/>
      <c r="K198" s="27"/>
      <c r="L198" s="28"/>
      <c r="M198" s="10"/>
      <c r="N198" s="10"/>
      <c r="O198" s="28"/>
      <c r="P198" s="26"/>
      <c r="Q198" s="26"/>
      <c r="R198" s="28"/>
      <c r="S198" s="27"/>
      <c r="T198" s="29"/>
    </row>
    <row r="199">
      <c r="A199" s="10"/>
      <c r="B199" s="10"/>
      <c r="C199" s="26"/>
      <c r="D199" s="10"/>
      <c r="E199" s="10"/>
      <c r="F199" s="27"/>
      <c r="G199" s="27"/>
      <c r="H199" s="27"/>
      <c r="I199" s="27"/>
      <c r="J199" s="27"/>
      <c r="K199" s="27"/>
      <c r="L199" s="28"/>
      <c r="M199" s="10"/>
      <c r="N199" s="10"/>
      <c r="O199" s="28"/>
      <c r="P199" s="26"/>
      <c r="Q199" s="26"/>
      <c r="R199" s="28"/>
      <c r="S199" s="27"/>
      <c r="T199" s="29"/>
    </row>
    <row r="200">
      <c r="A200" s="10"/>
      <c r="B200" s="10"/>
      <c r="C200" s="26"/>
      <c r="D200" s="10"/>
      <c r="E200" s="10"/>
      <c r="F200" s="27"/>
      <c r="G200" s="27"/>
      <c r="H200" s="27"/>
      <c r="I200" s="27"/>
      <c r="J200" s="27"/>
      <c r="K200" s="27"/>
      <c r="L200" s="28"/>
      <c r="M200" s="10"/>
      <c r="N200" s="10"/>
      <c r="O200" s="28"/>
      <c r="P200" s="26"/>
      <c r="Q200" s="26"/>
      <c r="R200" s="28"/>
      <c r="S200" s="27"/>
      <c r="T200" s="29"/>
    </row>
    <row r="201">
      <c r="A201" s="10"/>
      <c r="B201" s="10"/>
      <c r="C201" s="26"/>
      <c r="D201" s="10"/>
      <c r="E201" s="10"/>
      <c r="F201" s="27"/>
      <c r="G201" s="27"/>
      <c r="H201" s="27"/>
      <c r="I201" s="27"/>
      <c r="J201" s="27"/>
      <c r="K201" s="27"/>
      <c r="L201" s="28"/>
      <c r="M201" s="10"/>
      <c r="N201" s="10"/>
      <c r="O201" s="28"/>
      <c r="P201" s="26"/>
      <c r="Q201" s="26"/>
      <c r="R201" s="28"/>
      <c r="S201" s="27"/>
      <c r="T201" s="29"/>
    </row>
    <row r="202">
      <c r="A202" s="10"/>
      <c r="B202" s="10"/>
      <c r="C202" s="26"/>
      <c r="D202" s="10"/>
      <c r="E202" s="10"/>
      <c r="F202" s="27"/>
      <c r="G202" s="27"/>
      <c r="H202" s="27"/>
      <c r="I202" s="27"/>
      <c r="J202" s="27"/>
      <c r="K202" s="27"/>
      <c r="L202" s="28"/>
      <c r="M202" s="10"/>
      <c r="N202" s="10"/>
      <c r="O202" s="28"/>
      <c r="P202" s="26"/>
      <c r="Q202" s="26"/>
      <c r="R202" s="28"/>
      <c r="S202" s="27"/>
      <c r="T202" s="29"/>
    </row>
    <row r="203">
      <c r="A203" s="10"/>
      <c r="B203" s="10"/>
      <c r="C203" s="26"/>
      <c r="D203" s="10"/>
      <c r="E203" s="10"/>
      <c r="F203" s="27"/>
      <c r="G203" s="27"/>
      <c r="H203" s="27"/>
      <c r="I203" s="27"/>
      <c r="J203" s="27"/>
      <c r="K203" s="27"/>
      <c r="L203" s="28"/>
      <c r="M203" s="10"/>
      <c r="N203" s="10"/>
      <c r="O203" s="28"/>
      <c r="P203" s="26"/>
      <c r="Q203" s="26"/>
      <c r="R203" s="28"/>
      <c r="S203" s="27"/>
      <c r="T203" s="29"/>
    </row>
    <row r="204">
      <c r="A204" s="10"/>
      <c r="B204" s="10"/>
      <c r="C204" s="26"/>
      <c r="D204" s="10"/>
      <c r="E204" s="10"/>
      <c r="F204" s="27"/>
      <c r="G204" s="27"/>
      <c r="H204" s="27"/>
      <c r="I204" s="27"/>
      <c r="J204" s="27"/>
      <c r="K204" s="27"/>
      <c r="L204" s="28"/>
      <c r="M204" s="10"/>
      <c r="N204" s="10"/>
      <c r="O204" s="28"/>
      <c r="P204" s="26"/>
      <c r="Q204" s="26"/>
      <c r="R204" s="28"/>
      <c r="S204" s="27"/>
      <c r="T204" s="29"/>
    </row>
    <row r="205">
      <c r="A205" s="10"/>
      <c r="B205" s="10"/>
      <c r="C205" s="26"/>
      <c r="D205" s="10"/>
      <c r="E205" s="10"/>
      <c r="F205" s="27"/>
      <c r="G205" s="27"/>
      <c r="H205" s="27"/>
      <c r="I205" s="27"/>
      <c r="J205" s="27"/>
      <c r="K205" s="27"/>
      <c r="L205" s="28"/>
      <c r="M205" s="10"/>
      <c r="N205" s="10"/>
      <c r="O205" s="28"/>
      <c r="P205" s="26"/>
      <c r="Q205" s="26"/>
      <c r="R205" s="28"/>
      <c r="S205" s="27"/>
      <c r="T205" s="29"/>
    </row>
    <row r="206">
      <c r="A206" s="10"/>
      <c r="B206" s="10"/>
      <c r="C206" s="26"/>
      <c r="D206" s="10"/>
      <c r="E206" s="10"/>
      <c r="F206" s="27"/>
      <c r="G206" s="27"/>
      <c r="H206" s="27"/>
      <c r="I206" s="27"/>
      <c r="J206" s="27"/>
      <c r="K206" s="27"/>
      <c r="L206" s="28"/>
      <c r="M206" s="28"/>
      <c r="N206" s="10"/>
      <c r="O206" s="28"/>
      <c r="P206" s="26"/>
      <c r="Q206" s="26"/>
      <c r="R206" s="28"/>
      <c r="S206" s="27"/>
      <c r="T206" s="29"/>
    </row>
    <row r="207">
      <c r="A207" s="10"/>
      <c r="B207" s="10"/>
      <c r="C207" s="26"/>
      <c r="D207" s="10"/>
      <c r="E207" s="10"/>
      <c r="F207" s="27"/>
      <c r="G207" s="27"/>
      <c r="H207" s="27"/>
      <c r="I207" s="27"/>
      <c r="J207" s="27"/>
      <c r="K207" s="27"/>
      <c r="L207" s="28"/>
      <c r="M207" s="10"/>
      <c r="N207" s="10"/>
      <c r="O207" s="28"/>
      <c r="P207" s="26"/>
      <c r="Q207" s="26"/>
      <c r="R207" s="28"/>
      <c r="S207" s="27"/>
      <c r="T207" s="29"/>
    </row>
    <row r="208">
      <c r="A208" s="10"/>
      <c r="B208" s="10"/>
      <c r="C208" s="26"/>
      <c r="D208" s="10"/>
      <c r="E208" s="10"/>
      <c r="F208" s="27"/>
      <c r="G208" s="27"/>
      <c r="H208" s="27"/>
      <c r="I208" s="27"/>
      <c r="J208" s="27"/>
      <c r="K208" s="27"/>
      <c r="L208" s="28"/>
      <c r="M208" s="28"/>
      <c r="N208" s="10"/>
      <c r="O208" s="28"/>
      <c r="P208" s="26"/>
      <c r="Q208" s="26"/>
      <c r="R208" s="28"/>
      <c r="S208" s="27"/>
      <c r="T208" s="29"/>
    </row>
    <row r="209">
      <c r="A209" s="10"/>
      <c r="B209" s="10"/>
      <c r="C209" s="26"/>
      <c r="D209" s="10"/>
      <c r="E209" s="10"/>
      <c r="F209" s="27"/>
      <c r="G209" s="27"/>
      <c r="H209" s="27"/>
      <c r="I209" s="27"/>
      <c r="J209" s="27"/>
      <c r="K209" s="27"/>
      <c r="L209" s="28"/>
      <c r="M209" s="10"/>
      <c r="N209" s="10"/>
      <c r="O209" s="28"/>
      <c r="P209" s="26"/>
      <c r="Q209" s="26"/>
      <c r="R209" s="28"/>
      <c r="S209" s="27"/>
      <c r="T209" s="29"/>
    </row>
    <row r="210">
      <c r="A210" s="10"/>
      <c r="B210" s="10"/>
      <c r="C210" s="26"/>
      <c r="D210" s="10"/>
      <c r="E210" s="10"/>
      <c r="F210" s="27"/>
      <c r="G210" s="27"/>
      <c r="H210" s="27"/>
      <c r="I210" s="27"/>
      <c r="J210" s="27"/>
      <c r="K210" s="27"/>
      <c r="L210" s="28"/>
      <c r="M210" s="28"/>
      <c r="N210" s="10"/>
      <c r="O210" s="28"/>
      <c r="P210" s="26"/>
      <c r="Q210" s="26"/>
      <c r="R210" s="28"/>
      <c r="S210" s="27"/>
      <c r="T210" s="29"/>
    </row>
    <row r="211">
      <c r="A211" s="10"/>
      <c r="B211" s="10"/>
      <c r="C211" s="26"/>
      <c r="D211" s="10"/>
      <c r="E211" s="10"/>
      <c r="F211" s="27"/>
      <c r="G211" s="27"/>
      <c r="H211" s="27"/>
      <c r="I211" s="27"/>
      <c r="J211" s="27"/>
      <c r="K211" s="27"/>
      <c r="L211" s="28"/>
      <c r="M211" s="10"/>
      <c r="N211" s="10"/>
      <c r="O211" s="28"/>
      <c r="P211" s="26"/>
      <c r="Q211" s="26"/>
      <c r="R211" s="28"/>
      <c r="S211" s="27"/>
      <c r="T211" s="29"/>
    </row>
    <row r="212">
      <c r="A212" s="10"/>
      <c r="B212" s="10"/>
      <c r="C212" s="26"/>
      <c r="D212" s="10"/>
      <c r="E212" s="10"/>
      <c r="F212" s="27"/>
      <c r="G212" s="27"/>
      <c r="H212" s="27"/>
      <c r="I212" s="27"/>
      <c r="J212" s="27"/>
      <c r="K212" s="27"/>
      <c r="L212" s="28"/>
      <c r="M212" s="10"/>
      <c r="N212" s="10"/>
      <c r="O212" s="28"/>
      <c r="P212" s="26"/>
      <c r="Q212" s="26"/>
      <c r="R212" s="28"/>
      <c r="S212" s="27"/>
      <c r="T212" s="29"/>
    </row>
    <row r="213">
      <c r="A213" s="10"/>
      <c r="B213" s="10"/>
      <c r="C213" s="26"/>
      <c r="D213" s="10"/>
      <c r="E213" s="10"/>
      <c r="F213" s="27"/>
      <c r="G213" s="27"/>
      <c r="H213" s="27"/>
      <c r="I213" s="27"/>
      <c r="J213" s="27"/>
      <c r="K213" s="27"/>
      <c r="L213" s="28"/>
      <c r="M213" s="10"/>
      <c r="N213" s="10"/>
      <c r="O213" s="28"/>
      <c r="P213" s="26"/>
      <c r="Q213" s="26"/>
      <c r="R213" s="28"/>
      <c r="S213" s="27"/>
      <c r="T213" s="29"/>
    </row>
    <row r="214">
      <c r="A214" s="10"/>
      <c r="B214" s="10"/>
      <c r="C214" s="26"/>
      <c r="D214" s="10"/>
      <c r="E214" s="10"/>
      <c r="F214" s="27"/>
      <c r="G214" s="27"/>
      <c r="H214" s="27"/>
      <c r="I214" s="27"/>
      <c r="J214" s="27"/>
      <c r="K214" s="27"/>
      <c r="L214" s="28"/>
      <c r="M214" s="10"/>
      <c r="N214" s="10"/>
      <c r="O214" s="28"/>
      <c r="P214" s="26"/>
      <c r="Q214" s="26"/>
      <c r="R214" s="28"/>
      <c r="S214" s="27"/>
      <c r="T214" s="29"/>
    </row>
    <row r="215">
      <c r="A215" s="10"/>
      <c r="B215" s="10"/>
      <c r="C215" s="26"/>
      <c r="D215" s="10"/>
      <c r="E215" s="10"/>
      <c r="F215" s="27"/>
      <c r="G215" s="27"/>
      <c r="H215" s="27"/>
      <c r="I215" s="27"/>
      <c r="J215" s="27"/>
      <c r="K215" s="27"/>
      <c r="L215" s="28"/>
      <c r="M215" s="10"/>
      <c r="N215" s="10"/>
      <c r="O215" s="28"/>
      <c r="P215" s="26"/>
      <c r="Q215" s="26"/>
      <c r="R215" s="28"/>
      <c r="S215" s="27"/>
      <c r="T215" s="29"/>
    </row>
    <row r="216">
      <c r="A216" s="10"/>
      <c r="B216" s="10"/>
      <c r="C216" s="26"/>
      <c r="D216" s="10"/>
      <c r="E216" s="10"/>
      <c r="F216" s="27"/>
      <c r="G216" s="27"/>
      <c r="H216" s="27"/>
      <c r="I216" s="27"/>
      <c r="J216" s="27"/>
      <c r="K216" s="27"/>
      <c r="L216" s="28"/>
      <c r="M216" s="10"/>
      <c r="N216" s="10"/>
      <c r="O216" s="28"/>
      <c r="P216" s="26"/>
      <c r="Q216" s="26"/>
      <c r="R216" s="28"/>
      <c r="S216" s="27"/>
      <c r="T216" s="29"/>
    </row>
    <row r="217">
      <c r="A217" s="10"/>
      <c r="B217" s="10"/>
      <c r="C217" s="26"/>
      <c r="D217" s="10"/>
      <c r="E217" s="10"/>
      <c r="F217" s="27"/>
      <c r="G217" s="27"/>
      <c r="H217" s="27"/>
      <c r="I217" s="27"/>
      <c r="J217" s="27"/>
      <c r="K217" s="27"/>
      <c r="L217" s="28"/>
      <c r="M217" s="10"/>
      <c r="N217" s="10"/>
      <c r="O217" s="28"/>
      <c r="P217" s="26"/>
      <c r="Q217" s="26"/>
      <c r="R217" s="28"/>
      <c r="S217" s="27"/>
      <c r="T217" s="29"/>
    </row>
    <row r="218">
      <c r="A218" s="10"/>
      <c r="B218" s="10"/>
      <c r="C218" s="26"/>
      <c r="D218" s="10"/>
      <c r="E218" s="10"/>
      <c r="F218" s="27"/>
      <c r="G218" s="27"/>
      <c r="H218" s="27"/>
      <c r="I218" s="27"/>
      <c r="J218" s="27"/>
      <c r="K218" s="27"/>
      <c r="L218" s="28"/>
      <c r="M218" s="10"/>
      <c r="N218" s="10"/>
      <c r="O218" s="28"/>
      <c r="P218" s="86"/>
      <c r="Q218" s="86"/>
      <c r="R218" s="28"/>
      <c r="S218" s="27"/>
      <c r="T218" s="29"/>
    </row>
    <row r="219">
      <c r="A219" s="10"/>
      <c r="B219" s="10"/>
      <c r="C219" s="26"/>
      <c r="D219" s="10"/>
      <c r="E219" s="10"/>
      <c r="F219" s="27"/>
      <c r="G219" s="27"/>
      <c r="H219" s="27"/>
      <c r="I219" s="27"/>
      <c r="J219" s="27"/>
      <c r="K219" s="27"/>
      <c r="L219" s="28"/>
      <c r="M219" s="10"/>
      <c r="N219" s="10"/>
      <c r="O219" s="28"/>
      <c r="P219" s="26"/>
      <c r="Q219" s="26"/>
      <c r="R219" s="28"/>
      <c r="S219" s="27"/>
      <c r="T219" s="29"/>
    </row>
    <row r="220">
      <c r="A220" s="10"/>
      <c r="B220" s="10"/>
      <c r="C220" s="26"/>
      <c r="D220" s="10"/>
      <c r="E220" s="10"/>
      <c r="F220" s="27"/>
      <c r="G220" s="27"/>
      <c r="H220" s="27"/>
      <c r="I220" s="27"/>
      <c r="J220" s="27"/>
      <c r="K220" s="27"/>
      <c r="L220" s="28"/>
      <c r="M220" s="10"/>
      <c r="N220" s="10"/>
      <c r="O220" s="28"/>
      <c r="P220" s="26"/>
      <c r="Q220" s="26"/>
      <c r="R220" s="28"/>
      <c r="S220" s="27"/>
      <c r="T220" s="29"/>
    </row>
    <row r="221">
      <c r="A221" s="10"/>
      <c r="B221" s="10"/>
      <c r="C221" s="26"/>
      <c r="D221" s="10"/>
      <c r="E221" s="10"/>
      <c r="F221" s="27"/>
      <c r="G221" s="27"/>
      <c r="H221" s="27"/>
      <c r="I221" s="27"/>
      <c r="J221" s="27"/>
      <c r="K221" s="27"/>
      <c r="L221" s="28"/>
      <c r="M221" s="10"/>
      <c r="N221" s="10"/>
      <c r="O221" s="28"/>
      <c r="P221" s="86"/>
      <c r="Q221" s="86"/>
      <c r="R221" s="28"/>
      <c r="S221" s="27"/>
      <c r="T221" s="29"/>
    </row>
    <row r="222">
      <c r="A222" s="10"/>
      <c r="B222" s="10"/>
      <c r="C222" s="26"/>
      <c r="D222" s="10"/>
      <c r="E222" s="10"/>
      <c r="F222" s="27"/>
      <c r="G222" s="27"/>
      <c r="H222" s="27"/>
      <c r="I222" s="27"/>
      <c r="J222" s="27"/>
      <c r="K222" s="27"/>
      <c r="L222" s="28"/>
      <c r="M222" s="10"/>
      <c r="N222" s="10"/>
      <c r="O222" s="28"/>
      <c r="P222" s="86"/>
      <c r="Q222" s="86"/>
      <c r="R222" s="28"/>
      <c r="S222" s="27"/>
      <c r="T222" s="29"/>
    </row>
    <row r="223">
      <c r="A223" s="10"/>
      <c r="B223" s="10"/>
      <c r="C223" s="26"/>
      <c r="D223" s="10"/>
      <c r="E223" s="10"/>
      <c r="F223" s="27"/>
      <c r="G223" s="27"/>
      <c r="H223" s="27"/>
      <c r="I223" s="27"/>
      <c r="J223" s="27"/>
      <c r="K223" s="27"/>
      <c r="L223" s="28"/>
      <c r="M223" s="28"/>
      <c r="N223" s="10"/>
      <c r="O223" s="28"/>
      <c r="P223" s="26"/>
      <c r="Q223" s="26"/>
      <c r="R223" s="28"/>
      <c r="S223" s="27"/>
      <c r="T223" s="29"/>
    </row>
    <row r="224">
      <c r="A224" s="10"/>
      <c r="B224" s="10"/>
      <c r="C224" s="26"/>
      <c r="D224" s="10"/>
      <c r="E224" s="10"/>
      <c r="F224" s="27"/>
      <c r="G224" s="27"/>
      <c r="H224" s="27"/>
      <c r="I224" s="27"/>
      <c r="J224" s="27"/>
      <c r="K224" s="27"/>
      <c r="L224" s="28"/>
      <c r="M224" s="10"/>
      <c r="N224" s="10"/>
      <c r="O224" s="28"/>
      <c r="P224" s="86"/>
      <c r="Q224" s="86"/>
      <c r="R224" s="28"/>
      <c r="S224" s="27"/>
      <c r="T224" s="29"/>
    </row>
    <row r="225">
      <c r="A225" s="10"/>
      <c r="B225" s="10"/>
      <c r="C225" s="26"/>
      <c r="D225" s="10"/>
      <c r="E225" s="10"/>
      <c r="F225" s="27"/>
      <c r="G225" s="27"/>
      <c r="H225" s="27"/>
      <c r="I225" s="27"/>
      <c r="J225" s="27"/>
      <c r="K225" s="27"/>
      <c r="L225" s="28"/>
      <c r="M225" s="10"/>
      <c r="N225" s="10"/>
      <c r="O225" s="28"/>
      <c r="P225" s="26"/>
      <c r="Q225" s="26"/>
      <c r="R225" s="28"/>
      <c r="S225" s="27"/>
      <c r="T225" s="29"/>
    </row>
    <row r="226">
      <c r="A226" s="10"/>
      <c r="B226" s="10"/>
      <c r="C226" s="26"/>
      <c r="D226" s="10"/>
      <c r="E226" s="10"/>
      <c r="F226" s="27"/>
      <c r="G226" s="27"/>
      <c r="H226" s="27"/>
      <c r="I226" s="27"/>
      <c r="J226" s="27"/>
      <c r="K226" s="27"/>
      <c r="L226" s="28"/>
      <c r="M226" s="10"/>
      <c r="N226" s="10"/>
      <c r="O226" s="28"/>
      <c r="P226" s="86"/>
      <c r="Q226" s="86"/>
      <c r="R226" s="28"/>
      <c r="S226" s="27"/>
      <c r="T226" s="29"/>
    </row>
    <row r="227">
      <c r="A227" s="10"/>
      <c r="B227" s="10"/>
      <c r="C227" s="26"/>
      <c r="D227" s="10"/>
      <c r="E227" s="10"/>
      <c r="F227" s="27"/>
      <c r="G227" s="27"/>
      <c r="H227" s="27"/>
      <c r="I227" s="27"/>
      <c r="J227" s="27"/>
      <c r="K227" s="27"/>
      <c r="L227" s="28"/>
      <c r="M227" s="10"/>
      <c r="N227" s="10"/>
      <c r="O227" s="28"/>
      <c r="P227" s="86"/>
      <c r="Q227" s="86"/>
      <c r="R227" s="28"/>
      <c r="S227" s="27"/>
      <c r="T227" s="29"/>
    </row>
    <row r="228">
      <c r="A228" s="10"/>
      <c r="B228" s="10"/>
      <c r="C228" s="26"/>
      <c r="D228" s="10"/>
      <c r="E228" s="10"/>
      <c r="F228" s="27"/>
      <c r="G228" s="27"/>
      <c r="H228" s="27"/>
      <c r="I228" s="27"/>
      <c r="J228" s="27"/>
      <c r="K228" s="27"/>
      <c r="L228" s="28"/>
      <c r="M228" s="10"/>
      <c r="N228" s="10"/>
      <c r="O228" s="28"/>
      <c r="P228" s="26"/>
      <c r="Q228" s="26"/>
      <c r="R228" s="28"/>
      <c r="S228" s="27"/>
      <c r="T228" s="29"/>
    </row>
    <row r="229">
      <c r="A229" s="10"/>
      <c r="B229" s="10"/>
      <c r="C229" s="26"/>
      <c r="D229" s="10"/>
      <c r="E229" s="10"/>
      <c r="F229" s="27"/>
      <c r="G229" s="27"/>
      <c r="H229" s="27"/>
      <c r="I229" s="27"/>
      <c r="J229" s="27"/>
      <c r="K229" s="27"/>
      <c r="L229" s="28"/>
      <c r="M229" s="10"/>
      <c r="N229" s="10"/>
      <c r="O229" s="28"/>
      <c r="P229" s="26"/>
      <c r="Q229" s="26"/>
      <c r="R229" s="28"/>
      <c r="S229" s="27"/>
      <c r="T229" s="29"/>
    </row>
    <row r="230">
      <c r="A230" s="10"/>
      <c r="B230" s="10"/>
      <c r="C230" s="26"/>
      <c r="D230" s="10"/>
      <c r="E230" s="10"/>
      <c r="F230" s="27"/>
      <c r="G230" s="27"/>
      <c r="H230" s="27"/>
      <c r="I230" s="27"/>
      <c r="J230" s="27"/>
      <c r="K230" s="27"/>
      <c r="L230" s="28"/>
      <c r="M230" s="10"/>
      <c r="N230" s="10"/>
      <c r="O230" s="28"/>
      <c r="P230" s="86"/>
      <c r="Q230" s="86"/>
      <c r="R230" s="28"/>
      <c r="S230" s="27"/>
      <c r="T230" s="29"/>
    </row>
    <row r="231">
      <c r="A231" s="10"/>
      <c r="B231" s="10"/>
      <c r="C231" s="26"/>
      <c r="D231" s="10"/>
      <c r="E231" s="10"/>
      <c r="F231" s="27"/>
      <c r="G231" s="27"/>
      <c r="H231" s="27"/>
      <c r="I231" s="27"/>
      <c r="J231" s="27"/>
      <c r="K231" s="27"/>
      <c r="L231" s="28"/>
      <c r="M231" s="10"/>
      <c r="N231" s="10"/>
      <c r="O231" s="28"/>
      <c r="P231" s="26"/>
      <c r="Q231" s="26"/>
      <c r="R231" s="28"/>
      <c r="S231" s="27"/>
      <c r="T231" s="29"/>
    </row>
    <row r="232">
      <c r="A232" s="10"/>
      <c r="B232" s="10"/>
      <c r="C232" s="26"/>
      <c r="D232" s="10"/>
      <c r="E232" s="10"/>
      <c r="F232" s="27"/>
      <c r="G232" s="27"/>
      <c r="H232" s="27"/>
      <c r="I232" s="27"/>
      <c r="J232" s="27"/>
      <c r="K232" s="27"/>
      <c r="L232" s="28"/>
      <c r="M232" s="10"/>
      <c r="N232" s="10"/>
      <c r="O232" s="28"/>
      <c r="P232" s="26"/>
      <c r="Q232" s="26"/>
      <c r="R232" s="28"/>
      <c r="S232" s="27"/>
      <c r="T232" s="29"/>
    </row>
    <row r="233">
      <c r="A233" s="10"/>
      <c r="B233" s="10"/>
      <c r="C233" s="26"/>
      <c r="D233" s="10"/>
      <c r="E233" s="10"/>
      <c r="F233" s="27"/>
      <c r="G233" s="27"/>
      <c r="H233" s="27"/>
      <c r="I233" s="27"/>
      <c r="J233" s="27"/>
      <c r="K233" s="27"/>
      <c r="L233" s="28"/>
      <c r="M233" s="10"/>
      <c r="N233" s="10"/>
      <c r="O233" s="28"/>
      <c r="P233" s="26"/>
      <c r="Q233" s="26"/>
      <c r="R233" s="28"/>
      <c r="S233" s="27"/>
      <c r="T233" s="29"/>
    </row>
    <row r="234">
      <c r="A234" s="10"/>
      <c r="B234" s="10"/>
      <c r="C234" s="26"/>
      <c r="D234" s="10"/>
      <c r="E234" s="10"/>
      <c r="F234" s="27"/>
      <c r="G234" s="27"/>
      <c r="H234" s="27"/>
      <c r="I234" s="27"/>
      <c r="J234" s="27"/>
      <c r="K234" s="27"/>
      <c r="L234" s="28"/>
      <c r="M234" s="10"/>
      <c r="N234" s="10"/>
      <c r="O234" s="28"/>
      <c r="P234" s="26"/>
      <c r="Q234" s="26"/>
      <c r="R234" s="28"/>
      <c r="S234" s="27"/>
      <c r="T234" s="29"/>
    </row>
    <row r="235">
      <c r="A235" s="10"/>
      <c r="B235" s="10"/>
      <c r="C235" s="26"/>
      <c r="D235" s="10"/>
      <c r="E235" s="10"/>
      <c r="F235" s="27"/>
      <c r="G235" s="27"/>
      <c r="H235" s="27"/>
      <c r="I235" s="27"/>
      <c r="J235" s="27"/>
      <c r="K235" s="27"/>
      <c r="L235" s="28"/>
      <c r="M235" s="10"/>
      <c r="N235" s="10"/>
      <c r="O235" s="28"/>
      <c r="P235" s="86"/>
      <c r="Q235" s="86"/>
      <c r="R235" s="28"/>
      <c r="S235" s="27"/>
      <c r="T235" s="29"/>
    </row>
    <row r="236">
      <c r="A236" s="10"/>
      <c r="B236" s="10"/>
      <c r="C236" s="26"/>
      <c r="D236" s="10"/>
      <c r="E236" s="10"/>
      <c r="F236" s="27"/>
      <c r="G236" s="27"/>
      <c r="H236" s="27"/>
      <c r="I236" s="27"/>
      <c r="J236" s="27"/>
      <c r="K236" s="27"/>
      <c r="L236" s="28"/>
      <c r="M236" s="10"/>
      <c r="N236" s="10"/>
      <c r="O236" s="28"/>
      <c r="P236" s="26"/>
      <c r="Q236" s="26"/>
      <c r="R236" s="28"/>
      <c r="S236" s="27"/>
      <c r="T236" s="29"/>
    </row>
    <row r="237">
      <c r="A237" s="10"/>
      <c r="B237" s="10"/>
      <c r="C237" s="26"/>
      <c r="D237" s="10"/>
      <c r="E237" s="10"/>
      <c r="F237" s="27"/>
      <c r="G237" s="27"/>
      <c r="H237" s="27"/>
      <c r="I237" s="27"/>
      <c r="J237" s="27"/>
      <c r="K237" s="27"/>
      <c r="L237" s="28"/>
      <c r="M237" s="28"/>
      <c r="N237" s="28"/>
      <c r="O237" s="28"/>
      <c r="P237" s="26"/>
      <c r="Q237" s="26"/>
      <c r="R237" s="28"/>
      <c r="S237" s="27"/>
      <c r="T237" s="29"/>
    </row>
    <row r="238">
      <c r="A238" s="10"/>
      <c r="B238" s="10"/>
      <c r="C238" s="26"/>
      <c r="D238" s="10"/>
      <c r="E238" s="10"/>
      <c r="F238" s="27"/>
      <c r="G238" s="27"/>
      <c r="H238" s="27"/>
      <c r="I238" s="27"/>
      <c r="J238" s="27"/>
      <c r="K238" s="27"/>
      <c r="L238" s="28"/>
      <c r="M238" s="10"/>
      <c r="N238" s="10"/>
      <c r="O238" s="28"/>
      <c r="P238" s="26"/>
      <c r="Q238" s="26"/>
      <c r="R238" s="28"/>
      <c r="S238" s="27"/>
      <c r="T238" s="29"/>
    </row>
    <row r="239">
      <c r="A239" s="10"/>
      <c r="B239" s="10"/>
      <c r="C239" s="26"/>
      <c r="D239" s="10"/>
      <c r="E239" s="10"/>
      <c r="F239" s="27"/>
      <c r="G239" s="27"/>
      <c r="H239" s="27"/>
      <c r="I239" s="27"/>
      <c r="J239" s="27"/>
      <c r="K239" s="27"/>
      <c r="L239" s="28"/>
      <c r="M239" s="10"/>
      <c r="N239" s="10"/>
      <c r="O239" s="28"/>
      <c r="P239" s="26"/>
      <c r="Q239" s="26"/>
      <c r="R239" s="28"/>
      <c r="S239" s="27"/>
      <c r="T239" s="29"/>
    </row>
    <row r="240">
      <c r="A240" s="10"/>
      <c r="B240" s="10"/>
      <c r="C240" s="26"/>
      <c r="D240" s="10"/>
      <c r="E240" s="10"/>
      <c r="F240" s="27"/>
      <c r="G240" s="27"/>
      <c r="H240" s="27"/>
      <c r="I240" s="27"/>
      <c r="J240" s="27"/>
      <c r="K240" s="27"/>
      <c r="L240" s="28"/>
      <c r="M240" s="10"/>
      <c r="N240" s="10"/>
      <c r="O240" s="28"/>
      <c r="P240" s="86"/>
      <c r="Q240" s="86"/>
      <c r="R240" s="28"/>
      <c r="S240" s="27"/>
      <c r="T240" s="29"/>
    </row>
    <row r="241">
      <c r="A241" s="10"/>
      <c r="B241" s="10"/>
      <c r="C241" s="26"/>
      <c r="D241" s="10"/>
      <c r="E241" s="10"/>
      <c r="F241" s="27"/>
      <c r="G241" s="27"/>
      <c r="H241" s="27"/>
      <c r="I241" s="27"/>
      <c r="J241" s="27"/>
      <c r="K241" s="27"/>
      <c r="L241" s="28"/>
      <c r="M241" s="28"/>
      <c r="N241" s="28"/>
      <c r="O241" s="28"/>
      <c r="P241" s="26"/>
      <c r="Q241" s="26"/>
      <c r="R241" s="28"/>
      <c r="S241" s="27"/>
      <c r="T241" s="29"/>
    </row>
    <row r="242">
      <c r="A242" s="10"/>
      <c r="B242" s="10"/>
      <c r="C242" s="26"/>
      <c r="D242" s="10"/>
      <c r="E242" s="10"/>
      <c r="F242" s="27"/>
      <c r="G242" s="27"/>
      <c r="H242" s="27"/>
      <c r="I242" s="27"/>
      <c r="J242" s="27"/>
      <c r="K242" s="27"/>
      <c r="L242" s="28"/>
      <c r="M242" s="10"/>
      <c r="N242" s="10"/>
      <c r="O242" s="28"/>
      <c r="P242" s="26"/>
      <c r="Q242" s="26"/>
      <c r="R242" s="28"/>
      <c r="S242" s="27"/>
      <c r="T242" s="29"/>
    </row>
    <row r="243">
      <c r="A243" s="10"/>
      <c r="B243" s="10"/>
      <c r="C243" s="26"/>
      <c r="D243" s="10"/>
      <c r="E243" s="10"/>
      <c r="F243" s="27"/>
      <c r="G243" s="27"/>
      <c r="H243" s="27"/>
      <c r="I243" s="27"/>
      <c r="J243" s="27"/>
      <c r="K243" s="27"/>
      <c r="L243" s="28"/>
      <c r="M243" s="10"/>
      <c r="N243" s="10"/>
      <c r="O243" s="28"/>
      <c r="P243" s="26"/>
      <c r="Q243" s="26"/>
      <c r="R243" s="28"/>
      <c r="S243" s="27"/>
      <c r="T243" s="29"/>
    </row>
    <row r="244">
      <c r="A244" s="10"/>
      <c r="B244" s="10"/>
      <c r="C244" s="26"/>
      <c r="D244" s="10"/>
      <c r="E244" s="10"/>
      <c r="F244" s="27"/>
      <c r="G244" s="27"/>
      <c r="H244" s="27"/>
      <c r="I244" s="27"/>
      <c r="J244" s="27"/>
      <c r="K244" s="27"/>
      <c r="L244" s="28"/>
      <c r="M244" s="10"/>
      <c r="N244" s="10"/>
      <c r="O244" s="28"/>
      <c r="P244" s="26"/>
      <c r="Q244" s="26"/>
      <c r="R244" s="28"/>
      <c r="S244" s="27"/>
      <c r="T244" s="29"/>
    </row>
    <row r="245">
      <c r="A245" s="10"/>
      <c r="B245" s="10"/>
      <c r="C245" s="26"/>
      <c r="D245" s="10"/>
      <c r="E245" s="10"/>
      <c r="F245" s="27"/>
      <c r="G245" s="27"/>
      <c r="H245" s="27"/>
      <c r="I245" s="27"/>
      <c r="J245" s="27"/>
      <c r="K245" s="27"/>
      <c r="L245" s="28"/>
      <c r="M245" s="10"/>
      <c r="N245" s="10"/>
      <c r="O245" s="28"/>
      <c r="P245" s="26"/>
      <c r="Q245" s="26"/>
      <c r="R245" s="28"/>
      <c r="S245" s="27"/>
      <c r="T245" s="29"/>
    </row>
    <row r="246">
      <c r="A246" s="10"/>
      <c r="B246" s="10"/>
      <c r="C246" s="26"/>
      <c r="D246" s="10"/>
      <c r="E246" s="10"/>
      <c r="F246" s="27"/>
      <c r="G246" s="27"/>
      <c r="H246" s="27"/>
      <c r="I246" s="27"/>
      <c r="J246" s="27"/>
      <c r="K246" s="27"/>
      <c r="L246" s="28"/>
      <c r="M246" s="10"/>
      <c r="N246" s="10"/>
      <c r="O246" s="28"/>
      <c r="P246" s="26"/>
      <c r="Q246" s="26"/>
      <c r="R246" s="28"/>
      <c r="S246" s="27"/>
      <c r="T246" s="29"/>
    </row>
    <row r="247">
      <c r="A247" s="10"/>
      <c r="B247" s="10"/>
      <c r="C247" s="26"/>
      <c r="D247" s="10"/>
      <c r="E247" s="10"/>
      <c r="F247" s="27"/>
      <c r="G247" s="27"/>
      <c r="H247" s="27"/>
      <c r="I247" s="27"/>
      <c r="J247" s="27"/>
      <c r="K247" s="27"/>
      <c r="L247" s="28"/>
      <c r="M247" s="10"/>
      <c r="N247" s="10"/>
      <c r="O247" s="28"/>
      <c r="P247" s="26"/>
      <c r="Q247" s="26"/>
      <c r="R247" s="28"/>
      <c r="S247" s="27"/>
      <c r="T247" s="29"/>
    </row>
    <row r="248">
      <c r="A248" s="10"/>
      <c r="B248" s="10"/>
      <c r="C248" s="26"/>
      <c r="D248" s="10"/>
      <c r="E248" s="10"/>
      <c r="F248" s="27"/>
      <c r="G248" s="27"/>
      <c r="H248" s="27"/>
      <c r="I248" s="27"/>
      <c r="J248" s="27"/>
      <c r="K248" s="27"/>
      <c r="L248" s="28"/>
      <c r="M248" s="28"/>
      <c r="N248" s="28"/>
      <c r="O248" s="28"/>
      <c r="P248" s="86"/>
      <c r="Q248" s="86"/>
      <c r="R248" s="28"/>
      <c r="S248" s="27"/>
      <c r="T248" s="29"/>
    </row>
    <row r="249">
      <c r="A249" s="10"/>
      <c r="B249" s="10"/>
      <c r="C249" s="26"/>
      <c r="D249" s="10"/>
      <c r="E249" s="10"/>
      <c r="F249" s="27"/>
      <c r="G249" s="27"/>
      <c r="H249" s="27"/>
      <c r="I249" s="27"/>
      <c r="J249" s="27"/>
      <c r="K249" s="27"/>
      <c r="L249" s="28"/>
      <c r="M249" s="10"/>
      <c r="N249" s="10"/>
      <c r="O249" s="28"/>
      <c r="P249" s="86"/>
      <c r="Q249" s="86"/>
      <c r="R249" s="28"/>
      <c r="S249" s="27"/>
      <c r="T249" s="29"/>
    </row>
    <row r="250">
      <c r="A250" s="10"/>
      <c r="B250" s="10"/>
      <c r="C250" s="26"/>
      <c r="D250" s="10"/>
      <c r="E250" s="10"/>
      <c r="F250" s="27"/>
      <c r="G250" s="27"/>
      <c r="H250" s="27"/>
      <c r="I250" s="27"/>
      <c r="J250" s="27"/>
      <c r="K250" s="27"/>
      <c r="L250" s="28"/>
      <c r="M250" s="10"/>
      <c r="N250" s="10"/>
      <c r="O250" s="28"/>
      <c r="P250" s="26"/>
      <c r="Q250" s="26"/>
      <c r="R250" s="28"/>
      <c r="S250" s="27"/>
      <c r="T250" s="29"/>
    </row>
    <row r="251">
      <c r="A251" s="10"/>
      <c r="B251" s="10"/>
      <c r="C251" s="26"/>
      <c r="D251" s="10"/>
      <c r="E251" s="10"/>
      <c r="F251" s="27"/>
      <c r="G251" s="27"/>
      <c r="H251" s="27"/>
      <c r="I251" s="27"/>
      <c r="J251" s="27"/>
      <c r="K251" s="27"/>
      <c r="L251" s="28"/>
      <c r="M251" s="10"/>
      <c r="N251" s="10"/>
      <c r="O251" s="28"/>
      <c r="P251" s="86"/>
      <c r="Q251" s="86"/>
      <c r="R251" s="28"/>
      <c r="S251" s="27"/>
      <c r="T251" s="29"/>
    </row>
    <row r="252">
      <c r="A252" s="10"/>
      <c r="B252" s="10"/>
      <c r="C252" s="26"/>
      <c r="D252" s="10"/>
      <c r="E252" s="10"/>
      <c r="F252" s="27"/>
      <c r="G252" s="27"/>
      <c r="H252" s="27"/>
      <c r="I252" s="27"/>
      <c r="J252" s="27"/>
      <c r="K252" s="27"/>
      <c r="L252" s="28"/>
      <c r="M252" s="10"/>
      <c r="N252" s="10"/>
      <c r="O252" s="28"/>
      <c r="P252" s="86"/>
      <c r="Q252" s="86"/>
      <c r="R252" s="28"/>
      <c r="S252" s="27"/>
      <c r="T252" s="29"/>
    </row>
    <row r="253">
      <c r="A253" s="10"/>
      <c r="B253" s="10"/>
      <c r="C253" s="26"/>
      <c r="D253" s="10"/>
      <c r="E253" s="10"/>
      <c r="F253" s="27"/>
      <c r="G253" s="27"/>
      <c r="H253" s="27"/>
      <c r="I253" s="27"/>
      <c r="J253" s="27"/>
      <c r="K253" s="27"/>
      <c r="L253" s="28"/>
      <c r="M253" s="10"/>
      <c r="N253" s="10"/>
      <c r="O253" s="28"/>
      <c r="P253" s="26"/>
      <c r="Q253" s="26"/>
      <c r="R253" s="28"/>
      <c r="S253" s="27"/>
      <c r="T253" s="29"/>
    </row>
    <row r="254">
      <c r="A254" s="10"/>
      <c r="B254" s="10"/>
      <c r="C254" s="26"/>
      <c r="D254" s="10"/>
      <c r="E254" s="10"/>
      <c r="F254" s="27"/>
      <c r="G254" s="27"/>
      <c r="H254" s="27"/>
      <c r="I254" s="27"/>
      <c r="J254" s="27"/>
      <c r="K254" s="27"/>
      <c r="L254" s="28"/>
      <c r="M254" s="10"/>
      <c r="N254" s="10"/>
      <c r="O254" s="28"/>
      <c r="P254" s="86"/>
      <c r="Q254" s="86"/>
      <c r="R254" s="28"/>
      <c r="S254" s="27"/>
      <c r="T254" s="29"/>
    </row>
    <row r="255">
      <c r="A255" s="10"/>
      <c r="B255" s="10"/>
      <c r="C255" s="26"/>
      <c r="D255" s="10"/>
      <c r="E255" s="10"/>
      <c r="F255" s="27"/>
      <c r="G255" s="27"/>
      <c r="H255" s="27"/>
      <c r="I255" s="27"/>
      <c r="J255" s="27"/>
      <c r="K255" s="27"/>
      <c r="L255" s="28"/>
      <c r="M255" s="10"/>
      <c r="N255" s="10"/>
      <c r="O255" s="28"/>
      <c r="P255" s="26"/>
      <c r="Q255" s="26"/>
      <c r="R255" s="28"/>
      <c r="S255" s="27"/>
      <c r="T255" s="29"/>
    </row>
    <row r="256">
      <c r="A256" s="10"/>
      <c r="B256" s="10"/>
      <c r="C256" s="26"/>
      <c r="D256" s="10"/>
      <c r="E256" s="10"/>
      <c r="F256" s="27"/>
      <c r="G256" s="27"/>
      <c r="H256" s="27"/>
      <c r="I256" s="27"/>
      <c r="J256" s="27"/>
      <c r="K256" s="27"/>
      <c r="L256" s="28"/>
      <c r="M256" s="10"/>
      <c r="N256" s="10"/>
      <c r="O256" s="28"/>
      <c r="P256" s="26"/>
      <c r="Q256" s="26"/>
      <c r="R256" s="28"/>
      <c r="S256" s="27"/>
      <c r="T256" s="29"/>
    </row>
    <row r="257">
      <c r="A257" s="10"/>
      <c r="B257" s="10"/>
      <c r="C257" s="26"/>
      <c r="D257" s="10"/>
      <c r="E257" s="10"/>
      <c r="F257" s="27"/>
      <c r="G257" s="27"/>
      <c r="H257" s="27"/>
      <c r="I257" s="27"/>
      <c r="J257" s="27"/>
      <c r="K257" s="27"/>
      <c r="L257" s="28"/>
      <c r="M257" s="10"/>
      <c r="N257" s="10"/>
      <c r="O257" s="28"/>
      <c r="P257" s="26"/>
      <c r="Q257" s="26"/>
      <c r="R257" s="28"/>
      <c r="S257" s="27"/>
      <c r="T257" s="29"/>
    </row>
    <row r="258">
      <c r="A258" s="10"/>
      <c r="B258" s="10"/>
      <c r="C258" s="26"/>
      <c r="D258" s="10"/>
      <c r="E258" s="10"/>
      <c r="F258" s="27"/>
      <c r="G258" s="27"/>
      <c r="H258" s="27"/>
      <c r="I258" s="27"/>
      <c r="J258" s="27"/>
      <c r="K258" s="27"/>
      <c r="L258" s="28"/>
      <c r="M258" s="28"/>
      <c r="N258" s="28"/>
      <c r="O258" s="28"/>
      <c r="P258" s="26"/>
      <c r="Q258" s="26"/>
      <c r="R258" s="28"/>
      <c r="S258" s="27"/>
      <c r="T258" s="29"/>
    </row>
    <row r="259">
      <c r="A259" s="10"/>
      <c r="B259" s="10"/>
      <c r="C259" s="26"/>
      <c r="D259" s="10"/>
      <c r="E259" s="10"/>
      <c r="F259" s="27"/>
      <c r="G259" s="27"/>
      <c r="H259" s="27"/>
      <c r="I259" s="27"/>
      <c r="J259" s="27"/>
      <c r="K259" s="27"/>
      <c r="L259" s="28"/>
      <c r="M259" s="10"/>
      <c r="N259" s="10"/>
      <c r="O259" s="28"/>
      <c r="P259" s="26"/>
      <c r="Q259" s="26"/>
      <c r="R259" s="28"/>
      <c r="S259" s="27"/>
      <c r="T259" s="29"/>
    </row>
    <row r="260">
      <c r="A260" s="10"/>
      <c r="B260" s="10"/>
      <c r="C260" s="26"/>
      <c r="D260" s="10"/>
      <c r="E260" s="10"/>
      <c r="F260" s="27"/>
      <c r="G260" s="27"/>
      <c r="H260" s="27"/>
      <c r="I260" s="27"/>
      <c r="J260" s="27"/>
      <c r="K260" s="27"/>
      <c r="L260" s="28"/>
      <c r="M260" s="10"/>
      <c r="N260" s="10"/>
      <c r="O260" s="28"/>
      <c r="P260" s="26"/>
      <c r="Q260" s="26"/>
      <c r="R260" s="28"/>
      <c r="S260" s="27"/>
      <c r="T260" s="29"/>
    </row>
    <row r="261">
      <c r="A261" s="10"/>
      <c r="B261" s="10"/>
      <c r="C261" s="26"/>
      <c r="D261" s="10"/>
      <c r="E261" s="10"/>
      <c r="F261" s="27"/>
      <c r="G261" s="27"/>
      <c r="H261" s="27"/>
      <c r="I261" s="27"/>
      <c r="J261" s="27"/>
      <c r="K261" s="27"/>
      <c r="L261" s="28"/>
      <c r="M261" s="28"/>
      <c r="N261" s="28"/>
      <c r="O261" s="28"/>
      <c r="P261" s="26"/>
      <c r="Q261" s="26"/>
      <c r="R261" s="28"/>
      <c r="S261" s="27"/>
      <c r="T261" s="29"/>
    </row>
    <row r="262">
      <c r="A262" s="10"/>
      <c r="B262" s="10"/>
      <c r="C262" s="26"/>
      <c r="D262" s="10"/>
      <c r="E262" s="10"/>
      <c r="F262" s="27"/>
      <c r="G262" s="27"/>
      <c r="H262" s="27"/>
      <c r="I262" s="27"/>
      <c r="J262" s="27"/>
      <c r="K262" s="27"/>
      <c r="L262" s="28"/>
      <c r="M262" s="10"/>
      <c r="N262" s="10"/>
      <c r="O262" s="28"/>
      <c r="P262" s="26"/>
      <c r="Q262" s="26"/>
      <c r="R262" s="28"/>
      <c r="S262" s="27"/>
      <c r="T262" s="29"/>
    </row>
    <row r="263">
      <c r="A263" s="10"/>
      <c r="B263" s="10"/>
      <c r="C263" s="26"/>
      <c r="D263" s="10"/>
      <c r="E263" s="10"/>
      <c r="F263" s="27"/>
      <c r="G263" s="27"/>
      <c r="H263" s="27"/>
      <c r="I263" s="27"/>
      <c r="J263" s="27"/>
      <c r="K263" s="27"/>
      <c r="L263" s="28"/>
      <c r="M263" s="10"/>
      <c r="N263" s="10"/>
      <c r="O263" s="28"/>
      <c r="P263" s="86"/>
      <c r="Q263" s="86"/>
      <c r="R263" s="28"/>
      <c r="S263" s="27"/>
      <c r="T263" s="29"/>
    </row>
    <row r="264">
      <c r="A264" s="10"/>
      <c r="B264" s="10"/>
      <c r="C264" s="26"/>
      <c r="D264" s="10"/>
      <c r="E264" s="10"/>
      <c r="F264" s="27"/>
      <c r="G264" s="27"/>
      <c r="H264" s="27"/>
      <c r="I264" s="27"/>
      <c r="J264" s="27"/>
      <c r="K264" s="27"/>
      <c r="L264" s="28"/>
      <c r="M264" s="10"/>
      <c r="N264" s="10"/>
      <c r="O264" s="28"/>
      <c r="P264" s="26"/>
      <c r="Q264" s="26"/>
      <c r="R264" s="28"/>
      <c r="S264" s="27"/>
      <c r="T264" s="29"/>
    </row>
    <row r="265">
      <c r="A265" s="10"/>
      <c r="B265" s="10"/>
      <c r="C265" s="26"/>
      <c r="D265" s="10"/>
      <c r="E265" s="10"/>
      <c r="F265" s="27"/>
      <c r="G265" s="27"/>
      <c r="H265" s="27"/>
      <c r="I265" s="27"/>
      <c r="J265" s="27"/>
      <c r="K265" s="27"/>
      <c r="L265" s="28"/>
      <c r="M265" s="10"/>
      <c r="N265" s="10"/>
      <c r="O265" s="28"/>
      <c r="P265" s="26"/>
      <c r="Q265" s="26"/>
      <c r="R265" s="28"/>
      <c r="S265" s="27"/>
      <c r="T265" s="29"/>
    </row>
    <row r="266">
      <c r="A266" s="10"/>
      <c r="B266" s="10"/>
      <c r="C266" s="26"/>
      <c r="D266" s="10"/>
      <c r="E266" s="10"/>
      <c r="F266" s="27"/>
      <c r="G266" s="27"/>
      <c r="H266" s="27"/>
      <c r="I266" s="27"/>
      <c r="J266" s="27"/>
      <c r="K266" s="27"/>
      <c r="L266" s="28"/>
      <c r="M266" s="10"/>
      <c r="N266" s="10"/>
      <c r="O266" s="28"/>
      <c r="P266" s="26"/>
      <c r="Q266" s="26"/>
      <c r="R266" s="28"/>
      <c r="S266" s="27"/>
      <c r="T266" s="29"/>
    </row>
    <row r="267">
      <c r="A267" s="10"/>
      <c r="B267" s="10"/>
      <c r="C267" s="26"/>
      <c r="D267" s="10"/>
      <c r="E267" s="10"/>
      <c r="F267" s="27"/>
      <c r="G267" s="27"/>
      <c r="H267" s="27"/>
      <c r="I267" s="27"/>
      <c r="J267" s="27"/>
      <c r="K267" s="27"/>
      <c r="L267" s="28"/>
      <c r="M267" s="10"/>
      <c r="N267" s="10"/>
      <c r="O267" s="28"/>
      <c r="P267" s="26"/>
      <c r="Q267" s="26"/>
      <c r="R267" s="28"/>
      <c r="S267" s="27"/>
      <c r="T267" s="29"/>
    </row>
    <row r="268">
      <c r="A268" s="10"/>
      <c r="B268" s="10"/>
      <c r="C268" s="26"/>
      <c r="D268" s="10"/>
      <c r="E268" s="10"/>
      <c r="F268" s="27"/>
      <c r="G268" s="27"/>
      <c r="H268" s="27"/>
      <c r="I268" s="27"/>
      <c r="J268" s="27"/>
      <c r="K268" s="27"/>
      <c r="L268" s="28"/>
      <c r="M268" s="10"/>
      <c r="N268" s="10"/>
      <c r="O268" s="28"/>
      <c r="P268" s="86"/>
      <c r="Q268" s="86"/>
      <c r="R268" s="28"/>
      <c r="S268" s="27"/>
      <c r="T268" s="29"/>
    </row>
    <row r="269">
      <c r="A269" s="10"/>
      <c r="B269" s="10"/>
      <c r="C269" s="26"/>
      <c r="D269" s="10"/>
      <c r="E269" s="10"/>
      <c r="F269" s="27"/>
      <c r="G269" s="27"/>
      <c r="H269" s="27"/>
      <c r="I269" s="27"/>
      <c r="J269" s="27"/>
      <c r="K269" s="27"/>
      <c r="L269" s="28"/>
      <c r="M269" s="10"/>
      <c r="N269" s="10"/>
      <c r="O269" s="28"/>
      <c r="P269" s="26"/>
      <c r="Q269" s="26"/>
      <c r="R269" s="28"/>
      <c r="S269" s="27"/>
      <c r="T269" s="29"/>
    </row>
    <row r="270">
      <c r="A270" s="10"/>
      <c r="B270" s="10"/>
      <c r="C270" s="26"/>
      <c r="D270" s="10"/>
      <c r="E270" s="10"/>
      <c r="F270" s="27"/>
      <c r="G270" s="27"/>
      <c r="H270" s="27"/>
      <c r="I270" s="27"/>
      <c r="J270" s="27"/>
      <c r="K270" s="27"/>
      <c r="L270" s="28"/>
      <c r="M270" s="10"/>
      <c r="N270" s="10"/>
      <c r="O270" s="28"/>
      <c r="P270" s="26"/>
      <c r="Q270" s="26"/>
      <c r="R270" s="28"/>
      <c r="S270" s="27"/>
      <c r="T270" s="29"/>
    </row>
    <row r="271">
      <c r="A271" s="10"/>
      <c r="B271" s="10"/>
      <c r="C271" s="26"/>
      <c r="D271" s="10"/>
      <c r="E271" s="10"/>
      <c r="F271" s="27"/>
      <c r="G271" s="27"/>
      <c r="H271" s="27"/>
      <c r="I271" s="27"/>
      <c r="J271" s="27"/>
      <c r="K271" s="27"/>
      <c r="L271" s="28"/>
      <c r="M271" s="10"/>
      <c r="N271" s="10"/>
      <c r="O271" s="28"/>
      <c r="P271" s="26"/>
      <c r="Q271" s="26"/>
      <c r="R271" s="28"/>
      <c r="S271" s="27"/>
      <c r="T271" s="29"/>
    </row>
    <row r="272">
      <c r="A272" s="10"/>
      <c r="B272" s="10"/>
      <c r="C272" s="26"/>
      <c r="D272" s="10"/>
      <c r="E272" s="10"/>
      <c r="F272" s="27"/>
      <c r="G272" s="27"/>
      <c r="H272" s="27"/>
      <c r="I272" s="27"/>
      <c r="J272" s="27"/>
      <c r="K272" s="27"/>
      <c r="L272" s="28"/>
      <c r="M272" s="10"/>
      <c r="N272" s="10"/>
      <c r="O272" s="28"/>
      <c r="P272" s="26"/>
      <c r="Q272" s="26"/>
      <c r="R272" s="28"/>
      <c r="S272" s="27"/>
      <c r="T272" s="29"/>
    </row>
    <row r="273">
      <c r="A273" s="10"/>
      <c r="B273" s="10"/>
      <c r="C273" s="26"/>
      <c r="D273" s="10"/>
      <c r="E273" s="10"/>
      <c r="F273" s="27"/>
      <c r="G273" s="27"/>
      <c r="H273" s="27"/>
      <c r="I273" s="27"/>
      <c r="J273" s="27"/>
      <c r="K273" s="27"/>
      <c r="L273" s="28"/>
      <c r="M273" s="10"/>
      <c r="N273" s="10"/>
      <c r="O273" s="28"/>
      <c r="P273" s="26"/>
      <c r="Q273" s="26"/>
      <c r="R273" s="28"/>
      <c r="S273" s="27"/>
      <c r="T273" s="29"/>
    </row>
    <row r="274">
      <c r="A274" s="10"/>
      <c r="B274" s="10"/>
      <c r="C274" s="26"/>
      <c r="D274" s="10"/>
      <c r="E274" s="10"/>
      <c r="F274" s="27"/>
      <c r="G274" s="27"/>
      <c r="H274" s="27"/>
      <c r="I274" s="27"/>
      <c r="J274" s="27"/>
      <c r="K274" s="27"/>
      <c r="L274" s="28"/>
      <c r="M274" s="10"/>
      <c r="N274" s="10"/>
      <c r="O274" s="28"/>
      <c r="P274" s="26"/>
      <c r="Q274" s="26"/>
      <c r="R274" s="28"/>
      <c r="S274" s="27"/>
      <c r="T274" s="29"/>
    </row>
    <row r="275">
      <c r="A275" s="10"/>
      <c r="B275" s="10"/>
      <c r="C275" s="26"/>
      <c r="D275" s="10"/>
      <c r="E275" s="10"/>
      <c r="F275" s="27"/>
      <c r="G275" s="27"/>
      <c r="H275" s="27"/>
      <c r="I275" s="27"/>
      <c r="J275" s="27"/>
      <c r="K275" s="27"/>
      <c r="L275" s="28"/>
      <c r="M275" s="10"/>
      <c r="N275" s="10"/>
      <c r="O275" s="28"/>
      <c r="P275" s="26"/>
      <c r="Q275" s="26"/>
      <c r="R275" s="28"/>
      <c r="S275" s="27"/>
      <c r="T275" s="29"/>
    </row>
    <row r="276">
      <c r="A276" s="10"/>
      <c r="B276" s="10"/>
      <c r="C276" s="26"/>
      <c r="D276" s="10"/>
      <c r="E276" s="10"/>
      <c r="F276" s="27"/>
      <c r="G276" s="27"/>
      <c r="H276" s="27"/>
      <c r="I276" s="27"/>
      <c r="J276" s="27"/>
      <c r="K276" s="27"/>
      <c r="L276" s="28"/>
      <c r="M276" s="10"/>
      <c r="N276" s="10"/>
      <c r="O276" s="28"/>
      <c r="P276" s="26"/>
      <c r="Q276" s="26"/>
      <c r="R276" s="28"/>
      <c r="S276" s="27"/>
      <c r="T276" s="29"/>
    </row>
    <row r="277">
      <c r="A277" s="10"/>
      <c r="B277" s="10"/>
      <c r="C277" s="26"/>
      <c r="D277" s="10"/>
      <c r="E277" s="10"/>
      <c r="F277" s="27"/>
      <c r="G277" s="27"/>
      <c r="H277" s="27"/>
      <c r="I277" s="27"/>
      <c r="J277" s="27"/>
      <c r="K277" s="27"/>
      <c r="L277" s="28"/>
      <c r="M277" s="10"/>
      <c r="N277" s="10"/>
      <c r="O277" s="28"/>
      <c r="P277" s="26"/>
      <c r="Q277" s="26"/>
      <c r="R277" s="28"/>
      <c r="S277" s="27"/>
      <c r="T277" s="29"/>
    </row>
    <row r="278">
      <c r="A278" s="10"/>
      <c r="B278" s="10"/>
      <c r="C278" s="26"/>
      <c r="D278" s="10"/>
      <c r="E278" s="10"/>
      <c r="F278" s="27"/>
      <c r="G278" s="27"/>
      <c r="H278" s="27"/>
      <c r="I278" s="27"/>
      <c r="J278" s="27"/>
      <c r="K278" s="27"/>
      <c r="L278" s="28"/>
      <c r="M278" s="10"/>
      <c r="N278" s="10"/>
      <c r="O278" s="28"/>
      <c r="P278" s="26"/>
      <c r="Q278" s="26"/>
      <c r="R278" s="28"/>
      <c r="S278" s="27"/>
      <c r="T278" s="29"/>
    </row>
    <row r="279">
      <c r="A279" s="10"/>
      <c r="B279" s="10"/>
      <c r="C279" s="26"/>
      <c r="D279" s="10"/>
      <c r="E279" s="10"/>
      <c r="F279" s="27"/>
      <c r="G279" s="27"/>
      <c r="H279" s="27"/>
      <c r="I279" s="27"/>
      <c r="J279" s="27"/>
      <c r="K279" s="27"/>
      <c r="L279" s="28"/>
      <c r="M279" s="10"/>
      <c r="N279" s="10"/>
      <c r="O279" s="28"/>
      <c r="P279" s="26"/>
      <c r="Q279" s="26"/>
      <c r="R279" s="28"/>
      <c r="S279" s="27"/>
      <c r="T279" s="29"/>
    </row>
    <row r="280">
      <c r="A280" s="10"/>
      <c r="B280" s="10"/>
      <c r="C280" s="26"/>
      <c r="D280" s="10"/>
      <c r="E280" s="10"/>
      <c r="F280" s="27"/>
      <c r="G280" s="27"/>
      <c r="H280" s="27"/>
      <c r="I280" s="27"/>
      <c r="J280" s="27"/>
      <c r="K280" s="27"/>
      <c r="L280" s="28"/>
      <c r="M280" s="10"/>
      <c r="N280" s="10"/>
      <c r="O280" s="28"/>
      <c r="P280" s="26"/>
      <c r="Q280" s="26"/>
      <c r="R280" s="28"/>
      <c r="S280" s="27"/>
      <c r="T280" s="29"/>
    </row>
    <row r="281">
      <c r="A281" s="10"/>
      <c r="B281" s="10"/>
      <c r="C281" s="26"/>
      <c r="D281" s="10"/>
      <c r="E281" s="10"/>
      <c r="F281" s="27"/>
      <c r="G281" s="27"/>
      <c r="H281" s="27"/>
      <c r="I281" s="27"/>
      <c r="J281" s="27"/>
      <c r="K281" s="27"/>
      <c r="L281" s="28"/>
      <c r="M281" s="28"/>
      <c r="N281" s="28"/>
      <c r="O281" s="28"/>
      <c r="P281" s="26"/>
      <c r="Q281" s="26"/>
      <c r="R281" s="28"/>
      <c r="S281" s="27"/>
      <c r="T281" s="29"/>
    </row>
    <row r="282">
      <c r="A282" s="10"/>
      <c r="B282" s="10"/>
      <c r="C282" s="26"/>
      <c r="D282" s="10"/>
      <c r="E282" s="10"/>
      <c r="F282" s="27"/>
      <c r="G282" s="27"/>
      <c r="H282" s="27"/>
      <c r="I282" s="27"/>
      <c r="J282" s="27"/>
      <c r="K282" s="27"/>
      <c r="L282" s="28"/>
      <c r="M282" s="10"/>
      <c r="N282" s="10"/>
      <c r="O282" s="28"/>
      <c r="P282" s="26"/>
      <c r="Q282" s="26"/>
      <c r="R282" s="28"/>
      <c r="S282" s="27"/>
      <c r="T282" s="29"/>
    </row>
    <row r="283">
      <c r="A283" s="10"/>
      <c r="B283" s="10"/>
      <c r="C283" s="26"/>
      <c r="D283" s="10"/>
      <c r="E283" s="10"/>
      <c r="F283" s="27"/>
      <c r="G283" s="27"/>
      <c r="H283" s="27"/>
      <c r="I283" s="27"/>
      <c r="J283" s="27"/>
      <c r="K283" s="27"/>
      <c r="L283" s="28"/>
      <c r="M283" s="10"/>
      <c r="N283" s="10"/>
      <c r="O283" s="28"/>
      <c r="P283" s="26"/>
      <c r="Q283" s="26"/>
      <c r="R283" s="28"/>
      <c r="S283" s="27"/>
      <c r="T283" s="29"/>
    </row>
    <row r="284">
      <c r="A284" s="10"/>
      <c r="B284" s="10"/>
      <c r="C284" s="26"/>
      <c r="D284" s="10"/>
      <c r="E284" s="10"/>
      <c r="F284" s="27"/>
      <c r="G284" s="27"/>
      <c r="H284" s="27"/>
      <c r="I284" s="27"/>
      <c r="J284" s="27"/>
      <c r="K284" s="27"/>
      <c r="L284" s="28"/>
      <c r="M284" s="10"/>
      <c r="N284" s="10"/>
      <c r="O284" s="28"/>
      <c r="P284" s="26"/>
      <c r="Q284" s="26"/>
      <c r="R284" s="28"/>
      <c r="S284" s="27"/>
      <c r="T284" s="29"/>
    </row>
    <row r="285">
      <c r="A285" s="10"/>
      <c r="B285" s="10"/>
      <c r="C285" s="26"/>
      <c r="D285" s="10"/>
      <c r="E285" s="10"/>
      <c r="F285" s="27"/>
      <c r="G285" s="27"/>
      <c r="H285" s="27"/>
      <c r="I285" s="27"/>
      <c r="J285" s="27"/>
      <c r="K285" s="27"/>
      <c r="L285" s="28"/>
      <c r="M285" s="10"/>
      <c r="N285" s="10"/>
      <c r="O285" s="28"/>
      <c r="P285" s="26"/>
      <c r="Q285" s="26"/>
      <c r="R285" s="28"/>
      <c r="S285" s="27"/>
      <c r="T285" s="29"/>
    </row>
    <row r="286">
      <c r="A286" s="10"/>
      <c r="B286" s="10"/>
      <c r="C286" s="26"/>
      <c r="D286" s="10"/>
      <c r="E286" s="10"/>
      <c r="F286" s="27"/>
      <c r="G286" s="27"/>
      <c r="H286" s="27"/>
      <c r="I286" s="27"/>
      <c r="J286" s="27"/>
      <c r="K286" s="27"/>
      <c r="L286" s="28"/>
      <c r="M286" s="10"/>
      <c r="N286" s="10"/>
      <c r="O286" s="28"/>
      <c r="P286" s="86"/>
      <c r="Q286" s="86"/>
      <c r="R286" s="28"/>
      <c r="S286" s="27"/>
      <c r="T286" s="29"/>
    </row>
    <row r="287">
      <c r="A287" s="10"/>
      <c r="B287" s="10"/>
      <c r="C287" s="26"/>
      <c r="D287" s="10"/>
      <c r="E287" s="10"/>
      <c r="F287" s="27"/>
      <c r="G287" s="27"/>
      <c r="H287" s="27"/>
      <c r="I287" s="27"/>
      <c r="J287" s="27"/>
      <c r="K287" s="27"/>
      <c r="L287" s="28"/>
      <c r="M287" s="10"/>
      <c r="N287" s="10"/>
      <c r="O287" s="28"/>
      <c r="P287" s="26"/>
      <c r="Q287" s="26"/>
      <c r="R287" s="28"/>
      <c r="S287" s="27"/>
      <c r="T287" s="29"/>
    </row>
    <row r="288">
      <c r="A288" s="10"/>
      <c r="B288" s="10"/>
      <c r="C288" s="26"/>
      <c r="D288" s="10"/>
      <c r="E288" s="10"/>
      <c r="F288" s="27"/>
      <c r="G288" s="27"/>
      <c r="H288" s="27"/>
      <c r="I288" s="27"/>
      <c r="J288" s="27"/>
      <c r="K288" s="27"/>
      <c r="L288" s="28"/>
      <c r="M288" s="10"/>
      <c r="N288" s="10"/>
      <c r="O288" s="28"/>
      <c r="P288" s="26"/>
      <c r="Q288" s="26"/>
      <c r="R288" s="28"/>
      <c r="S288" s="27"/>
      <c r="T288" s="29"/>
    </row>
    <row r="289">
      <c r="A289" s="10"/>
      <c r="B289" s="10"/>
      <c r="C289" s="26"/>
      <c r="D289" s="10"/>
      <c r="E289" s="10"/>
      <c r="F289" s="27"/>
      <c r="G289" s="27"/>
      <c r="H289" s="27"/>
      <c r="I289" s="27"/>
      <c r="J289" s="27"/>
      <c r="K289" s="27"/>
      <c r="L289" s="28"/>
      <c r="M289" s="10"/>
      <c r="N289" s="10"/>
      <c r="O289" s="28"/>
      <c r="P289" s="26"/>
      <c r="Q289" s="26"/>
      <c r="R289" s="28"/>
      <c r="S289" s="27"/>
      <c r="T289" s="29"/>
    </row>
    <row r="290">
      <c r="A290" s="10"/>
      <c r="B290" s="10"/>
      <c r="C290" s="26"/>
      <c r="D290" s="10"/>
      <c r="E290" s="10"/>
      <c r="F290" s="27"/>
      <c r="G290" s="27"/>
      <c r="H290" s="27"/>
      <c r="I290" s="27"/>
      <c r="J290" s="27"/>
      <c r="K290" s="27"/>
      <c r="L290" s="28"/>
      <c r="M290" s="10"/>
      <c r="N290" s="10"/>
      <c r="O290" s="28"/>
      <c r="P290" s="86"/>
      <c r="Q290" s="86"/>
      <c r="R290" s="28"/>
      <c r="S290" s="27"/>
      <c r="T290" s="29"/>
    </row>
    <row r="291">
      <c r="A291" s="10"/>
      <c r="B291" s="10"/>
      <c r="C291" s="26"/>
      <c r="D291" s="10"/>
      <c r="E291" s="10"/>
      <c r="F291" s="27"/>
      <c r="G291" s="27"/>
      <c r="H291" s="27"/>
      <c r="I291" s="27"/>
      <c r="J291" s="27"/>
      <c r="K291" s="27"/>
      <c r="L291" s="28"/>
      <c r="M291" s="10"/>
      <c r="N291" s="10"/>
      <c r="O291" s="28"/>
      <c r="P291" s="26"/>
      <c r="Q291" s="26"/>
      <c r="R291" s="28"/>
      <c r="S291" s="27"/>
      <c r="T291" s="29"/>
    </row>
    <row r="292">
      <c r="A292" s="10"/>
      <c r="B292" s="10"/>
      <c r="C292" s="26"/>
      <c r="D292" s="10"/>
      <c r="E292" s="10"/>
      <c r="F292" s="27"/>
      <c r="G292" s="27"/>
      <c r="H292" s="27"/>
      <c r="I292" s="27"/>
      <c r="J292" s="27"/>
      <c r="K292" s="27"/>
      <c r="L292" s="28"/>
      <c r="M292" s="10"/>
      <c r="N292" s="10"/>
      <c r="O292" s="28"/>
      <c r="P292" s="26"/>
      <c r="Q292" s="26"/>
      <c r="R292" s="28"/>
      <c r="S292" s="27"/>
      <c r="T292" s="29"/>
    </row>
    <row r="293">
      <c r="A293" s="10"/>
      <c r="B293" s="10"/>
      <c r="C293" s="26"/>
      <c r="D293" s="10"/>
      <c r="E293" s="10"/>
      <c r="F293" s="27"/>
      <c r="G293" s="27"/>
      <c r="H293" s="27"/>
      <c r="I293" s="27"/>
      <c r="J293" s="27"/>
      <c r="K293" s="27"/>
      <c r="L293" s="28"/>
      <c r="M293" s="28"/>
      <c r="N293" s="10"/>
      <c r="O293" s="28"/>
      <c r="P293" s="86"/>
      <c r="Q293" s="86"/>
      <c r="R293" s="28"/>
      <c r="S293" s="27"/>
      <c r="T293" s="29"/>
    </row>
    <row r="294">
      <c r="A294" s="10"/>
      <c r="B294" s="10"/>
      <c r="C294" s="26"/>
      <c r="D294" s="10"/>
      <c r="E294" s="10"/>
      <c r="F294" s="27"/>
      <c r="G294" s="27"/>
      <c r="H294" s="27"/>
      <c r="I294" s="27"/>
      <c r="J294" s="27"/>
      <c r="K294" s="27"/>
      <c r="L294" s="28"/>
      <c r="M294" s="10"/>
      <c r="N294" s="10"/>
      <c r="O294" s="28"/>
      <c r="P294" s="26"/>
      <c r="Q294" s="26"/>
      <c r="R294" s="28"/>
      <c r="S294" s="27"/>
      <c r="T294" s="29"/>
    </row>
    <row r="295">
      <c r="A295" s="10"/>
      <c r="B295" s="10"/>
      <c r="C295" s="26"/>
      <c r="D295" s="10"/>
      <c r="E295" s="10"/>
      <c r="F295" s="27"/>
      <c r="G295" s="27"/>
      <c r="H295" s="27"/>
      <c r="I295" s="27"/>
      <c r="J295" s="27"/>
      <c r="K295" s="27"/>
      <c r="L295" s="28"/>
      <c r="M295" s="10"/>
      <c r="N295" s="10"/>
      <c r="O295" s="28"/>
      <c r="P295" s="26"/>
      <c r="Q295" s="26"/>
      <c r="R295" s="28"/>
      <c r="S295" s="27"/>
      <c r="T295" s="29"/>
    </row>
    <row r="296">
      <c r="A296" s="10"/>
      <c r="B296" s="10"/>
      <c r="C296" s="26"/>
      <c r="D296" s="10"/>
      <c r="E296" s="10"/>
      <c r="F296" s="27"/>
      <c r="G296" s="27"/>
      <c r="H296" s="27"/>
      <c r="I296" s="27"/>
      <c r="J296" s="27"/>
      <c r="K296" s="27"/>
      <c r="L296" s="28"/>
      <c r="M296" s="28"/>
      <c r="N296" s="28"/>
      <c r="O296" s="28"/>
      <c r="P296" s="26"/>
      <c r="Q296" s="26"/>
      <c r="R296" s="28"/>
      <c r="S296" s="27"/>
      <c r="T296" s="29"/>
    </row>
    <row r="297">
      <c r="A297" s="10"/>
      <c r="B297" s="10"/>
      <c r="C297" s="26"/>
      <c r="D297" s="10"/>
      <c r="E297" s="10"/>
      <c r="F297" s="27"/>
      <c r="G297" s="27"/>
      <c r="H297" s="27"/>
      <c r="I297" s="27"/>
      <c r="J297" s="27"/>
      <c r="K297" s="27"/>
      <c r="L297" s="28"/>
      <c r="M297" s="28"/>
      <c r="N297" s="10"/>
      <c r="O297" s="28"/>
      <c r="P297" s="26"/>
      <c r="Q297" s="26"/>
      <c r="R297" s="28"/>
      <c r="S297" s="27"/>
      <c r="T297" s="29"/>
    </row>
    <row r="298">
      <c r="A298" s="10"/>
      <c r="B298" s="10"/>
      <c r="C298" s="26"/>
      <c r="D298" s="10"/>
      <c r="E298" s="10"/>
      <c r="F298" s="27"/>
      <c r="G298" s="27"/>
      <c r="H298" s="27"/>
      <c r="I298" s="27"/>
      <c r="J298" s="27"/>
      <c r="K298" s="27"/>
      <c r="L298" s="28"/>
      <c r="M298" s="10"/>
      <c r="N298" s="10"/>
      <c r="O298" s="28"/>
      <c r="P298" s="26"/>
      <c r="Q298" s="26"/>
      <c r="R298" s="28"/>
      <c r="S298" s="27"/>
      <c r="T298" s="29"/>
    </row>
    <row r="299">
      <c r="A299" s="10"/>
      <c r="B299" s="10"/>
      <c r="C299" s="26"/>
      <c r="D299" s="10"/>
      <c r="E299" s="10"/>
      <c r="F299" s="27"/>
      <c r="G299" s="27"/>
      <c r="H299" s="27"/>
      <c r="I299" s="27"/>
      <c r="J299" s="27"/>
      <c r="K299" s="27"/>
      <c r="L299" s="28"/>
      <c r="M299" s="10"/>
      <c r="N299" s="10"/>
      <c r="O299" s="28"/>
      <c r="P299" s="26"/>
      <c r="Q299" s="26"/>
      <c r="R299" s="28"/>
      <c r="S299" s="27"/>
      <c r="T299" s="29"/>
    </row>
    <row r="300">
      <c r="A300" s="10"/>
      <c r="B300" s="10"/>
      <c r="C300" s="26"/>
      <c r="D300" s="10"/>
      <c r="E300" s="10"/>
      <c r="F300" s="27"/>
      <c r="G300" s="27"/>
      <c r="H300" s="27"/>
      <c r="I300" s="27"/>
      <c r="J300" s="27"/>
      <c r="K300" s="27"/>
      <c r="L300" s="28"/>
      <c r="M300" s="10"/>
      <c r="N300" s="10"/>
      <c r="O300" s="28"/>
      <c r="P300" s="26"/>
      <c r="Q300" s="26"/>
      <c r="R300" s="28"/>
      <c r="S300" s="27"/>
      <c r="T300" s="29"/>
    </row>
    <row r="301">
      <c r="A301" s="10"/>
      <c r="B301" s="10"/>
      <c r="C301" s="26"/>
      <c r="D301" s="10"/>
      <c r="E301" s="10"/>
      <c r="F301" s="27"/>
      <c r="G301" s="27"/>
      <c r="H301" s="27"/>
      <c r="I301" s="27"/>
      <c r="J301" s="27"/>
      <c r="K301" s="27"/>
      <c r="L301" s="28"/>
      <c r="M301" s="28"/>
      <c r="N301" s="28"/>
      <c r="O301" s="28"/>
      <c r="P301" s="26"/>
      <c r="Q301" s="26"/>
      <c r="R301" s="28"/>
      <c r="S301" s="27"/>
      <c r="T301" s="2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25"/>
    <col customWidth="1" min="2" max="2" width="33.25"/>
    <col customWidth="1" min="6" max="6" width="27.63"/>
  </cols>
  <sheetData>
    <row r="1">
      <c r="A1" s="41" t="s">
        <v>404</v>
      </c>
      <c r="B1" s="31" t="s">
        <v>406</v>
      </c>
    </row>
    <row r="2">
      <c r="A2" s="42" t="s">
        <v>16</v>
      </c>
      <c r="B2" s="34">
        <v>2956.2842105263157</v>
      </c>
    </row>
    <row r="3">
      <c r="A3" s="42" t="s">
        <v>421</v>
      </c>
      <c r="B3" s="34">
        <v>2631.0</v>
      </c>
    </row>
    <row r="4">
      <c r="A4" s="42" t="s">
        <v>422</v>
      </c>
      <c r="B4" s="34">
        <v>1608.0</v>
      </c>
    </row>
    <row r="5">
      <c r="A5" s="42" t="s">
        <v>423</v>
      </c>
      <c r="B5" s="34">
        <v>1517.3333333333333</v>
      </c>
    </row>
    <row r="6">
      <c r="A6" s="42" t="s">
        <v>424</v>
      </c>
      <c r="B6" s="34">
        <v>2177.0</v>
      </c>
    </row>
    <row r="7">
      <c r="A7" s="42" t="s">
        <v>425</v>
      </c>
      <c r="B7" s="34">
        <v>3968.0</v>
      </c>
    </row>
    <row r="8">
      <c r="A8" s="42" t="s">
        <v>21</v>
      </c>
      <c r="B8" s="34">
        <v>2919.6067415730336</v>
      </c>
    </row>
    <row r="9">
      <c r="A9" s="42" t="s">
        <v>426</v>
      </c>
      <c r="B9" s="34">
        <v>3129.6</v>
      </c>
    </row>
    <row r="10">
      <c r="A10" s="42" t="s">
        <v>427</v>
      </c>
      <c r="B10" s="34">
        <v>4547.0</v>
      </c>
    </row>
    <row r="11">
      <c r="A11" s="42" t="s">
        <v>428</v>
      </c>
      <c r="B11" s="34">
        <v>4034.3333333333335</v>
      </c>
    </row>
    <row r="12">
      <c r="A12" s="42" t="s">
        <v>429</v>
      </c>
      <c r="B12" s="34">
        <v>4545.0</v>
      </c>
    </row>
    <row r="13">
      <c r="A13" s="42" t="s">
        <v>30</v>
      </c>
      <c r="B13" s="34">
        <v>3076.5795454545455</v>
      </c>
    </row>
    <row r="14">
      <c r="A14" s="42" t="s">
        <v>430</v>
      </c>
      <c r="B14" s="34">
        <v>3207.0</v>
      </c>
    </row>
    <row r="15">
      <c r="A15" s="42" t="s">
        <v>431</v>
      </c>
      <c r="B15" s="34">
        <v>2180.0</v>
      </c>
    </row>
    <row r="16">
      <c r="A16" s="42" t="s">
        <v>432</v>
      </c>
      <c r="B16" s="34">
        <v>3981.0</v>
      </c>
    </row>
    <row r="17">
      <c r="A17" s="42" t="s">
        <v>433</v>
      </c>
      <c r="B17" s="34">
        <v>2292.6666666666665</v>
      </c>
    </row>
    <row r="18">
      <c r="A18" s="42" t="s">
        <v>434</v>
      </c>
      <c r="B18" s="34">
        <v>2776.0</v>
      </c>
    </row>
    <row r="19">
      <c r="A19" s="42" t="s">
        <v>435</v>
      </c>
      <c r="B19" s="34">
        <v>3254.0</v>
      </c>
    </row>
    <row r="20">
      <c r="A20" s="38" t="s">
        <v>387</v>
      </c>
      <c r="B20" s="40">
        <v>2982.806666666667</v>
      </c>
    </row>
    <row r="24">
      <c r="A24" s="88" t="s">
        <v>404</v>
      </c>
      <c r="B24" s="31" t="s">
        <v>436</v>
      </c>
    </row>
    <row r="25">
      <c r="A25" s="42" t="s">
        <v>16</v>
      </c>
      <c r="B25" s="45">
        <v>95.0</v>
      </c>
    </row>
    <row r="26">
      <c r="A26" s="42" t="s">
        <v>421</v>
      </c>
      <c r="B26" s="45">
        <v>2.0</v>
      </c>
    </row>
    <row r="27">
      <c r="A27" s="42" t="s">
        <v>422</v>
      </c>
      <c r="B27" s="45">
        <v>1.0</v>
      </c>
    </row>
    <row r="28">
      <c r="A28" s="42" t="s">
        <v>423</v>
      </c>
      <c r="B28" s="45">
        <v>3.0</v>
      </c>
    </row>
    <row r="29">
      <c r="A29" s="42" t="s">
        <v>424</v>
      </c>
      <c r="B29" s="45">
        <v>1.0</v>
      </c>
    </row>
    <row r="30">
      <c r="A30" s="42" t="s">
        <v>425</v>
      </c>
      <c r="B30" s="45">
        <v>1.0</v>
      </c>
    </row>
    <row r="31">
      <c r="A31" s="42" t="s">
        <v>21</v>
      </c>
      <c r="B31" s="45">
        <v>89.0</v>
      </c>
    </row>
    <row r="32">
      <c r="A32" s="42" t="s">
        <v>426</v>
      </c>
      <c r="B32" s="45">
        <v>5.0</v>
      </c>
    </row>
    <row r="33">
      <c r="A33" s="42" t="s">
        <v>427</v>
      </c>
      <c r="B33" s="45">
        <v>1.0</v>
      </c>
    </row>
    <row r="34">
      <c r="A34" s="42" t="s">
        <v>428</v>
      </c>
      <c r="B34" s="45">
        <v>3.0</v>
      </c>
    </row>
    <row r="35">
      <c r="A35" s="42" t="s">
        <v>429</v>
      </c>
      <c r="B35" s="45">
        <v>2.0</v>
      </c>
    </row>
    <row r="36">
      <c r="A36" s="42" t="s">
        <v>30</v>
      </c>
      <c r="B36" s="45">
        <v>88.0</v>
      </c>
    </row>
    <row r="37">
      <c r="A37" s="42" t="s">
        <v>430</v>
      </c>
      <c r="B37" s="45">
        <v>1.0</v>
      </c>
    </row>
    <row r="38">
      <c r="A38" s="42" t="s">
        <v>431</v>
      </c>
      <c r="B38" s="45">
        <v>2.0</v>
      </c>
    </row>
    <row r="39">
      <c r="A39" s="42" t="s">
        <v>432</v>
      </c>
      <c r="B39" s="45">
        <v>1.0</v>
      </c>
    </row>
    <row r="40">
      <c r="A40" s="42" t="s">
        <v>433</v>
      </c>
      <c r="B40" s="45">
        <v>3.0</v>
      </c>
    </row>
    <row r="41">
      <c r="A41" s="42" t="s">
        <v>434</v>
      </c>
      <c r="B41" s="45">
        <v>1.0</v>
      </c>
    </row>
    <row r="42">
      <c r="A42" s="42" t="s">
        <v>435</v>
      </c>
      <c r="B42" s="45">
        <v>1.0</v>
      </c>
    </row>
    <row r="43">
      <c r="A43" s="38" t="s">
        <v>387</v>
      </c>
      <c r="B43" s="46">
        <v>300.0</v>
      </c>
    </row>
    <row r="47" ht="79.5" customHeight="1">
      <c r="B47" s="89" t="s">
        <v>437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2.75"/>
    <col customWidth="1" min="16" max="17" width="24.0"/>
    <col customWidth="1" min="18" max="18" width="20.25"/>
  </cols>
  <sheetData>
    <row r="1">
      <c r="A1" s="1" t="s">
        <v>0</v>
      </c>
      <c r="B1" s="2" t="s">
        <v>1</v>
      </c>
      <c r="C1" s="3" t="s">
        <v>2</v>
      </c>
      <c r="D1" s="2" t="s">
        <v>3</v>
      </c>
      <c r="E1" s="2" t="s">
        <v>4</v>
      </c>
      <c r="F1" s="1" t="s">
        <v>5</v>
      </c>
      <c r="G1" s="1" t="s">
        <v>6</v>
      </c>
      <c r="H1" s="2" t="s">
        <v>7</v>
      </c>
      <c r="I1" s="2" t="s">
        <v>8</v>
      </c>
      <c r="J1" s="1" t="s">
        <v>9</v>
      </c>
      <c r="K1" s="1" t="s">
        <v>10</v>
      </c>
      <c r="L1" s="11" t="s">
        <v>11</v>
      </c>
      <c r="M1" s="17"/>
      <c r="N1" s="17"/>
      <c r="O1" s="61" t="s">
        <v>358</v>
      </c>
      <c r="P1" s="90" t="s">
        <v>438</v>
      </c>
      <c r="Q1" s="91" t="s">
        <v>439</v>
      </c>
      <c r="R1" s="61" t="s">
        <v>408</v>
      </c>
      <c r="S1" s="25" t="s">
        <v>392</v>
      </c>
      <c r="T1" s="25" t="s">
        <v>379</v>
      </c>
    </row>
    <row r="2">
      <c r="A2" s="10" t="s">
        <v>12</v>
      </c>
      <c r="B2" s="10" t="s">
        <v>13</v>
      </c>
      <c r="C2" s="26">
        <v>45649.0</v>
      </c>
      <c r="D2" s="10" t="s">
        <v>14</v>
      </c>
      <c r="E2" s="10" t="s">
        <v>15</v>
      </c>
      <c r="F2" s="27">
        <v>1461.0</v>
      </c>
      <c r="G2" s="27">
        <v>184.0</v>
      </c>
      <c r="H2" s="27">
        <v>344.0</v>
      </c>
      <c r="I2" s="27">
        <v>21915.0</v>
      </c>
      <c r="J2" s="27">
        <v>21675.0</v>
      </c>
      <c r="K2" s="27">
        <v>15.0</v>
      </c>
      <c r="L2" s="28" t="s">
        <v>16</v>
      </c>
      <c r="M2" s="28" t="s">
        <v>17</v>
      </c>
      <c r="N2" s="10"/>
      <c r="O2" s="28" t="s">
        <v>365</v>
      </c>
      <c r="P2" s="26">
        <f t="shared" ref="P2:P14" si="1">IFS(
  O2="SummerSplash", DATE(2024,6,15),
  O2="FestiveRadiance", DATE(2024,10,1),
  O2="NewYearRefresh", DATE(2024,12,25),
  O2="DailyWellness", DATE(2025,3,1)
)
</f>
        <v>45458</v>
      </c>
      <c r="Q2" s="26">
        <f t="shared" ref="Q2:Q14" si="2">IFS(
  O2="SummerSplash", DATE(2024,7,15),
  O2="FestiveRadiance", DATE(2024,10,31),
  O2="NewYearRefresh", DATE(2025,1,10),
  O2="DailyWellness", DATE(2025,3,31)
)
</f>
        <v>45488</v>
      </c>
      <c r="R2" s="28" t="str">
        <f t="shared" ref="R2:R301" si="3">IF(C2 &lt; N2, "Before Campaign", IF(AND(C2 &gt;= N2, C2 &lt;= O2), "During Campaign", "After Campaign"))
</f>
        <v>During Campaign</v>
      </c>
      <c r="S2" s="27">
        <f t="shared" ref="S2:S301" si="4">F2 + G2 + H2</f>
        <v>1989</v>
      </c>
      <c r="T2" s="29">
        <f t="shared" ref="T2:T301" si="5"> (F2 + G2 + H2) / I2</f>
        <v>0.09075975359</v>
      </c>
    </row>
    <row r="3">
      <c r="A3" s="10" t="s">
        <v>18</v>
      </c>
      <c r="B3" s="10" t="s">
        <v>13</v>
      </c>
      <c r="C3" s="26">
        <v>45750.0</v>
      </c>
      <c r="D3" s="10" t="s">
        <v>19</v>
      </c>
      <c r="E3" s="10" t="s">
        <v>20</v>
      </c>
      <c r="F3" s="27">
        <v>4054.0</v>
      </c>
      <c r="G3" s="27">
        <v>389.0</v>
      </c>
      <c r="H3" s="27">
        <v>493.0</v>
      </c>
      <c r="I3" s="27">
        <v>64864.0</v>
      </c>
      <c r="J3" s="27">
        <v>64383.0</v>
      </c>
      <c r="K3" s="27">
        <v>117.0</v>
      </c>
      <c r="L3" s="28" t="s">
        <v>21</v>
      </c>
      <c r="M3" s="28" t="s">
        <v>22</v>
      </c>
      <c r="N3" s="10"/>
      <c r="O3" s="28" t="s">
        <v>368</v>
      </c>
      <c r="P3" s="26">
        <f t="shared" si="1"/>
        <v>45566</v>
      </c>
      <c r="Q3" s="26">
        <f t="shared" si="2"/>
        <v>45596</v>
      </c>
      <c r="R3" s="28" t="str">
        <f t="shared" si="3"/>
        <v>During Campaign</v>
      </c>
      <c r="S3" s="27">
        <f t="shared" si="4"/>
        <v>4936</v>
      </c>
      <c r="T3" s="29">
        <f t="shared" si="5"/>
        <v>0.0760976813</v>
      </c>
    </row>
    <row r="4">
      <c r="A4" s="10" t="s">
        <v>23</v>
      </c>
      <c r="B4" s="10" t="s">
        <v>24</v>
      </c>
      <c r="C4" s="26">
        <v>45789.0</v>
      </c>
      <c r="D4" s="10" t="s">
        <v>14</v>
      </c>
      <c r="E4" s="10" t="s">
        <v>25</v>
      </c>
      <c r="F4" s="27">
        <v>2795.0</v>
      </c>
      <c r="G4" s="27">
        <v>105.0</v>
      </c>
      <c r="H4" s="27">
        <v>49.0</v>
      </c>
      <c r="I4" s="27">
        <v>53105.0</v>
      </c>
      <c r="J4" s="27">
        <v>52307.0</v>
      </c>
      <c r="K4" s="27">
        <v>204.0</v>
      </c>
      <c r="L4" s="28" t="s">
        <v>21</v>
      </c>
      <c r="M4" s="10"/>
      <c r="N4" s="10"/>
      <c r="O4" s="28" t="s">
        <v>372</v>
      </c>
      <c r="P4" s="26">
        <f t="shared" si="1"/>
        <v>45651</v>
      </c>
      <c r="Q4" s="26">
        <f t="shared" si="2"/>
        <v>45667</v>
      </c>
      <c r="R4" s="28" t="str">
        <f t="shared" si="3"/>
        <v>During Campaign</v>
      </c>
      <c r="S4" s="27">
        <f t="shared" si="4"/>
        <v>2949</v>
      </c>
      <c r="T4" s="29">
        <f t="shared" si="5"/>
        <v>0.05553149421</v>
      </c>
    </row>
    <row r="5">
      <c r="A5" s="10" t="s">
        <v>26</v>
      </c>
      <c r="B5" s="10" t="s">
        <v>27</v>
      </c>
      <c r="C5" s="26">
        <v>45516.0</v>
      </c>
      <c r="D5" s="10" t="s">
        <v>28</v>
      </c>
      <c r="E5" s="10" t="s">
        <v>29</v>
      </c>
      <c r="F5" s="27">
        <v>2404.0</v>
      </c>
      <c r="G5" s="27">
        <v>363.0</v>
      </c>
      <c r="H5" s="27">
        <v>138.0</v>
      </c>
      <c r="I5" s="27">
        <v>19232.0</v>
      </c>
      <c r="J5" s="27">
        <v>18636.0</v>
      </c>
      <c r="K5" s="27">
        <v>128.0</v>
      </c>
      <c r="L5" s="28" t="s">
        <v>30</v>
      </c>
      <c r="M5" s="10"/>
      <c r="N5" s="10"/>
      <c r="O5" s="28" t="s">
        <v>375</v>
      </c>
      <c r="P5" s="26">
        <f t="shared" si="1"/>
        <v>45717</v>
      </c>
      <c r="Q5" s="26">
        <f t="shared" si="2"/>
        <v>45747</v>
      </c>
      <c r="R5" s="28" t="str">
        <f t="shared" si="3"/>
        <v>During Campaign</v>
      </c>
      <c r="S5" s="27">
        <f t="shared" si="4"/>
        <v>2905</v>
      </c>
      <c r="T5" s="29">
        <f t="shared" si="5"/>
        <v>0.1510503328</v>
      </c>
    </row>
    <row r="6">
      <c r="A6" s="10" t="s">
        <v>31</v>
      </c>
      <c r="B6" s="10" t="s">
        <v>24</v>
      </c>
      <c r="C6" s="26">
        <v>45469.0</v>
      </c>
      <c r="D6" s="10" t="s">
        <v>14</v>
      </c>
      <c r="E6" s="10" t="s">
        <v>25</v>
      </c>
      <c r="F6" s="27">
        <v>3557.0</v>
      </c>
      <c r="G6" s="27">
        <v>687.0</v>
      </c>
      <c r="H6" s="27">
        <v>424.0</v>
      </c>
      <c r="I6" s="27">
        <v>71140.0</v>
      </c>
      <c r="J6" s="27">
        <v>70701.0</v>
      </c>
      <c r="K6" s="27">
        <v>224.0</v>
      </c>
      <c r="L6" s="28" t="s">
        <v>30</v>
      </c>
      <c r="M6" s="28" t="s">
        <v>21</v>
      </c>
      <c r="N6" s="10"/>
      <c r="O6" s="28" t="s">
        <v>365</v>
      </c>
      <c r="P6" s="26">
        <f t="shared" si="1"/>
        <v>45458</v>
      </c>
      <c r="Q6" s="26">
        <f t="shared" si="2"/>
        <v>45488</v>
      </c>
      <c r="R6" s="28" t="str">
        <f t="shared" si="3"/>
        <v>During Campaign</v>
      </c>
      <c r="S6" s="27">
        <f t="shared" si="4"/>
        <v>4668</v>
      </c>
      <c r="T6" s="29">
        <f t="shared" si="5"/>
        <v>0.06561709306</v>
      </c>
    </row>
    <row r="7">
      <c r="A7" s="10" t="s">
        <v>32</v>
      </c>
      <c r="B7" s="10" t="s">
        <v>33</v>
      </c>
      <c r="C7" s="26">
        <v>45596.0</v>
      </c>
      <c r="D7" s="10" t="s">
        <v>34</v>
      </c>
      <c r="E7" s="10" t="s">
        <v>35</v>
      </c>
      <c r="F7" s="27">
        <v>2945.0</v>
      </c>
      <c r="G7" s="27">
        <v>930.0</v>
      </c>
      <c r="H7" s="27">
        <v>355.0</v>
      </c>
      <c r="I7" s="27">
        <v>23560.0</v>
      </c>
      <c r="J7" s="27">
        <v>23275.0</v>
      </c>
      <c r="K7" s="27">
        <v>256.0</v>
      </c>
      <c r="L7" s="28" t="s">
        <v>21</v>
      </c>
      <c r="M7" s="10"/>
      <c r="N7" s="10"/>
      <c r="O7" s="28" t="s">
        <v>368</v>
      </c>
      <c r="P7" s="26">
        <f t="shared" si="1"/>
        <v>45566</v>
      </c>
      <c r="Q7" s="26">
        <f t="shared" si="2"/>
        <v>45596</v>
      </c>
      <c r="R7" s="28" t="str">
        <f t="shared" si="3"/>
        <v>During Campaign</v>
      </c>
      <c r="S7" s="27">
        <f t="shared" si="4"/>
        <v>4230</v>
      </c>
      <c r="T7" s="29">
        <f t="shared" si="5"/>
        <v>0.1795415959</v>
      </c>
    </row>
    <row r="8">
      <c r="A8" s="10" t="s">
        <v>36</v>
      </c>
      <c r="B8" s="10" t="s">
        <v>13</v>
      </c>
      <c r="C8" s="26">
        <v>45467.0</v>
      </c>
      <c r="D8" s="10" t="s">
        <v>34</v>
      </c>
      <c r="E8" s="10" t="s">
        <v>37</v>
      </c>
      <c r="F8" s="27">
        <v>3860.0</v>
      </c>
      <c r="G8" s="27">
        <v>201.0</v>
      </c>
      <c r="H8" s="27">
        <v>279.0</v>
      </c>
      <c r="I8" s="27">
        <v>61760.0</v>
      </c>
      <c r="J8" s="27">
        <v>61660.0</v>
      </c>
      <c r="K8" s="27">
        <v>235.0</v>
      </c>
      <c r="L8" s="28" t="s">
        <v>21</v>
      </c>
      <c r="M8" s="10"/>
      <c r="N8" s="10"/>
      <c r="O8" s="28" t="s">
        <v>368</v>
      </c>
      <c r="P8" s="26">
        <f t="shared" si="1"/>
        <v>45566</v>
      </c>
      <c r="Q8" s="26">
        <f t="shared" si="2"/>
        <v>45596</v>
      </c>
      <c r="R8" s="28" t="str">
        <f t="shared" si="3"/>
        <v>During Campaign</v>
      </c>
      <c r="S8" s="27">
        <f t="shared" si="4"/>
        <v>4340</v>
      </c>
      <c r="T8" s="29">
        <f t="shared" si="5"/>
        <v>0.07027202073</v>
      </c>
    </row>
    <row r="9">
      <c r="A9" s="10" t="s">
        <v>38</v>
      </c>
      <c r="B9" s="10" t="s">
        <v>24</v>
      </c>
      <c r="C9" s="26">
        <v>45486.0</v>
      </c>
      <c r="D9" s="10" t="s">
        <v>39</v>
      </c>
      <c r="E9" s="10" t="s">
        <v>40</v>
      </c>
      <c r="F9" s="27">
        <v>3929.0</v>
      </c>
      <c r="G9" s="27">
        <v>262.0</v>
      </c>
      <c r="H9" s="27">
        <v>278.0</v>
      </c>
      <c r="I9" s="27">
        <v>43219.0</v>
      </c>
      <c r="J9" s="27">
        <v>42841.0</v>
      </c>
      <c r="K9" s="27">
        <v>39.0</v>
      </c>
      <c r="L9" s="28" t="s">
        <v>30</v>
      </c>
      <c r="M9" s="10"/>
      <c r="N9" s="10"/>
      <c r="O9" s="28" t="s">
        <v>375</v>
      </c>
      <c r="P9" s="26">
        <f t="shared" si="1"/>
        <v>45717</v>
      </c>
      <c r="Q9" s="26">
        <f t="shared" si="2"/>
        <v>45747</v>
      </c>
      <c r="R9" s="28" t="str">
        <f t="shared" si="3"/>
        <v>During Campaign</v>
      </c>
      <c r="S9" s="27">
        <f t="shared" si="4"/>
        <v>4469</v>
      </c>
      <c r="T9" s="29">
        <f t="shared" si="5"/>
        <v>0.1034035956</v>
      </c>
    </row>
    <row r="10">
      <c r="A10" s="10" t="s">
        <v>41</v>
      </c>
      <c r="B10" s="10" t="s">
        <v>33</v>
      </c>
      <c r="C10" s="26">
        <v>45534.0</v>
      </c>
      <c r="D10" s="10" t="s">
        <v>19</v>
      </c>
      <c r="E10" s="10" t="s">
        <v>42</v>
      </c>
      <c r="F10" s="27">
        <v>3784.0</v>
      </c>
      <c r="G10" s="27">
        <v>808.0</v>
      </c>
      <c r="H10" s="27">
        <v>404.0</v>
      </c>
      <c r="I10" s="27">
        <v>56760.0</v>
      </c>
      <c r="J10" s="27">
        <v>56343.0</v>
      </c>
      <c r="K10" s="27">
        <v>131.0</v>
      </c>
      <c r="L10" s="28" t="s">
        <v>21</v>
      </c>
      <c r="M10" s="10"/>
      <c r="N10" s="10"/>
      <c r="O10" s="28" t="s">
        <v>368</v>
      </c>
      <c r="P10" s="26">
        <f t="shared" si="1"/>
        <v>45566</v>
      </c>
      <c r="Q10" s="26">
        <f t="shared" si="2"/>
        <v>45596</v>
      </c>
      <c r="R10" s="28" t="str">
        <f t="shared" si="3"/>
        <v>During Campaign</v>
      </c>
      <c r="S10" s="27">
        <f t="shared" si="4"/>
        <v>4996</v>
      </c>
      <c r="T10" s="29">
        <f t="shared" si="5"/>
        <v>0.08801973221</v>
      </c>
    </row>
    <row r="11">
      <c r="A11" s="10" t="s">
        <v>43</v>
      </c>
      <c r="B11" s="10" t="s">
        <v>33</v>
      </c>
      <c r="C11" s="26">
        <v>45727.0</v>
      </c>
      <c r="D11" s="10" t="s">
        <v>39</v>
      </c>
      <c r="E11" s="10" t="s">
        <v>44</v>
      </c>
      <c r="F11" s="27">
        <v>4241.0</v>
      </c>
      <c r="G11" s="27">
        <v>902.0</v>
      </c>
      <c r="H11" s="27">
        <v>47.0</v>
      </c>
      <c r="I11" s="27">
        <v>72097.0</v>
      </c>
      <c r="J11" s="27">
        <v>71598.0</v>
      </c>
      <c r="K11" s="27">
        <v>167.0</v>
      </c>
      <c r="L11" s="28" t="s">
        <v>21</v>
      </c>
      <c r="M11" s="10"/>
      <c r="N11" s="10"/>
      <c r="O11" s="28" t="s">
        <v>368</v>
      </c>
      <c r="P11" s="26">
        <f t="shared" si="1"/>
        <v>45566</v>
      </c>
      <c r="Q11" s="26">
        <f t="shared" si="2"/>
        <v>45596</v>
      </c>
      <c r="R11" s="28" t="str">
        <f t="shared" si="3"/>
        <v>During Campaign</v>
      </c>
      <c r="S11" s="27">
        <f t="shared" si="4"/>
        <v>5190</v>
      </c>
      <c r="T11" s="29">
        <f t="shared" si="5"/>
        <v>0.07198635172</v>
      </c>
    </row>
    <row r="12">
      <c r="A12" s="10" t="s">
        <v>45</v>
      </c>
      <c r="B12" s="10" t="s">
        <v>27</v>
      </c>
      <c r="C12" s="26">
        <v>45690.0</v>
      </c>
      <c r="D12" s="10" t="s">
        <v>28</v>
      </c>
      <c r="E12" s="10" t="s">
        <v>29</v>
      </c>
      <c r="F12" s="27">
        <v>1792.0</v>
      </c>
      <c r="G12" s="27">
        <v>614.0</v>
      </c>
      <c r="H12" s="27">
        <v>497.0</v>
      </c>
      <c r="I12" s="27">
        <v>25088.0</v>
      </c>
      <c r="J12" s="27">
        <v>24675.0</v>
      </c>
      <c r="K12" s="27">
        <v>65.0</v>
      </c>
      <c r="L12" s="28" t="s">
        <v>16</v>
      </c>
      <c r="M12" s="10"/>
      <c r="N12" s="10"/>
      <c r="O12" s="28" t="s">
        <v>375</v>
      </c>
      <c r="P12" s="26">
        <f t="shared" si="1"/>
        <v>45717</v>
      </c>
      <c r="Q12" s="26">
        <f t="shared" si="2"/>
        <v>45747</v>
      </c>
      <c r="R12" s="28" t="str">
        <f t="shared" si="3"/>
        <v>During Campaign</v>
      </c>
      <c r="S12" s="27">
        <f t="shared" si="4"/>
        <v>2903</v>
      </c>
      <c r="T12" s="29">
        <f t="shared" si="5"/>
        <v>0.1157126913</v>
      </c>
    </row>
    <row r="13">
      <c r="A13" s="10" t="s">
        <v>46</v>
      </c>
      <c r="B13" s="10" t="s">
        <v>33</v>
      </c>
      <c r="C13" s="26">
        <v>45494.0</v>
      </c>
      <c r="D13" s="10" t="s">
        <v>14</v>
      </c>
      <c r="E13" s="10" t="s">
        <v>47</v>
      </c>
      <c r="F13" s="27">
        <v>1946.0</v>
      </c>
      <c r="G13" s="27">
        <v>686.0</v>
      </c>
      <c r="H13" s="27">
        <v>377.0</v>
      </c>
      <c r="I13" s="27">
        <v>23352.0</v>
      </c>
      <c r="J13" s="27">
        <v>22982.0</v>
      </c>
      <c r="K13" s="27">
        <v>213.0</v>
      </c>
      <c r="L13" s="28" t="s">
        <v>16</v>
      </c>
      <c r="M13" s="10"/>
      <c r="N13" s="10"/>
      <c r="O13" s="28" t="s">
        <v>372</v>
      </c>
      <c r="P13" s="26">
        <f t="shared" si="1"/>
        <v>45651</v>
      </c>
      <c r="Q13" s="26">
        <f t="shared" si="2"/>
        <v>45667</v>
      </c>
      <c r="R13" s="28" t="str">
        <f t="shared" si="3"/>
        <v>During Campaign</v>
      </c>
      <c r="S13" s="27">
        <f t="shared" si="4"/>
        <v>3009</v>
      </c>
      <c r="T13" s="29">
        <f t="shared" si="5"/>
        <v>0.1288540596</v>
      </c>
    </row>
    <row r="14">
      <c r="A14" s="10" t="s">
        <v>48</v>
      </c>
      <c r="B14" s="10" t="s">
        <v>24</v>
      </c>
      <c r="C14" s="26">
        <v>45614.0</v>
      </c>
      <c r="D14" s="10" t="s">
        <v>34</v>
      </c>
      <c r="E14" s="10" t="s">
        <v>49</v>
      </c>
      <c r="F14" s="27">
        <v>1171.0</v>
      </c>
      <c r="G14" s="27">
        <v>286.0</v>
      </c>
      <c r="H14" s="27">
        <v>231.0</v>
      </c>
      <c r="I14" s="27">
        <v>22249.0</v>
      </c>
      <c r="J14" s="27">
        <v>21282.0</v>
      </c>
      <c r="K14" s="27">
        <v>114.0</v>
      </c>
      <c r="L14" s="28" t="s">
        <v>30</v>
      </c>
      <c r="M14" s="10"/>
      <c r="N14" s="10"/>
      <c r="O14" s="28" t="s">
        <v>365</v>
      </c>
      <c r="P14" s="26">
        <f t="shared" si="1"/>
        <v>45458</v>
      </c>
      <c r="Q14" s="26">
        <f t="shared" si="2"/>
        <v>45488</v>
      </c>
      <c r="R14" s="28" t="str">
        <f t="shared" si="3"/>
        <v>During Campaign</v>
      </c>
      <c r="S14" s="27">
        <f t="shared" si="4"/>
        <v>1688</v>
      </c>
      <c r="T14" s="29">
        <f t="shared" si="5"/>
        <v>0.07586857836</v>
      </c>
    </row>
    <row r="15">
      <c r="A15" s="10" t="s">
        <v>50</v>
      </c>
      <c r="B15" s="10" t="s">
        <v>33</v>
      </c>
      <c r="C15" s="26">
        <v>45704.0</v>
      </c>
      <c r="D15" s="10" t="s">
        <v>28</v>
      </c>
      <c r="E15" s="10" t="s">
        <v>51</v>
      </c>
      <c r="F15" s="27">
        <v>4242.0</v>
      </c>
      <c r="G15" s="27">
        <v>555.0</v>
      </c>
      <c r="H15" s="27">
        <v>131.0</v>
      </c>
      <c r="I15" s="27">
        <v>33936.0</v>
      </c>
      <c r="J15" s="27">
        <v>33802.0</v>
      </c>
      <c r="K15" s="27">
        <v>265.0</v>
      </c>
      <c r="L15" s="28" t="s">
        <v>16</v>
      </c>
      <c r="M15" s="10"/>
      <c r="N15" s="10"/>
      <c r="O15" s="28"/>
      <c r="P15" s="86"/>
      <c r="Q15" s="86"/>
      <c r="R15" s="28" t="str">
        <f t="shared" si="3"/>
        <v>After Campaign</v>
      </c>
      <c r="S15" s="27">
        <f t="shared" si="4"/>
        <v>4928</v>
      </c>
      <c r="T15" s="29">
        <f t="shared" si="5"/>
        <v>0.1452145215</v>
      </c>
    </row>
    <row r="16">
      <c r="A16" s="10" t="s">
        <v>52</v>
      </c>
      <c r="B16" s="10" t="s">
        <v>33</v>
      </c>
      <c r="C16" s="26">
        <v>45589.0</v>
      </c>
      <c r="D16" s="10" t="s">
        <v>53</v>
      </c>
      <c r="E16" s="10" t="s">
        <v>54</v>
      </c>
      <c r="F16" s="27">
        <v>3888.0</v>
      </c>
      <c r="G16" s="27">
        <v>604.0</v>
      </c>
      <c r="H16" s="27">
        <v>128.0</v>
      </c>
      <c r="I16" s="27">
        <v>77760.0</v>
      </c>
      <c r="J16" s="27">
        <v>77167.0</v>
      </c>
      <c r="K16" s="27">
        <v>20.0</v>
      </c>
      <c r="L16" s="28" t="s">
        <v>16</v>
      </c>
      <c r="M16" s="10"/>
      <c r="N16" s="10"/>
      <c r="O16" s="28" t="s">
        <v>365</v>
      </c>
      <c r="P16" s="26">
        <f t="shared" ref="P16:P25" si="6">IFS(
  O16="SummerSplash", DATE(2024,6,15),
  O16="FestiveRadiance", DATE(2024,10,1),
  O16="NewYearRefresh", DATE(2024,12,25),
  O16="DailyWellness", DATE(2025,3,1)
)
</f>
        <v>45458</v>
      </c>
      <c r="Q16" s="26">
        <f t="shared" ref="Q16:Q25" si="7">IFS(
  O16="SummerSplash", DATE(2024,7,15),
  O16="FestiveRadiance", DATE(2024,10,31),
  O16="NewYearRefresh", DATE(2025,1,10),
  O16="DailyWellness", DATE(2025,3,31)
)
</f>
        <v>45488</v>
      </c>
      <c r="R16" s="28" t="str">
        <f t="shared" si="3"/>
        <v>During Campaign</v>
      </c>
      <c r="S16" s="27">
        <f t="shared" si="4"/>
        <v>4620</v>
      </c>
      <c r="T16" s="29">
        <f t="shared" si="5"/>
        <v>0.05941358025</v>
      </c>
    </row>
    <row r="17">
      <c r="A17" s="10" t="s">
        <v>55</v>
      </c>
      <c r="B17" s="10" t="s">
        <v>33</v>
      </c>
      <c r="C17" s="26">
        <v>45530.0</v>
      </c>
      <c r="D17" s="10" t="s">
        <v>19</v>
      </c>
      <c r="E17" s="10" t="s">
        <v>42</v>
      </c>
      <c r="F17" s="27">
        <v>3452.0</v>
      </c>
      <c r="G17" s="27">
        <v>377.0</v>
      </c>
      <c r="H17" s="27">
        <v>360.0</v>
      </c>
      <c r="I17" s="27">
        <v>55232.0</v>
      </c>
      <c r="J17" s="27">
        <v>55075.0</v>
      </c>
      <c r="K17" s="27">
        <v>87.0</v>
      </c>
      <c r="L17" s="28" t="s">
        <v>16</v>
      </c>
      <c r="M17" s="10"/>
      <c r="N17" s="10"/>
      <c r="O17" s="28" t="s">
        <v>372</v>
      </c>
      <c r="P17" s="26">
        <f t="shared" si="6"/>
        <v>45651</v>
      </c>
      <c r="Q17" s="26">
        <f t="shared" si="7"/>
        <v>45667</v>
      </c>
      <c r="R17" s="28" t="str">
        <f t="shared" si="3"/>
        <v>During Campaign</v>
      </c>
      <c r="S17" s="27">
        <f t="shared" si="4"/>
        <v>4189</v>
      </c>
      <c r="T17" s="29">
        <f t="shared" si="5"/>
        <v>0.07584371379</v>
      </c>
    </row>
    <row r="18">
      <c r="A18" s="10" t="s">
        <v>56</v>
      </c>
      <c r="B18" s="10" t="s">
        <v>33</v>
      </c>
      <c r="C18" s="26">
        <v>45782.0</v>
      </c>
      <c r="D18" s="10" t="s">
        <v>19</v>
      </c>
      <c r="E18" s="10" t="s">
        <v>42</v>
      </c>
      <c r="F18" s="27">
        <v>4441.0</v>
      </c>
      <c r="G18" s="27">
        <v>511.0</v>
      </c>
      <c r="H18" s="27">
        <v>70.0</v>
      </c>
      <c r="I18" s="27">
        <v>53292.0</v>
      </c>
      <c r="J18" s="27">
        <v>53082.0</v>
      </c>
      <c r="K18" s="27">
        <v>159.0</v>
      </c>
      <c r="L18" s="28" t="s">
        <v>30</v>
      </c>
      <c r="M18" s="10"/>
      <c r="N18" s="10"/>
      <c r="O18" s="28" t="s">
        <v>375</v>
      </c>
      <c r="P18" s="26">
        <f t="shared" si="6"/>
        <v>45717</v>
      </c>
      <c r="Q18" s="26">
        <f t="shared" si="7"/>
        <v>45747</v>
      </c>
      <c r="R18" s="28" t="str">
        <f t="shared" si="3"/>
        <v>During Campaign</v>
      </c>
      <c r="S18" s="27">
        <f t="shared" si="4"/>
        <v>5022</v>
      </c>
      <c r="T18" s="29">
        <f t="shared" si="5"/>
        <v>0.09423553254</v>
      </c>
    </row>
    <row r="19">
      <c r="A19" s="10" t="s">
        <v>57</v>
      </c>
      <c r="B19" s="10" t="s">
        <v>27</v>
      </c>
      <c r="C19" s="26">
        <v>45523.0</v>
      </c>
      <c r="D19" s="10" t="s">
        <v>14</v>
      </c>
      <c r="E19" s="10" t="s">
        <v>58</v>
      </c>
      <c r="F19" s="27">
        <v>3000.0</v>
      </c>
      <c r="G19" s="27">
        <v>382.0</v>
      </c>
      <c r="H19" s="27">
        <v>325.0</v>
      </c>
      <c r="I19" s="27">
        <v>36000.0</v>
      </c>
      <c r="J19" s="27">
        <v>35819.0</v>
      </c>
      <c r="K19" s="27">
        <v>19.0</v>
      </c>
      <c r="L19" s="28" t="s">
        <v>16</v>
      </c>
      <c r="M19" s="10"/>
      <c r="N19" s="10"/>
      <c r="O19" s="28" t="s">
        <v>365</v>
      </c>
      <c r="P19" s="26">
        <f t="shared" si="6"/>
        <v>45458</v>
      </c>
      <c r="Q19" s="26">
        <f t="shared" si="7"/>
        <v>45488</v>
      </c>
      <c r="R19" s="28" t="str">
        <f t="shared" si="3"/>
        <v>During Campaign</v>
      </c>
      <c r="S19" s="27">
        <f t="shared" si="4"/>
        <v>3707</v>
      </c>
      <c r="T19" s="29">
        <f t="shared" si="5"/>
        <v>0.1029722222</v>
      </c>
    </row>
    <row r="20">
      <c r="A20" s="10" t="s">
        <v>59</v>
      </c>
      <c r="B20" s="10" t="s">
        <v>27</v>
      </c>
      <c r="C20" s="26">
        <v>45466.0</v>
      </c>
      <c r="D20" s="10" t="s">
        <v>53</v>
      </c>
      <c r="E20" s="10" t="s">
        <v>60</v>
      </c>
      <c r="F20" s="27">
        <v>1071.0</v>
      </c>
      <c r="G20" s="27">
        <v>519.0</v>
      </c>
      <c r="H20" s="27">
        <v>22.0</v>
      </c>
      <c r="I20" s="27">
        <v>16065.0</v>
      </c>
      <c r="J20" s="27">
        <v>15865.0</v>
      </c>
      <c r="K20" s="27">
        <v>103.0</v>
      </c>
      <c r="L20" s="28" t="s">
        <v>21</v>
      </c>
      <c r="M20" s="10"/>
      <c r="N20" s="10"/>
      <c r="O20" s="28" t="s">
        <v>375</v>
      </c>
      <c r="P20" s="26">
        <f t="shared" si="6"/>
        <v>45717</v>
      </c>
      <c r="Q20" s="26">
        <f t="shared" si="7"/>
        <v>45747</v>
      </c>
      <c r="R20" s="28" t="str">
        <f t="shared" si="3"/>
        <v>During Campaign</v>
      </c>
      <c r="S20" s="27">
        <f t="shared" si="4"/>
        <v>1612</v>
      </c>
      <c r="T20" s="29">
        <f t="shared" si="5"/>
        <v>0.1003423592</v>
      </c>
    </row>
    <row r="21">
      <c r="A21" s="10" t="s">
        <v>61</v>
      </c>
      <c r="B21" s="10" t="s">
        <v>27</v>
      </c>
      <c r="C21" s="26">
        <v>45544.0</v>
      </c>
      <c r="D21" s="10" t="s">
        <v>34</v>
      </c>
      <c r="E21" s="10" t="s">
        <v>62</v>
      </c>
      <c r="F21" s="27">
        <v>4054.0</v>
      </c>
      <c r="G21" s="27">
        <v>488.0</v>
      </c>
      <c r="H21" s="27">
        <v>373.0</v>
      </c>
      <c r="I21" s="27">
        <v>77026.0</v>
      </c>
      <c r="J21" s="27">
        <v>76881.0</v>
      </c>
      <c r="K21" s="27">
        <v>25.0</v>
      </c>
      <c r="L21" s="28" t="s">
        <v>21</v>
      </c>
      <c r="M21" s="10"/>
      <c r="N21" s="10"/>
      <c r="O21" s="28" t="s">
        <v>365</v>
      </c>
      <c r="P21" s="26">
        <f t="shared" si="6"/>
        <v>45458</v>
      </c>
      <c r="Q21" s="26">
        <f t="shared" si="7"/>
        <v>45488</v>
      </c>
      <c r="R21" s="28" t="str">
        <f t="shared" si="3"/>
        <v>During Campaign</v>
      </c>
      <c r="S21" s="27">
        <f t="shared" si="4"/>
        <v>4915</v>
      </c>
      <c r="T21" s="29">
        <f t="shared" si="5"/>
        <v>0.06380962272</v>
      </c>
    </row>
    <row r="22">
      <c r="A22" s="10" t="s">
        <v>63</v>
      </c>
      <c r="B22" s="10" t="s">
        <v>27</v>
      </c>
      <c r="C22" s="26">
        <v>45661.0</v>
      </c>
      <c r="D22" s="10" t="s">
        <v>14</v>
      </c>
      <c r="E22" s="10" t="s">
        <v>58</v>
      </c>
      <c r="F22" s="27">
        <v>4838.0</v>
      </c>
      <c r="G22" s="27">
        <v>640.0</v>
      </c>
      <c r="H22" s="27">
        <v>128.0</v>
      </c>
      <c r="I22" s="27">
        <v>72570.0</v>
      </c>
      <c r="J22" s="27">
        <v>72396.0</v>
      </c>
      <c r="K22" s="27">
        <v>83.0</v>
      </c>
      <c r="L22" s="28" t="s">
        <v>16</v>
      </c>
      <c r="M22" s="10"/>
      <c r="N22" s="10"/>
      <c r="O22" s="28" t="s">
        <v>375</v>
      </c>
      <c r="P22" s="26">
        <f t="shared" si="6"/>
        <v>45717</v>
      </c>
      <c r="Q22" s="26">
        <f t="shared" si="7"/>
        <v>45747</v>
      </c>
      <c r="R22" s="28" t="str">
        <f t="shared" si="3"/>
        <v>During Campaign</v>
      </c>
      <c r="S22" s="27">
        <f t="shared" si="4"/>
        <v>5606</v>
      </c>
      <c r="T22" s="29">
        <f t="shared" si="5"/>
        <v>0.07724955216</v>
      </c>
    </row>
    <row r="23">
      <c r="A23" s="10" t="s">
        <v>64</v>
      </c>
      <c r="B23" s="10" t="s">
        <v>33</v>
      </c>
      <c r="C23" s="26">
        <v>45715.0</v>
      </c>
      <c r="D23" s="10" t="s">
        <v>19</v>
      </c>
      <c r="E23" s="10" t="s">
        <v>42</v>
      </c>
      <c r="F23" s="27">
        <v>1570.0</v>
      </c>
      <c r="G23" s="27">
        <v>187.0</v>
      </c>
      <c r="H23" s="27">
        <v>260.0</v>
      </c>
      <c r="I23" s="27">
        <v>25120.0</v>
      </c>
      <c r="J23" s="27">
        <v>24613.0</v>
      </c>
      <c r="K23" s="27">
        <v>133.0</v>
      </c>
      <c r="L23" s="28" t="s">
        <v>21</v>
      </c>
      <c r="M23" s="10"/>
      <c r="N23" s="10"/>
      <c r="O23" s="28" t="s">
        <v>375</v>
      </c>
      <c r="P23" s="26">
        <f t="shared" si="6"/>
        <v>45717</v>
      </c>
      <c r="Q23" s="26">
        <f t="shared" si="7"/>
        <v>45747</v>
      </c>
      <c r="R23" s="28" t="str">
        <f t="shared" si="3"/>
        <v>During Campaign</v>
      </c>
      <c r="S23" s="27">
        <f t="shared" si="4"/>
        <v>2017</v>
      </c>
      <c r="T23" s="29">
        <f t="shared" si="5"/>
        <v>0.08029458599</v>
      </c>
    </row>
    <row r="24">
      <c r="A24" s="10" t="s">
        <v>65</v>
      </c>
      <c r="B24" s="10" t="s">
        <v>33</v>
      </c>
      <c r="C24" s="26">
        <v>45602.0</v>
      </c>
      <c r="D24" s="10" t="s">
        <v>53</v>
      </c>
      <c r="E24" s="10" t="s">
        <v>54</v>
      </c>
      <c r="F24" s="27">
        <v>1606.0</v>
      </c>
      <c r="G24" s="27">
        <v>547.0</v>
      </c>
      <c r="H24" s="27">
        <v>316.0</v>
      </c>
      <c r="I24" s="27">
        <v>32120.0</v>
      </c>
      <c r="J24" s="27">
        <v>31736.0</v>
      </c>
      <c r="K24" s="27">
        <v>225.0</v>
      </c>
      <c r="L24" s="28" t="s">
        <v>21</v>
      </c>
      <c r="M24" s="28" t="s">
        <v>17</v>
      </c>
      <c r="N24" s="10"/>
      <c r="O24" s="28" t="s">
        <v>368</v>
      </c>
      <c r="P24" s="26">
        <f t="shared" si="6"/>
        <v>45566</v>
      </c>
      <c r="Q24" s="26">
        <f t="shared" si="7"/>
        <v>45596</v>
      </c>
      <c r="R24" s="28" t="str">
        <f t="shared" si="3"/>
        <v>During Campaign</v>
      </c>
      <c r="S24" s="27">
        <f t="shared" si="4"/>
        <v>2469</v>
      </c>
      <c r="T24" s="29">
        <f t="shared" si="5"/>
        <v>0.07686799502</v>
      </c>
    </row>
    <row r="25">
      <c r="A25" s="10" t="s">
        <v>66</v>
      </c>
      <c r="B25" s="10" t="s">
        <v>33</v>
      </c>
      <c r="C25" s="26">
        <v>45680.0</v>
      </c>
      <c r="D25" s="10" t="s">
        <v>53</v>
      </c>
      <c r="E25" s="10" t="s">
        <v>54</v>
      </c>
      <c r="F25" s="27">
        <v>3961.0</v>
      </c>
      <c r="G25" s="27">
        <v>761.0</v>
      </c>
      <c r="H25" s="27">
        <v>131.0</v>
      </c>
      <c r="I25" s="27">
        <v>67337.0</v>
      </c>
      <c r="J25" s="27">
        <v>66615.0</v>
      </c>
      <c r="K25" s="27">
        <v>161.0</v>
      </c>
      <c r="L25" s="28" t="s">
        <v>16</v>
      </c>
      <c r="M25" s="10"/>
      <c r="N25" s="10"/>
      <c r="O25" s="28" t="s">
        <v>372</v>
      </c>
      <c r="P25" s="26">
        <f t="shared" si="6"/>
        <v>45651</v>
      </c>
      <c r="Q25" s="26">
        <f t="shared" si="7"/>
        <v>45667</v>
      </c>
      <c r="R25" s="28" t="str">
        <f t="shared" si="3"/>
        <v>During Campaign</v>
      </c>
      <c r="S25" s="27">
        <f t="shared" si="4"/>
        <v>4853</v>
      </c>
      <c r="T25" s="29">
        <f t="shared" si="5"/>
        <v>0.0720703328</v>
      </c>
    </row>
    <row r="26">
      <c r="A26" s="10" t="s">
        <v>67</v>
      </c>
      <c r="B26" s="10" t="s">
        <v>13</v>
      </c>
      <c r="C26" s="26">
        <v>45757.0</v>
      </c>
      <c r="D26" s="10" t="s">
        <v>34</v>
      </c>
      <c r="E26" s="10" t="s">
        <v>37</v>
      </c>
      <c r="F26" s="27">
        <v>3128.0</v>
      </c>
      <c r="G26" s="27">
        <v>211.0</v>
      </c>
      <c r="H26" s="27">
        <v>197.0</v>
      </c>
      <c r="I26" s="27">
        <v>59432.0</v>
      </c>
      <c r="J26" s="27">
        <v>59182.0</v>
      </c>
      <c r="K26" s="27">
        <v>238.0</v>
      </c>
      <c r="L26" s="28" t="s">
        <v>30</v>
      </c>
      <c r="M26" s="10"/>
      <c r="N26" s="10"/>
      <c r="O26" s="28"/>
      <c r="P26" s="86"/>
      <c r="Q26" s="86"/>
      <c r="R26" s="28" t="str">
        <f t="shared" si="3"/>
        <v>After Campaign</v>
      </c>
      <c r="S26" s="27">
        <f t="shared" si="4"/>
        <v>3536</v>
      </c>
      <c r="T26" s="29">
        <f t="shared" si="5"/>
        <v>0.05949656751</v>
      </c>
    </row>
    <row r="27">
      <c r="A27" s="10" t="s">
        <v>68</v>
      </c>
      <c r="B27" s="10" t="s">
        <v>24</v>
      </c>
      <c r="C27" s="26">
        <v>45752.0</v>
      </c>
      <c r="D27" s="10" t="s">
        <v>14</v>
      </c>
      <c r="E27" s="10" t="s">
        <v>25</v>
      </c>
      <c r="F27" s="27">
        <v>3009.0</v>
      </c>
      <c r="G27" s="27">
        <v>413.0</v>
      </c>
      <c r="H27" s="27">
        <v>358.0</v>
      </c>
      <c r="I27" s="27">
        <v>42126.0</v>
      </c>
      <c r="J27" s="27">
        <v>41309.0</v>
      </c>
      <c r="K27" s="27">
        <v>211.0</v>
      </c>
      <c r="L27" s="28" t="s">
        <v>16</v>
      </c>
      <c r="M27" s="10"/>
      <c r="N27" s="10"/>
      <c r="O27" s="28" t="s">
        <v>368</v>
      </c>
      <c r="P27" s="26">
        <f t="shared" ref="P27:P30" si="8">IFS(
  O27="SummerSplash", DATE(2024,6,15),
  O27="FestiveRadiance", DATE(2024,10,1),
  O27="NewYearRefresh", DATE(2024,12,25),
  O27="DailyWellness", DATE(2025,3,1)
)
</f>
        <v>45566</v>
      </c>
      <c r="Q27" s="26">
        <f t="shared" ref="Q27:Q30" si="9">IFS(
  O27="SummerSplash", DATE(2024,7,15),
  O27="FestiveRadiance", DATE(2024,10,31),
  O27="NewYearRefresh", DATE(2025,1,10),
  O27="DailyWellness", DATE(2025,3,31)
)
</f>
        <v>45596</v>
      </c>
      <c r="R27" s="28" t="str">
        <f t="shared" si="3"/>
        <v>During Campaign</v>
      </c>
      <c r="S27" s="27">
        <f t="shared" si="4"/>
        <v>3780</v>
      </c>
      <c r="T27" s="29">
        <f t="shared" si="5"/>
        <v>0.08973080758</v>
      </c>
    </row>
    <row r="28">
      <c r="A28" s="10" t="s">
        <v>69</v>
      </c>
      <c r="B28" s="10" t="s">
        <v>24</v>
      </c>
      <c r="C28" s="26">
        <v>45552.0</v>
      </c>
      <c r="D28" s="10" t="s">
        <v>19</v>
      </c>
      <c r="E28" s="10" t="s">
        <v>70</v>
      </c>
      <c r="F28" s="27">
        <v>2076.0</v>
      </c>
      <c r="G28" s="27">
        <v>195.0</v>
      </c>
      <c r="H28" s="27">
        <v>104.0</v>
      </c>
      <c r="I28" s="27">
        <v>33216.0</v>
      </c>
      <c r="J28" s="27">
        <v>32244.0</v>
      </c>
      <c r="K28" s="27">
        <v>51.0</v>
      </c>
      <c r="L28" s="28" t="s">
        <v>16</v>
      </c>
      <c r="M28" s="10"/>
      <c r="N28" s="10"/>
      <c r="O28" s="28" t="s">
        <v>375</v>
      </c>
      <c r="P28" s="26">
        <f t="shared" si="8"/>
        <v>45717</v>
      </c>
      <c r="Q28" s="26">
        <f t="shared" si="9"/>
        <v>45747</v>
      </c>
      <c r="R28" s="28" t="str">
        <f t="shared" si="3"/>
        <v>During Campaign</v>
      </c>
      <c r="S28" s="27">
        <f t="shared" si="4"/>
        <v>2375</v>
      </c>
      <c r="T28" s="29">
        <f t="shared" si="5"/>
        <v>0.07150168593</v>
      </c>
    </row>
    <row r="29">
      <c r="A29" s="10" t="s">
        <v>71</v>
      </c>
      <c r="B29" s="10" t="s">
        <v>27</v>
      </c>
      <c r="C29" s="26">
        <v>45720.0</v>
      </c>
      <c r="D29" s="10" t="s">
        <v>53</v>
      </c>
      <c r="E29" s="10" t="s">
        <v>60</v>
      </c>
      <c r="F29" s="27">
        <v>432.0</v>
      </c>
      <c r="G29" s="27">
        <v>624.0</v>
      </c>
      <c r="H29" s="27">
        <v>123.0</v>
      </c>
      <c r="I29" s="27">
        <v>6912.0</v>
      </c>
      <c r="J29" s="27">
        <v>6259.0</v>
      </c>
      <c r="K29" s="27">
        <v>79.0</v>
      </c>
      <c r="L29" s="28" t="s">
        <v>16</v>
      </c>
      <c r="M29" s="10"/>
      <c r="N29" s="10"/>
      <c r="O29" s="28" t="s">
        <v>375</v>
      </c>
      <c r="P29" s="26">
        <f t="shared" si="8"/>
        <v>45717</v>
      </c>
      <c r="Q29" s="26">
        <f t="shared" si="9"/>
        <v>45747</v>
      </c>
      <c r="R29" s="28" t="str">
        <f t="shared" si="3"/>
        <v>During Campaign</v>
      </c>
      <c r="S29" s="27">
        <f t="shared" si="4"/>
        <v>1179</v>
      </c>
      <c r="T29" s="29">
        <f t="shared" si="5"/>
        <v>0.1705729167</v>
      </c>
    </row>
    <row r="30">
      <c r="A30" s="10" t="s">
        <v>72</v>
      </c>
      <c r="B30" s="10" t="s">
        <v>27</v>
      </c>
      <c r="C30" s="26">
        <v>45688.0</v>
      </c>
      <c r="D30" s="10" t="s">
        <v>34</v>
      </c>
      <c r="E30" s="10" t="s">
        <v>62</v>
      </c>
      <c r="F30" s="27">
        <v>2566.0</v>
      </c>
      <c r="G30" s="27">
        <v>118.0</v>
      </c>
      <c r="H30" s="27">
        <v>37.0</v>
      </c>
      <c r="I30" s="27">
        <v>12830.0</v>
      </c>
      <c r="J30" s="27">
        <v>12264.0</v>
      </c>
      <c r="K30" s="27">
        <v>221.0</v>
      </c>
      <c r="L30" s="28" t="s">
        <v>16</v>
      </c>
      <c r="M30" s="10"/>
      <c r="N30" s="10"/>
      <c r="O30" s="28" t="s">
        <v>372</v>
      </c>
      <c r="P30" s="26">
        <f t="shared" si="8"/>
        <v>45651</v>
      </c>
      <c r="Q30" s="26">
        <f t="shared" si="9"/>
        <v>45667</v>
      </c>
      <c r="R30" s="28" t="str">
        <f t="shared" si="3"/>
        <v>During Campaign</v>
      </c>
      <c r="S30" s="27">
        <f t="shared" si="4"/>
        <v>2721</v>
      </c>
      <c r="T30" s="29">
        <f t="shared" si="5"/>
        <v>0.21208106</v>
      </c>
    </row>
    <row r="31">
      <c r="A31" s="10" t="s">
        <v>73</v>
      </c>
      <c r="B31" s="10" t="s">
        <v>27</v>
      </c>
      <c r="C31" s="26">
        <v>45713.0</v>
      </c>
      <c r="D31" s="10" t="s">
        <v>53</v>
      </c>
      <c r="E31" s="10" t="s">
        <v>60</v>
      </c>
      <c r="F31" s="27">
        <v>3095.0</v>
      </c>
      <c r="G31" s="27">
        <v>39.0</v>
      </c>
      <c r="H31" s="27">
        <v>78.0</v>
      </c>
      <c r="I31" s="27">
        <v>55710.0</v>
      </c>
      <c r="J31" s="27">
        <v>54808.0</v>
      </c>
      <c r="K31" s="27">
        <v>93.0</v>
      </c>
      <c r="L31" s="28" t="s">
        <v>30</v>
      </c>
      <c r="M31" s="10"/>
      <c r="N31" s="10"/>
      <c r="O31" s="28"/>
      <c r="P31" s="86"/>
      <c r="Q31" s="86"/>
      <c r="R31" s="28" t="str">
        <f t="shared" si="3"/>
        <v>After Campaign</v>
      </c>
      <c r="S31" s="27">
        <f t="shared" si="4"/>
        <v>3212</v>
      </c>
      <c r="T31" s="29">
        <f t="shared" si="5"/>
        <v>0.05765571711</v>
      </c>
    </row>
    <row r="32">
      <c r="A32" s="10" t="s">
        <v>74</v>
      </c>
      <c r="B32" s="10" t="s">
        <v>27</v>
      </c>
      <c r="C32" s="26">
        <v>45642.0</v>
      </c>
      <c r="D32" s="10" t="s">
        <v>19</v>
      </c>
      <c r="E32" s="10" t="s">
        <v>75</v>
      </c>
      <c r="F32" s="27">
        <v>438.0</v>
      </c>
      <c r="G32" s="27">
        <v>153.0</v>
      </c>
      <c r="H32" s="27">
        <v>275.0</v>
      </c>
      <c r="I32" s="27">
        <v>3066.0</v>
      </c>
      <c r="J32" s="27">
        <v>2701.0</v>
      </c>
      <c r="K32" s="27">
        <v>282.0</v>
      </c>
      <c r="L32" s="28" t="s">
        <v>21</v>
      </c>
      <c r="M32" s="10"/>
      <c r="N32" s="10"/>
      <c r="O32" s="28" t="s">
        <v>368</v>
      </c>
      <c r="P32" s="26">
        <f t="shared" ref="P32:P39" si="10">IFS(
  O32="SummerSplash", DATE(2024,6,15),
  O32="FestiveRadiance", DATE(2024,10,1),
  O32="NewYearRefresh", DATE(2024,12,25),
  O32="DailyWellness", DATE(2025,3,1)
)
</f>
        <v>45566</v>
      </c>
      <c r="Q32" s="26">
        <f t="shared" ref="Q32:Q39" si="11">IFS(
  O32="SummerSplash", DATE(2024,7,15),
  O32="FestiveRadiance", DATE(2024,10,31),
  O32="NewYearRefresh", DATE(2025,1,10),
  O32="DailyWellness", DATE(2025,3,31)
)
</f>
        <v>45596</v>
      </c>
      <c r="R32" s="28" t="str">
        <f t="shared" si="3"/>
        <v>During Campaign</v>
      </c>
      <c r="S32" s="27">
        <f t="shared" si="4"/>
        <v>866</v>
      </c>
      <c r="T32" s="29">
        <f t="shared" si="5"/>
        <v>0.2824527071</v>
      </c>
    </row>
    <row r="33">
      <c r="A33" s="10" t="s">
        <v>76</v>
      </c>
      <c r="B33" s="10" t="s">
        <v>13</v>
      </c>
      <c r="C33" s="26">
        <v>45504.0</v>
      </c>
      <c r="D33" s="10" t="s">
        <v>34</v>
      </c>
      <c r="E33" s="10" t="s">
        <v>37</v>
      </c>
      <c r="F33" s="27">
        <v>2278.0</v>
      </c>
      <c r="G33" s="27">
        <v>10.0</v>
      </c>
      <c r="H33" s="27">
        <v>321.0</v>
      </c>
      <c r="I33" s="27">
        <v>13668.0</v>
      </c>
      <c r="J33" s="27">
        <v>12676.0</v>
      </c>
      <c r="K33" s="27">
        <v>275.0</v>
      </c>
      <c r="L33" s="28" t="s">
        <v>30</v>
      </c>
      <c r="M33" s="10"/>
      <c r="N33" s="10"/>
      <c r="O33" s="28" t="s">
        <v>365</v>
      </c>
      <c r="P33" s="26">
        <f t="shared" si="10"/>
        <v>45458</v>
      </c>
      <c r="Q33" s="26">
        <f t="shared" si="11"/>
        <v>45488</v>
      </c>
      <c r="R33" s="28" t="str">
        <f t="shared" si="3"/>
        <v>During Campaign</v>
      </c>
      <c r="S33" s="27">
        <f t="shared" si="4"/>
        <v>2609</v>
      </c>
      <c r="T33" s="29">
        <f t="shared" si="5"/>
        <v>0.1908838162</v>
      </c>
    </row>
    <row r="34">
      <c r="A34" s="10" t="s">
        <v>77</v>
      </c>
      <c r="B34" s="10" t="s">
        <v>33</v>
      </c>
      <c r="C34" s="26">
        <v>45525.0</v>
      </c>
      <c r="D34" s="10" t="s">
        <v>39</v>
      </c>
      <c r="E34" s="10" t="s">
        <v>44</v>
      </c>
      <c r="F34" s="27">
        <v>1407.0</v>
      </c>
      <c r="G34" s="27">
        <v>400.0</v>
      </c>
      <c r="H34" s="27">
        <v>351.0</v>
      </c>
      <c r="I34" s="27">
        <v>16884.0</v>
      </c>
      <c r="J34" s="27">
        <v>15954.0</v>
      </c>
      <c r="K34" s="27">
        <v>113.0</v>
      </c>
      <c r="L34" s="28" t="s">
        <v>21</v>
      </c>
      <c r="M34" s="10"/>
      <c r="N34" s="10"/>
      <c r="O34" s="28" t="s">
        <v>365</v>
      </c>
      <c r="P34" s="26">
        <f t="shared" si="10"/>
        <v>45458</v>
      </c>
      <c r="Q34" s="26">
        <f t="shared" si="11"/>
        <v>45488</v>
      </c>
      <c r="R34" s="28" t="str">
        <f t="shared" si="3"/>
        <v>During Campaign</v>
      </c>
      <c r="S34" s="27">
        <f t="shared" si="4"/>
        <v>2158</v>
      </c>
      <c r="T34" s="29">
        <f t="shared" si="5"/>
        <v>0.1278133144</v>
      </c>
    </row>
    <row r="35">
      <c r="A35" s="10" t="s">
        <v>78</v>
      </c>
      <c r="B35" s="10" t="s">
        <v>33</v>
      </c>
      <c r="C35" s="26">
        <v>45742.0</v>
      </c>
      <c r="D35" s="10" t="s">
        <v>19</v>
      </c>
      <c r="E35" s="10" t="s">
        <v>42</v>
      </c>
      <c r="F35" s="27">
        <v>1652.0</v>
      </c>
      <c r="G35" s="27">
        <v>89.0</v>
      </c>
      <c r="H35" s="27">
        <v>357.0</v>
      </c>
      <c r="I35" s="27">
        <v>29736.0</v>
      </c>
      <c r="J35" s="27">
        <v>28771.0</v>
      </c>
      <c r="K35" s="27">
        <v>215.0</v>
      </c>
      <c r="L35" s="28" t="s">
        <v>21</v>
      </c>
      <c r="M35" s="10"/>
      <c r="N35" s="10"/>
      <c r="O35" s="28" t="s">
        <v>372</v>
      </c>
      <c r="P35" s="26">
        <f t="shared" si="10"/>
        <v>45651</v>
      </c>
      <c r="Q35" s="26">
        <f t="shared" si="11"/>
        <v>45667</v>
      </c>
      <c r="R35" s="28" t="str">
        <f t="shared" si="3"/>
        <v>During Campaign</v>
      </c>
      <c r="S35" s="27">
        <f t="shared" si="4"/>
        <v>2098</v>
      </c>
      <c r="T35" s="29">
        <f t="shared" si="5"/>
        <v>0.07055421038</v>
      </c>
    </row>
    <row r="36">
      <c r="A36" s="10" t="s">
        <v>79</v>
      </c>
      <c r="B36" s="10" t="s">
        <v>27</v>
      </c>
      <c r="C36" s="26">
        <v>45626.0</v>
      </c>
      <c r="D36" s="10" t="s">
        <v>53</v>
      </c>
      <c r="E36" s="10" t="s">
        <v>60</v>
      </c>
      <c r="F36" s="27">
        <v>3775.0</v>
      </c>
      <c r="G36" s="27">
        <v>16.0</v>
      </c>
      <c r="H36" s="27">
        <v>239.0</v>
      </c>
      <c r="I36" s="27">
        <v>33975.0</v>
      </c>
      <c r="J36" s="27">
        <v>33310.0</v>
      </c>
      <c r="K36" s="27">
        <v>271.0</v>
      </c>
      <c r="L36" s="28" t="s">
        <v>16</v>
      </c>
      <c r="M36" s="10"/>
      <c r="N36" s="10"/>
      <c r="O36" s="28" t="s">
        <v>368</v>
      </c>
      <c r="P36" s="26">
        <f t="shared" si="10"/>
        <v>45566</v>
      </c>
      <c r="Q36" s="26">
        <f t="shared" si="11"/>
        <v>45596</v>
      </c>
      <c r="R36" s="28" t="str">
        <f t="shared" si="3"/>
        <v>During Campaign</v>
      </c>
      <c r="S36" s="27">
        <f t="shared" si="4"/>
        <v>4030</v>
      </c>
      <c r="T36" s="29">
        <f t="shared" si="5"/>
        <v>0.1186166299</v>
      </c>
    </row>
    <row r="37">
      <c r="A37" s="10" t="s">
        <v>80</v>
      </c>
      <c r="B37" s="10" t="s">
        <v>27</v>
      </c>
      <c r="C37" s="26">
        <v>45766.0</v>
      </c>
      <c r="D37" s="10" t="s">
        <v>28</v>
      </c>
      <c r="E37" s="10" t="s">
        <v>29</v>
      </c>
      <c r="F37" s="27">
        <v>4518.0</v>
      </c>
      <c r="G37" s="27">
        <v>285.0</v>
      </c>
      <c r="H37" s="27">
        <v>383.0</v>
      </c>
      <c r="I37" s="27">
        <v>67770.0</v>
      </c>
      <c r="J37" s="27">
        <v>67621.0</v>
      </c>
      <c r="K37" s="27">
        <v>31.0</v>
      </c>
      <c r="L37" s="28" t="s">
        <v>30</v>
      </c>
      <c r="M37" s="10"/>
      <c r="N37" s="10"/>
      <c r="O37" s="28" t="s">
        <v>368</v>
      </c>
      <c r="P37" s="26">
        <f t="shared" si="10"/>
        <v>45566</v>
      </c>
      <c r="Q37" s="26">
        <f t="shared" si="11"/>
        <v>45596</v>
      </c>
      <c r="R37" s="28" t="str">
        <f t="shared" si="3"/>
        <v>During Campaign</v>
      </c>
      <c r="S37" s="27">
        <f t="shared" si="4"/>
        <v>5186</v>
      </c>
      <c r="T37" s="29">
        <f t="shared" si="5"/>
        <v>0.07652353549</v>
      </c>
    </row>
    <row r="38">
      <c r="A38" s="10" t="s">
        <v>81</v>
      </c>
      <c r="B38" s="10" t="s">
        <v>33</v>
      </c>
      <c r="C38" s="26">
        <v>45663.0</v>
      </c>
      <c r="D38" s="10" t="s">
        <v>34</v>
      </c>
      <c r="E38" s="10" t="s">
        <v>35</v>
      </c>
      <c r="F38" s="27">
        <v>3024.0</v>
      </c>
      <c r="G38" s="27">
        <v>925.0</v>
      </c>
      <c r="H38" s="27">
        <v>350.0</v>
      </c>
      <c r="I38" s="27">
        <v>24192.0</v>
      </c>
      <c r="J38" s="27">
        <v>23518.0</v>
      </c>
      <c r="K38" s="27">
        <v>36.0</v>
      </c>
      <c r="L38" s="28" t="s">
        <v>30</v>
      </c>
      <c r="M38" s="10"/>
      <c r="N38" s="10"/>
      <c r="O38" s="28" t="s">
        <v>368</v>
      </c>
      <c r="P38" s="26">
        <f t="shared" si="10"/>
        <v>45566</v>
      </c>
      <c r="Q38" s="26">
        <f t="shared" si="11"/>
        <v>45596</v>
      </c>
      <c r="R38" s="28" t="str">
        <f t="shared" si="3"/>
        <v>During Campaign</v>
      </c>
      <c r="S38" s="27">
        <f t="shared" si="4"/>
        <v>4299</v>
      </c>
      <c r="T38" s="29">
        <f t="shared" si="5"/>
        <v>0.177703373</v>
      </c>
    </row>
    <row r="39">
      <c r="A39" s="10" t="s">
        <v>82</v>
      </c>
      <c r="B39" s="10" t="s">
        <v>24</v>
      </c>
      <c r="C39" s="26">
        <v>45705.0</v>
      </c>
      <c r="D39" s="10" t="s">
        <v>14</v>
      </c>
      <c r="E39" s="10" t="s">
        <v>25</v>
      </c>
      <c r="F39" s="27">
        <v>3138.0</v>
      </c>
      <c r="G39" s="27">
        <v>123.0</v>
      </c>
      <c r="H39" s="27">
        <v>291.0</v>
      </c>
      <c r="I39" s="27">
        <v>28242.0</v>
      </c>
      <c r="J39" s="27">
        <v>27550.0</v>
      </c>
      <c r="K39" s="27">
        <v>87.0</v>
      </c>
      <c r="L39" s="28" t="s">
        <v>21</v>
      </c>
      <c r="M39" s="10"/>
      <c r="N39" s="10"/>
      <c r="O39" s="28" t="s">
        <v>375</v>
      </c>
      <c r="P39" s="26">
        <f t="shared" si="10"/>
        <v>45717</v>
      </c>
      <c r="Q39" s="26">
        <f t="shared" si="11"/>
        <v>45747</v>
      </c>
      <c r="R39" s="28" t="str">
        <f t="shared" si="3"/>
        <v>During Campaign</v>
      </c>
      <c r="S39" s="27">
        <f t="shared" si="4"/>
        <v>3552</v>
      </c>
      <c r="T39" s="29">
        <f t="shared" si="5"/>
        <v>0.1257701296</v>
      </c>
    </row>
    <row r="40">
      <c r="A40" s="10" t="s">
        <v>83</v>
      </c>
      <c r="B40" s="10" t="s">
        <v>33</v>
      </c>
      <c r="C40" s="26">
        <v>45621.0</v>
      </c>
      <c r="D40" s="10" t="s">
        <v>39</v>
      </c>
      <c r="E40" s="10" t="s">
        <v>44</v>
      </c>
      <c r="F40" s="27">
        <v>3564.0</v>
      </c>
      <c r="G40" s="27">
        <v>629.0</v>
      </c>
      <c r="H40" s="27">
        <v>177.0</v>
      </c>
      <c r="I40" s="27">
        <v>60588.0</v>
      </c>
      <c r="J40" s="27">
        <v>59627.0</v>
      </c>
      <c r="K40" s="27">
        <v>92.0</v>
      </c>
      <c r="L40" s="28" t="s">
        <v>21</v>
      </c>
      <c r="M40" s="10"/>
      <c r="N40" s="10"/>
      <c r="O40" s="28"/>
      <c r="P40" s="86"/>
      <c r="Q40" s="86"/>
      <c r="R40" s="28" t="str">
        <f t="shared" si="3"/>
        <v>After Campaign</v>
      </c>
      <c r="S40" s="27">
        <f t="shared" si="4"/>
        <v>4370</v>
      </c>
      <c r="T40" s="29">
        <f t="shared" si="5"/>
        <v>0.0721264937</v>
      </c>
    </row>
    <row r="41">
      <c r="A41" s="10" t="s">
        <v>84</v>
      </c>
      <c r="B41" s="10" t="s">
        <v>13</v>
      </c>
      <c r="C41" s="26">
        <v>45723.0</v>
      </c>
      <c r="D41" s="10" t="s">
        <v>39</v>
      </c>
      <c r="E41" s="10" t="s">
        <v>85</v>
      </c>
      <c r="F41" s="27">
        <v>4750.0</v>
      </c>
      <c r="G41" s="27">
        <v>151.0</v>
      </c>
      <c r="H41" s="27">
        <v>415.0</v>
      </c>
      <c r="I41" s="27">
        <v>38000.0</v>
      </c>
      <c r="J41" s="27">
        <v>37792.0</v>
      </c>
      <c r="K41" s="27">
        <v>299.0</v>
      </c>
      <c r="L41" s="28" t="s">
        <v>30</v>
      </c>
      <c r="M41" s="10"/>
      <c r="N41" s="10"/>
      <c r="O41" s="28" t="s">
        <v>375</v>
      </c>
      <c r="P41" s="26">
        <f t="shared" ref="P41:P42" si="12">IFS(
  O41="SummerSplash", DATE(2024,6,15),
  O41="FestiveRadiance", DATE(2024,10,1),
  O41="NewYearRefresh", DATE(2024,12,25),
  O41="DailyWellness", DATE(2025,3,1)
)
</f>
        <v>45717</v>
      </c>
      <c r="Q41" s="26">
        <f t="shared" ref="Q41:Q42" si="13">IFS(
  O41="SummerSplash", DATE(2024,7,15),
  O41="FestiveRadiance", DATE(2024,10,31),
  O41="NewYearRefresh", DATE(2025,1,10),
  O41="DailyWellness", DATE(2025,3,31)
)
</f>
        <v>45747</v>
      </c>
      <c r="R41" s="28" t="str">
        <f t="shared" si="3"/>
        <v>During Campaign</v>
      </c>
      <c r="S41" s="27">
        <f t="shared" si="4"/>
        <v>5316</v>
      </c>
      <c r="T41" s="29">
        <f t="shared" si="5"/>
        <v>0.1398947368</v>
      </c>
    </row>
    <row r="42">
      <c r="A42" s="10" t="s">
        <v>86</v>
      </c>
      <c r="B42" s="10" t="s">
        <v>27</v>
      </c>
      <c r="C42" s="26">
        <v>45724.0</v>
      </c>
      <c r="D42" s="10" t="s">
        <v>14</v>
      </c>
      <c r="E42" s="10" t="s">
        <v>58</v>
      </c>
      <c r="F42" s="27">
        <v>456.0</v>
      </c>
      <c r="G42" s="27">
        <v>629.0</v>
      </c>
      <c r="H42" s="27">
        <v>428.0</v>
      </c>
      <c r="I42" s="27">
        <v>8208.0</v>
      </c>
      <c r="J42" s="27">
        <v>7377.0</v>
      </c>
      <c r="K42" s="27">
        <v>205.0</v>
      </c>
      <c r="L42" s="28" t="s">
        <v>16</v>
      </c>
      <c r="M42" s="10"/>
      <c r="N42" s="10"/>
      <c r="O42" s="28" t="s">
        <v>375</v>
      </c>
      <c r="P42" s="26">
        <f t="shared" si="12"/>
        <v>45717</v>
      </c>
      <c r="Q42" s="26">
        <f t="shared" si="13"/>
        <v>45747</v>
      </c>
      <c r="R42" s="28" t="str">
        <f t="shared" si="3"/>
        <v>During Campaign</v>
      </c>
      <c r="S42" s="27">
        <f t="shared" si="4"/>
        <v>1513</v>
      </c>
      <c r="T42" s="29">
        <f t="shared" si="5"/>
        <v>0.1843323587</v>
      </c>
    </row>
    <row r="43">
      <c r="A43" s="10" t="s">
        <v>87</v>
      </c>
      <c r="B43" s="10" t="s">
        <v>24</v>
      </c>
      <c r="C43" s="26">
        <v>45721.0</v>
      </c>
      <c r="D43" s="10" t="s">
        <v>14</v>
      </c>
      <c r="E43" s="10" t="s">
        <v>25</v>
      </c>
      <c r="F43" s="27">
        <v>1543.0</v>
      </c>
      <c r="G43" s="27">
        <v>820.0</v>
      </c>
      <c r="H43" s="27">
        <v>333.0</v>
      </c>
      <c r="I43" s="27">
        <v>12344.0</v>
      </c>
      <c r="J43" s="27">
        <v>11496.0</v>
      </c>
      <c r="K43" s="27">
        <v>241.0</v>
      </c>
      <c r="L43" s="28" t="s">
        <v>30</v>
      </c>
      <c r="M43" s="10"/>
      <c r="N43" s="10"/>
      <c r="O43" s="28"/>
      <c r="P43" s="86"/>
      <c r="Q43" s="86"/>
      <c r="R43" s="28" t="str">
        <f t="shared" si="3"/>
        <v>After Campaign</v>
      </c>
      <c r="S43" s="27">
        <f t="shared" si="4"/>
        <v>2696</v>
      </c>
      <c r="T43" s="29">
        <f t="shared" si="5"/>
        <v>0.2184057032</v>
      </c>
    </row>
    <row r="44">
      <c r="A44" s="10" t="s">
        <v>88</v>
      </c>
      <c r="B44" s="10" t="s">
        <v>27</v>
      </c>
      <c r="C44" s="26">
        <v>45640.0</v>
      </c>
      <c r="D44" s="10" t="s">
        <v>34</v>
      </c>
      <c r="E44" s="10" t="s">
        <v>62</v>
      </c>
      <c r="F44" s="27">
        <v>2174.0</v>
      </c>
      <c r="G44" s="27">
        <v>658.0</v>
      </c>
      <c r="H44" s="27">
        <v>15.0</v>
      </c>
      <c r="I44" s="27">
        <v>13044.0</v>
      </c>
      <c r="J44" s="27">
        <v>12206.0</v>
      </c>
      <c r="K44" s="27">
        <v>137.0</v>
      </c>
      <c r="L44" s="28" t="s">
        <v>21</v>
      </c>
      <c r="M44" s="10"/>
      <c r="N44" s="10"/>
      <c r="O44" s="28" t="s">
        <v>372</v>
      </c>
      <c r="P44" s="26">
        <f>IFS(
  O44="SummerSplash", DATE(2024,6,15),
  O44="FestiveRadiance", DATE(2024,10,1),
  O44="NewYearRefresh", DATE(2024,12,25),
  O44="DailyWellness", DATE(2025,3,1)
)
</f>
        <v>45651</v>
      </c>
      <c r="Q44" s="26">
        <f>IFS(
  O44="SummerSplash", DATE(2024,7,15),
  O44="FestiveRadiance", DATE(2024,10,31),
  O44="NewYearRefresh", DATE(2025,1,10),
  O44="DailyWellness", DATE(2025,3,31)
)
</f>
        <v>45667</v>
      </c>
      <c r="R44" s="28" t="str">
        <f t="shared" si="3"/>
        <v>During Campaign</v>
      </c>
      <c r="S44" s="27">
        <f t="shared" si="4"/>
        <v>2847</v>
      </c>
      <c r="T44" s="29">
        <f t="shared" si="5"/>
        <v>0.2182612695</v>
      </c>
    </row>
    <row r="45">
      <c r="A45" s="10" t="s">
        <v>89</v>
      </c>
      <c r="B45" s="10" t="s">
        <v>13</v>
      </c>
      <c r="C45" s="26">
        <v>45718.0</v>
      </c>
      <c r="D45" s="10" t="s">
        <v>39</v>
      </c>
      <c r="E45" s="10" t="s">
        <v>85</v>
      </c>
      <c r="F45" s="27">
        <v>2358.0</v>
      </c>
      <c r="G45" s="27">
        <v>784.0</v>
      </c>
      <c r="H45" s="27">
        <v>344.0</v>
      </c>
      <c r="I45" s="27">
        <v>35370.0</v>
      </c>
      <c r="J45" s="27">
        <v>34475.0</v>
      </c>
      <c r="K45" s="27">
        <v>216.0</v>
      </c>
      <c r="L45" s="28" t="s">
        <v>21</v>
      </c>
      <c r="M45" s="10"/>
      <c r="N45" s="10"/>
      <c r="O45" s="28"/>
      <c r="P45" s="86"/>
      <c r="Q45" s="86"/>
      <c r="R45" s="28" t="str">
        <f t="shared" si="3"/>
        <v>After Campaign</v>
      </c>
      <c r="S45" s="27">
        <f t="shared" si="4"/>
        <v>3486</v>
      </c>
      <c r="T45" s="29">
        <f t="shared" si="5"/>
        <v>0.09855810008</v>
      </c>
    </row>
    <row r="46">
      <c r="A46" s="10" t="s">
        <v>90</v>
      </c>
      <c r="B46" s="10" t="s">
        <v>33</v>
      </c>
      <c r="C46" s="26">
        <v>45597.0</v>
      </c>
      <c r="D46" s="10" t="s">
        <v>53</v>
      </c>
      <c r="E46" s="10" t="s">
        <v>54</v>
      </c>
      <c r="F46" s="27">
        <v>3371.0</v>
      </c>
      <c r="G46" s="27">
        <v>106.0</v>
      </c>
      <c r="H46" s="27">
        <v>327.0</v>
      </c>
      <c r="I46" s="27">
        <v>50565.0</v>
      </c>
      <c r="J46" s="27">
        <v>49816.0</v>
      </c>
      <c r="K46" s="27">
        <v>176.0</v>
      </c>
      <c r="L46" s="28" t="s">
        <v>16</v>
      </c>
      <c r="M46" s="10"/>
      <c r="N46" s="10"/>
      <c r="O46" s="28" t="s">
        <v>365</v>
      </c>
      <c r="P46" s="26">
        <f t="shared" ref="P46:P47" si="14">IFS(
  O46="SummerSplash", DATE(2024,6,15),
  O46="FestiveRadiance", DATE(2024,10,1),
  O46="NewYearRefresh", DATE(2024,12,25),
  O46="DailyWellness", DATE(2025,3,1)
)
</f>
        <v>45458</v>
      </c>
      <c r="Q46" s="26">
        <f t="shared" ref="Q46:Q47" si="15">IFS(
  O46="SummerSplash", DATE(2024,7,15),
  O46="FestiveRadiance", DATE(2024,10,31),
  O46="NewYearRefresh", DATE(2025,1,10),
  O46="DailyWellness", DATE(2025,3,31)
)
</f>
        <v>45488</v>
      </c>
      <c r="R46" s="28" t="str">
        <f t="shared" si="3"/>
        <v>During Campaign</v>
      </c>
      <c r="S46" s="27">
        <f t="shared" si="4"/>
        <v>3804</v>
      </c>
      <c r="T46" s="29">
        <f t="shared" si="5"/>
        <v>0.07522990211</v>
      </c>
    </row>
    <row r="47">
      <c r="A47" s="10" t="s">
        <v>91</v>
      </c>
      <c r="B47" s="10" t="s">
        <v>13</v>
      </c>
      <c r="C47" s="26">
        <v>45779.0</v>
      </c>
      <c r="D47" s="10" t="s">
        <v>53</v>
      </c>
      <c r="E47" s="10" t="s">
        <v>92</v>
      </c>
      <c r="F47" s="27">
        <v>1108.0</v>
      </c>
      <c r="G47" s="27">
        <v>177.0</v>
      </c>
      <c r="H47" s="27">
        <v>212.0</v>
      </c>
      <c r="I47" s="27">
        <v>8864.0</v>
      </c>
      <c r="J47" s="27">
        <v>8710.0</v>
      </c>
      <c r="K47" s="27">
        <v>97.0</v>
      </c>
      <c r="L47" s="28" t="s">
        <v>21</v>
      </c>
      <c r="M47" s="10"/>
      <c r="N47" s="10"/>
      <c r="O47" s="28" t="s">
        <v>375</v>
      </c>
      <c r="P47" s="26">
        <f t="shared" si="14"/>
        <v>45717</v>
      </c>
      <c r="Q47" s="26">
        <f t="shared" si="15"/>
        <v>45747</v>
      </c>
      <c r="R47" s="28" t="str">
        <f t="shared" si="3"/>
        <v>During Campaign</v>
      </c>
      <c r="S47" s="27">
        <f t="shared" si="4"/>
        <v>1497</v>
      </c>
      <c r="T47" s="29">
        <f t="shared" si="5"/>
        <v>0.1688853791</v>
      </c>
    </row>
    <row r="48">
      <c r="A48" s="10" t="s">
        <v>93</v>
      </c>
      <c r="B48" s="10" t="s">
        <v>13</v>
      </c>
      <c r="C48" s="26">
        <v>45712.0</v>
      </c>
      <c r="D48" s="10" t="s">
        <v>34</v>
      </c>
      <c r="E48" s="10" t="s">
        <v>37</v>
      </c>
      <c r="F48" s="27">
        <v>2704.0</v>
      </c>
      <c r="G48" s="27">
        <v>752.0</v>
      </c>
      <c r="H48" s="27">
        <v>153.0</v>
      </c>
      <c r="I48" s="27">
        <v>21632.0</v>
      </c>
      <c r="J48" s="27">
        <v>20792.0</v>
      </c>
      <c r="K48" s="27">
        <v>127.0</v>
      </c>
      <c r="L48" s="28" t="s">
        <v>16</v>
      </c>
      <c r="M48" s="10"/>
      <c r="N48" s="10"/>
      <c r="O48" s="28"/>
      <c r="P48" s="86"/>
      <c r="Q48" s="86"/>
      <c r="R48" s="28" t="str">
        <f t="shared" si="3"/>
        <v>After Campaign</v>
      </c>
      <c r="S48" s="27">
        <f t="shared" si="4"/>
        <v>3609</v>
      </c>
      <c r="T48" s="29">
        <f t="shared" si="5"/>
        <v>0.1668361686</v>
      </c>
    </row>
    <row r="49">
      <c r="A49" s="10" t="s">
        <v>94</v>
      </c>
      <c r="B49" s="10" t="s">
        <v>13</v>
      </c>
      <c r="C49" s="26">
        <v>45727.0</v>
      </c>
      <c r="D49" s="10" t="s">
        <v>28</v>
      </c>
      <c r="E49" s="10" t="s">
        <v>95</v>
      </c>
      <c r="F49" s="27">
        <v>1950.0</v>
      </c>
      <c r="G49" s="27">
        <v>295.0</v>
      </c>
      <c r="H49" s="27">
        <v>478.0</v>
      </c>
      <c r="I49" s="27">
        <v>37050.0</v>
      </c>
      <c r="J49" s="27">
        <v>36272.0</v>
      </c>
      <c r="K49" s="27">
        <v>119.0</v>
      </c>
      <c r="L49" s="28" t="s">
        <v>21</v>
      </c>
      <c r="M49" s="10"/>
      <c r="N49" s="10"/>
      <c r="O49" s="28"/>
      <c r="P49" s="86"/>
      <c r="Q49" s="86"/>
      <c r="R49" s="28" t="str">
        <f t="shared" si="3"/>
        <v>After Campaign</v>
      </c>
      <c r="S49" s="27">
        <f t="shared" si="4"/>
        <v>2723</v>
      </c>
      <c r="T49" s="29">
        <f t="shared" si="5"/>
        <v>0.07349527665</v>
      </c>
    </row>
    <row r="50">
      <c r="A50" s="10" t="s">
        <v>96</v>
      </c>
      <c r="B50" s="10" t="s">
        <v>13</v>
      </c>
      <c r="C50" s="26">
        <v>45453.0</v>
      </c>
      <c r="D50" s="10" t="s">
        <v>28</v>
      </c>
      <c r="E50" s="10" t="s">
        <v>95</v>
      </c>
      <c r="F50" s="27">
        <v>2164.0</v>
      </c>
      <c r="G50" s="27">
        <v>549.0</v>
      </c>
      <c r="H50" s="27">
        <v>274.0</v>
      </c>
      <c r="I50" s="27">
        <v>28132.0</v>
      </c>
      <c r="J50" s="27">
        <v>27361.0</v>
      </c>
      <c r="K50" s="27">
        <v>177.0</v>
      </c>
      <c r="L50" s="28" t="s">
        <v>21</v>
      </c>
      <c r="M50" s="10"/>
      <c r="N50" s="10"/>
      <c r="O50" s="28" t="s">
        <v>375</v>
      </c>
      <c r="P50" s="26">
        <f t="shared" ref="P50:P53" si="16">IFS(
  O50="SummerSplash", DATE(2024,6,15),
  O50="FestiveRadiance", DATE(2024,10,1),
  O50="NewYearRefresh", DATE(2024,12,25),
  O50="DailyWellness", DATE(2025,3,1)
)
</f>
        <v>45717</v>
      </c>
      <c r="Q50" s="26">
        <f t="shared" ref="Q50:Q53" si="17">IFS(
  O50="SummerSplash", DATE(2024,7,15),
  O50="FestiveRadiance", DATE(2024,10,31),
  O50="NewYearRefresh", DATE(2025,1,10),
  O50="DailyWellness", DATE(2025,3,31)
)
</f>
        <v>45747</v>
      </c>
      <c r="R50" s="28" t="str">
        <f t="shared" si="3"/>
        <v>During Campaign</v>
      </c>
      <c r="S50" s="27">
        <f t="shared" si="4"/>
        <v>2987</v>
      </c>
      <c r="T50" s="29">
        <f t="shared" si="5"/>
        <v>0.1061780179</v>
      </c>
    </row>
    <row r="51">
      <c r="A51" s="10" t="s">
        <v>97</v>
      </c>
      <c r="B51" s="10" t="s">
        <v>24</v>
      </c>
      <c r="C51" s="26">
        <v>45476.0</v>
      </c>
      <c r="D51" s="10" t="s">
        <v>28</v>
      </c>
      <c r="E51" s="10" t="s">
        <v>98</v>
      </c>
      <c r="F51" s="27">
        <v>2754.0</v>
      </c>
      <c r="G51" s="27">
        <v>130.0</v>
      </c>
      <c r="H51" s="27">
        <v>90.0</v>
      </c>
      <c r="I51" s="27">
        <v>22032.0</v>
      </c>
      <c r="J51" s="27">
        <v>21288.0</v>
      </c>
      <c r="K51" s="27">
        <v>112.0</v>
      </c>
      <c r="L51" s="28" t="s">
        <v>21</v>
      </c>
      <c r="M51" s="10"/>
      <c r="N51" s="10"/>
      <c r="O51" s="28" t="s">
        <v>372</v>
      </c>
      <c r="P51" s="26">
        <f t="shared" si="16"/>
        <v>45651</v>
      </c>
      <c r="Q51" s="26">
        <f t="shared" si="17"/>
        <v>45667</v>
      </c>
      <c r="R51" s="28" t="str">
        <f t="shared" si="3"/>
        <v>During Campaign</v>
      </c>
      <c r="S51" s="27">
        <f t="shared" si="4"/>
        <v>2974</v>
      </c>
      <c r="T51" s="29">
        <f t="shared" si="5"/>
        <v>0.1349854757</v>
      </c>
    </row>
    <row r="52">
      <c r="A52" s="10" t="s">
        <v>99</v>
      </c>
      <c r="B52" s="10" t="s">
        <v>33</v>
      </c>
      <c r="C52" s="26">
        <v>45456.0</v>
      </c>
      <c r="D52" s="10" t="s">
        <v>34</v>
      </c>
      <c r="E52" s="10" t="s">
        <v>35</v>
      </c>
      <c r="F52" s="27">
        <v>2200.0</v>
      </c>
      <c r="G52" s="27">
        <v>504.0</v>
      </c>
      <c r="H52" s="27">
        <v>239.0</v>
      </c>
      <c r="I52" s="27">
        <v>37400.0</v>
      </c>
      <c r="J52" s="27">
        <v>36938.0</v>
      </c>
      <c r="K52" s="27">
        <v>225.0</v>
      </c>
      <c r="L52" s="28" t="s">
        <v>16</v>
      </c>
      <c r="M52" s="10"/>
      <c r="N52" s="10"/>
      <c r="O52" s="28" t="s">
        <v>368</v>
      </c>
      <c r="P52" s="26">
        <f t="shared" si="16"/>
        <v>45566</v>
      </c>
      <c r="Q52" s="26">
        <f t="shared" si="17"/>
        <v>45596</v>
      </c>
      <c r="R52" s="28" t="str">
        <f t="shared" si="3"/>
        <v>During Campaign</v>
      </c>
      <c r="S52" s="27">
        <f t="shared" si="4"/>
        <v>2943</v>
      </c>
      <c r="T52" s="29">
        <f t="shared" si="5"/>
        <v>0.07868983957</v>
      </c>
    </row>
    <row r="53">
      <c r="A53" s="10" t="s">
        <v>100</v>
      </c>
      <c r="B53" s="10" t="s">
        <v>33</v>
      </c>
      <c r="C53" s="26">
        <v>45660.0</v>
      </c>
      <c r="D53" s="10" t="s">
        <v>39</v>
      </c>
      <c r="E53" s="10" t="s">
        <v>44</v>
      </c>
      <c r="F53" s="27">
        <v>947.0</v>
      </c>
      <c r="G53" s="27">
        <v>338.0</v>
      </c>
      <c r="H53" s="27">
        <v>350.0</v>
      </c>
      <c r="I53" s="27">
        <v>10417.0</v>
      </c>
      <c r="J53" s="27">
        <v>9730.0</v>
      </c>
      <c r="K53" s="27">
        <v>34.0</v>
      </c>
      <c r="L53" s="28" t="s">
        <v>21</v>
      </c>
      <c r="M53" s="10"/>
      <c r="N53" s="10"/>
      <c r="O53" s="28" t="s">
        <v>375</v>
      </c>
      <c r="P53" s="26">
        <f t="shared" si="16"/>
        <v>45717</v>
      </c>
      <c r="Q53" s="26">
        <f t="shared" si="17"/>
        <v>45747</v>
      </c>
      <c r="R53" s="28" t="str">
        <f t="shared" si="3"/>
        <v>During Campaign</v>
      </c>
      <c r="S53" s="27">
        <f t="shared" si="4"/>
        <v>1635</v>
      </c>
      <c r="T53" s="29">
        <f t="shared" si="5"/>
        <v>0.1569549774</v>
      </c>
    </row>
    <row r="54">
      <c r="A54" s="10" t="s">
        <v>101</v>
      </c>
      <c r="B54" s="10" t="s">
        <v>24</v>
      </c>
      <c r="C54" s="26">
        <v>45712.0</v>
      </c>
      <c r="D54" s="10" t="s">
        <v>34</v>
      </c>
      <c r="E54" s="10" t="s">
        <v>49</v>
      </c>
      <c r="F54" s="27">
        <v>804.0</v>
      </c>
      <c r="G54" s="27">
        <v>639.0</v>
      </c>
      <c r="H54" s="27">
        <v>43.0</v>
      </c>
      <c r="I54" s="27">
        <v>4020.0</v>
      </c>
      <c r="J54" s="27">
        <v>3144.0</v>
      </c>
      <c r="K54" s="27">
        <v>11.0</v>
      </c>
      <c r="L54" s="28" t="s">
        <v>30</v>
      </c>
      <c r="M54" s="28" t="s">
        <v>22</v>
      </c>
      <c r="N54" s="10"/>
      <c r="O54" s="28"/>
      <c r="P54" s="86"/>
      <c r="Q54" s="86"/>
      <c r="R54" s="28" t="str">
        <f t="shared" si="3"/>
        <v>After Campaign</v>
      </c>
      <c r="S54" s="27">
        <f t="shared" si="4"/>
        <v>1486</v>
      </c>
      <c r="T54" s="29">
        <f t="shared" si="5"/>
        <v>0.3696517413</v>
      </c>
    </row>
    <row r="55">
      <c r="A55" s="10" t="s">
        <v>102</v>
      </c>
      <c r="B55" s="10" t="s">
        <v>24</v>
      </c>
      <c r="C55" s="26">
        <v>45729.0</v>
      </c>
      <c r="D55" s="10" t="s">
        <v>34</v>
      </c>
      <c r="E55" s="10" t="s">
        <v>49</v>
      </c>
      <c r="F55" s="27">
        <v>1686.0</v>
      </c>
      <c r="G55" s="27">
        <v>904.0</v>
      </c>
      <c r="H55" s="27">
        <v>472.0</v>
      </c>
      <c r="I55" s="27">
        <v>18546.0</v>
      </c>
      <c r="J55" s="27">
        <v>18171.0</v>
      </c>
      <c r="K55" s="27">
        <v>52.0</v>
      </c>
      <c r="L55" s="28" t="s">
        <v>16</v>
      </c>
      <c r="M55" s="10"/>
      <c r="N55" s="10"/>
      <c r="O55" s="28" t="s">
        <v>368</v>
      </c>
      <c r="P55" s="26">
        <f t="shared" ref="P55:P59" si="18">IFS(
  O55="SummerSplash", DATE(2024,6,15),
  O55="FestiveRadiance", DATE(2024,10,1),
  O55="NewYearRefresh", DATE(2024,12,25),
  O55="DailyWellness", DATE(2025,3,1)
)
</f>
        <v>45566</v>
      </c>
      <c r="Q55" s="26">
        <f t="shared" ref="Q55:Q59" si="19">IFS(
  O55="SummerSplash", DATE(2024,7,15),
  O55="FestiveRadiance", DATE(2024,10,31),
  O55="NewYearRefresh", DATE(2025,1,10),
  O55="DailyWellness", DATE(2025,3,31)
)
</f>
        <v>45596</v>
      </c>
      <c r="R55" s="28" t="str">
        <f t="shared" si="3"/>
        <v>During Campaign</v>
      </c>
      <c r="S55" s="27">
        <f t="shared" si="4"/>
        <v>3062</v>
      </c>
      <c r="T55" s="29">
        <f t="shared" si="5"/>
        <v>0.1651029872</v>
      </c>
    </row>
    <row r="56">
      <c r="A56" s="10" t="s">
        <v>103</v>
      </c>
      <c r="B56" s="10" t="s">
        <v>33</v>
      </c>
      <c r="C56" s="26">
        <v>45460.0</v>
      </c>
      <c r="D56" s="10" t="s">
        <v>39</v>
      </c>
      <c r="E56" s="10" t="s">
        <v>44</v>
      </c>
      <c r="F56" s="27">
        <v>1226.0</v>
      </c>
      <c r="G56" s="27">
        <v>119.0</v>
      </c>
      <c r="H56" s="27">
        <v>7.0</v>
      </c>
      <c r="I56" s="27">
        <v>14712.0</v>
      </c>
      <c r="J56" s="27">
        <v>14049.0</v>
      </c>
      <c r="K56" s="27">
        <v>123.0</v>
      </c>
      <c r="L56" s="28" t="s">
        <v>30</v>
      </c>
      <c r="M56" s="10"/>
      <c r="N56" s="10"/>
      <c r="O56" s="28" t="s">
        <v>375</v>
      </c>
      <c r="P56" s="26">
        <f t="shared" si="18"/>
        <v>45717</v>
      </c>
      <c r="Q56" s="26">
        <f t="shared" si="19"/>
        <v>45747</v>
      </c>
      <c r="R56" s="28" t="str">
        <f t="shared" si="3"/>
        <v>During Campaign</v>
      </c>
      <c r="S56" s="27">
        <f t="shared" si="4"/>
        <v>1352</v>
      </c>
      <c r="T56" s="29">
        <f t="shared" si="5"/>
        <v>0.09189777053</v>
      </c>
    </row>
    <row r="57">
      <c r="A57" s="10" t="s">
        <v>104</v>
      </c>
      <c r="B57" s="10" t="s">
        <v>33</v>
      </c>
      <c r="C57" s="26">
        <v>45644.0</v>
      </c>
      <c r="D57" s="10" t="s">
        <v>34</v>
      </c>
      <c r="E57" s="10" t="s">
        <v>35</v>
      </c>
      <c r="F57" s="27">
        <v>2946.0</v>
      </c>
      <c r="G57" s="27">
        <v>498.0</v>
      </c>
      <c r="H57" s="27">
        <v>367.0</v>
      </c>
      <c r="I57" s="27">
        <v>29460.0</v>
      </c>
      <c r="J57" s="27">
        <v>28527.0</v>
      </c>
      <c r="K57" s="27">
        <v>60.0</v>
      </c>
      <c r="L57" s="28" t="s">
        <v>16</v>
      </c>
      <c r="M57" s="10"/>
      <c r="N57" s="10"/>
      <c r="O57" s="28" t="s">
        <v>372</v>
      </c>
      <c r="P57" s="26">
        <f t="shared" si="18"/>
        <v>45651</v>
      </c>
      <c r="Q57" s="26">
        <f t="shared" si="19"/>
        <v>45667</v>
      </c>
      <c r="R57" s="28" t="str">
        <f t="shared" si="3"/>
        <v>During Campaign</v>
      </c>
      <c r="S57" s="27">
        <f t="shared" si="4"/>
        <v>3811</v>
      </c>
      <c r="T57" s="29">
        <f t="shared" si="5"/>
        <v>0.1293618466</v>
      </c>
    </row>
    <row r="58">
      <c r="A58" s="10" t="s">
        <v>105</v>
      </c>
      <c r="B58" s="10" t="s">
        <v>13</v>
      </c>
      <c r="C58" s="26">
        <v>45586.0</v>
      </c>
      <c r="D58" s="10" t="s">
        <v>53</v>
      </c>
      <c r="E58" s="10" t="s">
        <v>92</v>
      </c>
      <c r="F58" s="27">
        <v>2825.0</v>
      </c>
      <c r="G58" s="27">
        <v>535.0</v>
      </c>
      <c r="H58" s="27">
        <v>295.0</v>
      </c>
      <c r="I58" s="27">
        <v>45200.0</v>
      </c>
      <c r="J58" s="27">
        <v>44739.0</v>
      </c>
      <c r="K58" s="27">
        <v>169.0</v>
      </c>
      <c r="L58" s="28" t="s">
        <v>21</v>
      </c>
      <c r="M58" s="10"/>
      <c r="N58" s="10"/>
      <c r="O58" s="28" t="s">
        <v>365</v>
      </c>
      <c r="P58" s="26">
        <f t="shared" si="18"/>
        <v>45458</v>
      </c>
      <c r="Q58" s="26">
        <f t="shared" si="19"/>
        <v>45488</v>
      </c>
      <c r="R58" s="28" t="str">
        <f t="shared" si="3"/>
        <v>During Campaign</v>
      </c>
      <c r="S58" s="27">
        <f t="shared" si="4"/>
        <v>3655</v>
      </c>
      <c r="T58" s="29">
        <f t="shared" si="5"/>
        <v>0.08086283186</v>
      </c>
    </row>
    <row r="59">
      <c r="A59" s="10" t="s">
        <v>106</v>
      </c>
      <c r="B59" s="10" t="s">
        <v>27</v>
      </c>
      <c r="C59" s="26">
        <v>45762.0</v>
      </c>
      <c r="D59" s="10" t="s">
        <v>14</v>
      </c>
      <c r="E59" s="10" t="s">
        <v>58</v>
      </c>
      <c r="F59" s="27">
        <v>103.0</v>
      </c>
      <c r="G59" s="27">
        <v>770.0</v>
      </c>
      <c r="H59" s="27">
        <v>19.0</v>
      </c>
      <c r="I59" s="27">
        <v>1030.0</v>
      </c>
      <c r="J59" s="27">
        <v>410.0</v>
      </c>
      <c r="K59" s="27">
        <v>262.0</v>
      </c>
      <c r="L59" s="28" t="s">
        <v>21</v>
      </c>
      <c r="M59" s="10"/>
      <c r="N59" s="10"/>
      <c r="O59" s="28" t="s">
        <v>375</v>
      </c>
      <c r="P59" s="26">
        <f t="shared" si="18"/>
        <v>45717</v>
      </c>
      <c r="Q59" s="26">
        <f t="shared" si="19"/>
        <v>45747</v>
      </c>
      <c r="R59" s="28" t="str">
        <f t="shared" si="3"/>
        <v>During Campaign</v>
      </c>
      <c r="S59" s="27">
        <f t="shared" si="4"/>
        <v>892</v>
      </c>
      <c r="T59" s="29">
        <f t="shared" si="5"/>
        <v>0.8660194175</v>
      </c>
    </row>
    <row r="60">
      <c r="A60" s="10" t="s">
        <v>107</v>
      </c>
      <c r="B60" s="10" t="s">
        <v>27</v>
      </c>
      <c r="C60" s="26">
        <v>45465.0</v>
      </c>
      <c r="D60" s="10" t="s">
        <v>19</v>
      </c>
      <c r="E60" s="10" t="s">
        <v>75</v>
      </c>
      <c r="F60" s="27">
        <v>2180.0</v>
      </c>
      <c r="G60" s="27">
        <v>263.0</v>
      </c>
      <c r="H60" s="27">
        <v>387.0</v>
      </c>
      <c r="I60" s="27">
        <v>30520.0</v>
      </c>
      <c r="J60" s="27">
        <v>30059.0</v>
      </c>
      <c r="K60" s="27">
        <v>174.0</v>
      </c>
      <c r="L60" s="28" t="s">
        <v>30</v>
      </c>
      <c r="M60" s="10"/>
      <c r="N60" s="10"/>
      <c r="O60" s="28"/>
      <c r="P60" s="86"/>
      <c r="Q60" s="86"/>
      <c r="R60" s="28" t="str">
        <f t="shared" si="3"/>
        <v>After Campaign</v>
      </c>
      <c r="S60" s="27">
        <f t="shared" si="4"/>
        <v>2830</v>
      </c>
      <c r="T60" s="29">
        <f t="shared" si="5"/>
        <v>0.09272608126</v>
      </c>
    </row>
    <row r="61">
      <c r="A61" s="10" t="s">
        <v>108</v>
      </c>
      <c r="B61" s="10" t="s">
        <v>27</v>
      </c>
      <c r="C61" s="26">
        <v>45685.0</v>
      </c>
      <c r="D61" s="10" t="s">
        <v>53</v>
      </c>
      <c r="E61" s="10" t="s">
        <v>60</v>
      </c>
      <c r="F61" s="27">
        <v>904.0</v>
      </c>
      <c r="G61" s="27">
        <v>973.0</v>
      </c>
      <c r="H61" s="27">
        <v>63.0</v>
      </c>
      <c r="I61" s="27">
        <v>11752.0</v>
      </c>
      <c r="J61" s="27">
        <v>11580.0</v>
      </c>
      <c r="K61" s="27">
        <v>84.0</v>
      </c>
      <c r="L61" s="28" t="s">
        <v>30</v>
      </c>
      <c r="M61" s="28" t="s">
        <v>21</v>
      </c>
      <c r="N61" s="28" t="s">
        <v>17</v>
      </c>
      <c r="O61" s="28" t="s">
        <v>372</v>
      </c>
      <c r="P61" s="26">
        <f t="shared" ref="P61:P65" si="20">IFS(
  O61="SummerSplash", DATE(2024,6,15),
  O61="FestiveRadiance", DATE(2024,10,1),
  O61="NewYearRefresh", DATE(2024,12,25),
  O61="DailyWellness", DATE(2025,3,1)
)
</f>
        <v>45651</v>
      </c>
      <c r="Q61" s="26">
        <f t="shared" ref="Q61:Q65" si="21">IFS(
  O61="SummerSplash", DATE(2024,7,15),
  O61="FestiveRadiance", DATE(2024,10,31),
  O61="NewYearRefresh", DATE(2025,1,10),
  O61="DailyWellness", DATE(2025,3,31)
)
</f>
        <v>45667</v>
      </c>
      <c r="R61" s="28" t="str">
        <f t="shared" si="3"/>
        <v>Before Campaign</v>
      </c>
      <c r="S61" s="27">
        <f t="shared" si="4"/>
        <v>1940</v>
      </c>
      <c r="T61" s="29">
        <f t="shared" si="5"/>
        <v>0.1650782845</v>
      </c>
    </row>
    <row r="62">
      <c r="A62" s="10" t="s">
        <v>109</v>
      </c>
      <c r="B62" s="10" t="s">
        <v>13</v>
      </c>
      <c r="C62" s="26">
        <v>45540.0</v>
      </c>
      <c r="D62" s="10" t="s">
        <v>53</v>
      </c>
      <c r="E62" s="10" t="s">
        <v>92</v>
      </c>
      <c r="F62" s="27">
        <v>4886.0</v>
      </c>
      <c r="G62" s="27">
        <v>983.0</v>
      </c>
      <c r="H62" s="27">
        <v>409.0</v>
      </c>
      <c r="I62" s="27">
        <v>43974.0</v>
      </c>
      <c r="J62" s="27">
        <v>43239.0</v>
      </c>
      <c r="K62" s="27">
        <v>65.0</v>
      </c>
      <c r="L62" s="28" t="s">
        <v>21</v>
      </c>
      <c r="M62" s="10"/>
      <c r="N62" s="10"/>
      <c r="O62" s="28" t="s">
        <v>365</v>
      </c>
      <c r="P62" s="26">
        <f t="shared" si="20"/>
        <v>45458</v>
      </c>
      <c r="Q62" s="26">
        <f t="shared" si="21"/>
        <v>45488</v>
      </c>
      <c r="R62" s="28" t="str">
        <f t="shared" si="3"/>
        <v>During Campaign</v>
      </c>
      <c r="S62" s="27">
        <f t="shared" si="4"/>
        <v>6278</v>
      </c>
      <c r="T62" s="29">
        <f t="shared" si="5"/>
        <v>0.14276618</v>
      </c>
    </row>
    <row r="63">
      <c r="A63" s="10" t="s">
        <v>110</v>
      </c>
      <c r="B63" s="10" t="s">
        <v>13</v>
      </c>
      <c r="C63" s="26">
        <v>45618.0</v>
      </c>
      <c r="D63" s="10" t="s">
        <v>34</v>
      </c>
      <c r="E63" s="10" t="s">
        <v>37</v>
      </c>
      <c r="F63" s="27">
        <v>53.0</v>
      </c>
      <c r="G63" s="27">
        <v>81.0</v>
      </c>
      <c r="H63" s="27">
        <v>379.0</v>
      </c>
      <c r="I63" s="27">
        <v>954.0</v>
      </c>
      <c r="J63" s="27">
        <v>7.0</v>
      </c>
      <c r="K63" s="27">
        <v>148.0</v>
      </c>
      <c r="L63" s="28" t="s">
        <v>21</v>
      </c>
      <c r="M63" s="10"/>
      <c r="N63" s="10"/>
      <c r="O63" s="28" t="s">
        <v>372</v>
      </c>
      <c r="P63" s="26">
        <f t="shared" si="20"/>
        <v>45651</v>
      </c>
      <c r="Q63" s="26">
        <f t="shared" si="21"/>
        <v>45667</v>
      </c>
      <c r="R63" s="28" t="str">
        <f t="shared" si="3"/>
        <v>During Campaign</v>
      </c>
      <c r="S63" s="27">
        <f t="shared" si="4"/>
        <v>513</v>
      </c>
      <c r="T63" s="29">
        <f t="shared" si="5"/>
        <v>0.5377358491</v>
      </c>
    </row>
    <row r="64">
      <c r="A64" s="10" t="s">
        <v>111</v>
      </c>
      <c r="B64" s="10" t="s">
        <v>13</v>
      </c>
      <c r="C64" s="26">
        <v>45504.0</v>
      </c>
      <c r="D64" s="10" t="s">
        <v>34</v>
      </c>
      <c r="E64" s="10" t="s">
        <v>37</v>
      </c>
      <c r="F64" s="27">
        <v>4507.0</v>
      </c>
      <c r="G64" s="27">
        <v>217.0</v>
      </c>
      <c r="H64" s="27">
        <v>13.0</v>
      </c>
      <c r="I64" s="27">
        <v>90140.0</v>
      </c>
      <c r="J64" s="27">
        <v>89591.0</v>
      </c>
      <c r="K64" s="27">
        <v>125.0</v>
      </c>
      <c r="L64" s="28" t="s">
        <v>16</v>
      </c>
      <c r="M64" s="10"/>
      <c r="N64" s="10"/>
      <c r="O64" s="28" t="s">
        <v>372</v>
      </c>
      <c r="P64" s="26">
        <f t="shared" si="20"/>
        <v>45651</v>
      </c>
      <c r="Q64" s="26">
        <f t="shared" si="21"/>
        <v>45667</v>
      </c>
      <c r="R64" s="28" t="str">
        <f t="shared" si="3"/>
        <v>During Campaign</v>
      </c>
      <c r="S64" s="27">
        <f t="shared" si="4"/>
        <v>4737</v>
      </c>
      <c r="T64" s="29">
        <f t="shared" si="5"/>
        <v>0.05255158642</v>
      </c>
    </row>
    <row r="65">
      <c r="A65" s="10" t="s">
        <v>112</v>
      </c>
      <c r="B65" s="10" t="s">
        <v>33</v>
      </c>
      <c r="C65" s="26">
        <v>45521.0</v>
      </c>
      <c r="D65" s="10" t="s">
        <v>39</v>
      </c>
      <c r="E65" s="10" t="s">
        <v>44</v>
      </c>
      <c r="F65" s="27">
        <v>2878.0</v>
      </c>
      <c r="G65" s="27">
        <v>248.0</v>
      </c>
      <c r="H65" s="27">
        <v>416.0</v>
      </c>
      <c r="I65" s="27">
        <v>43170.0</v>
      </c>
      <c r="J65" s="27">
        <v>42667.0</v>
      </c>
      <c r="K65" s="27">
        <v>75.0</v>
      </c>
      <c r="L65" s="28" t="s">
        <v>16</v>
      </c>
      <c r="M65" s="10"/>
      <c r="N65" s="10"/>
      <c r="O65" s="28" t="s">
        <v>372</v>
      </c>
      <c r="P65" s="26">
        <f t="shared" si="20"/>
        <v>45651</v>
      </c>
      <c r="Q65" s="26">
        <f t="shared" si="21"/>
        <v>45667</v>
      </c>
      <c r="R65" s="28" t="str">
        <f t="shared" si="3"/>
        <v>During Campaign</v>
      </c>
      <c r="S65" s="27">
        <f t="shared" si="4"/>
        <v>3542</v>
      </c>
      <c r="T65" s="29">
        <f t="shared" si="5"/>
        <v>0.08204771832</v>
      </c>
    </row>
    <row r="66">
      <c r="A66" s="10" t="s">
        <v>113</v>
      </c>
      <c r="B66" s="10" t="s">
        <v>27</v>
      </c>
      <c r="C66" s="26">
        <v>45744.0</v>
      </c>
      <c r="D66" s="10" t="s">
        <v>28</v>
      </c>
      <c r="E66" s="10" t="s">
        <v>29</v>
      </c>
      <c r="F66" s="27">
        <v>1881.0</v>
      </c>
      <c r="G66" s="27">
        <v>501.0</v>
      </c>
      <c r="H66" s="27">
        <v>99.0</v>
      </c>
      <c r="I66" s="27">
        <v>20691.0</v>
      </c>
      <c r="J66" s="27">
        <v>19987.0</v>
      </c>
      <c r="K66" s="27">
        <v>289.0</v>
      </c>
      <c r="L66" s="28" t="s">
        <v>30</v>
      </c>
      <c r="M66" s="10"/>
      <c r="N66" s="10"/>
      <c r="O66" s="28"/>
      <c r="P66" s="86"/>
      <c r="Q66" s="86"/>
      <c r="R66" s="28" t="str">
        <f t="shared" si="3"/>
        <v>After Campaign</v>
      </c>
      <c r="S66" s="27">
        <f t="shared" si="4"/>
        <v>2481</v>
      </c>
      <c r="T66" s="29">
        <f t="shared" si="5"/>
        <v>0.119907206</v>
      </c>
    </row>
    <row r="67">
      <c r="A67" s="10" t="s">
        <v>114</v>
      </c>
      <c r="B67" s="10" t="s">
        <v>13</v>
      </c>
      <c r="C67" s="26">
        <v>45499.0</v>
      </c>
      <c r="D67" s="10" t="s">
        <v>34</v>
      </c>
      <c r="E67" s="10" t="s">
        <v>37</v>
      </c>
      <c r="F67" s="27">
        <v>432.0</v>
      </c>
      <c r="G67" s="27">
        <v>171.0</v>
      </c>
      <c r="H67" s="27">
        <v>280.0</v>
      </c>
      <c r="I67" s="27">
        <v>3024.0</v>
      </c>
      <c r="J67" s="27">
        <v>2285.0</v>
      </c>
      <c r="K67" s="27">
        <v>184.0</v>
      </c>
      <c r="L67" s="28" t="s">
        <v>30</v>
      </c>
      <c r="M67" s="10"/>
      <c r="N67" s="10"/>
      <c r="O67" s="28" t="s">
        <v>365</v>
      </c>
      <c r="P67" s="26">
        <f t="shared" ref="P67:P68" si="22">IFS(
  O67="SummerSplash", DATE(2024,6,15),
  O67="FestiveRadiance", DATE(2024,10,1),
  O67="NewYearRefresh", DATE(2024,12,25),
  O67="DailyWellness", DATE(2025,3,1)
)
</f>
        <v>45458</v>
      </c>
      <c r="Q67" s="26">
        <f t="shared" ref="Q67:Q68" si="23">IFS(
  O67="SummerSplash", DATE(2024,7,15),
  O67="FestiveRadiance", DATE(2024,10,31),
  O67="NewYearRefresh", DATE(2025,1,10),
  O67="DailyWellness", DATE(2025,3,31)
)
</f>
        <v>45488</v>
      </c>
      <c r="R67" s="28" t="str">
        <f t="shared" si="3"/>
        <v>During Campaign</v>
      </c>
      <c r="S67" s="27">
        <f t="shared" si="4"/>
        <v>883</v>
      </c>
      <c r="T67" s="29">
        <f t="shared" si="5"/>
        <v>0.2919973545</v>
      </c>
    </row>
    <row r="68">
      <c r="A68" s="10" t="s">
        <v>115</v>
      </c>
      <c r="B68" s="10" t="s">
        <v>33</v>
      </c>
      <c r="C68" s="26">
        <v>45745.0</v>
      </c>
      <c r="D68" s="10" t="s">
        <v>34</v>
      </c>
      <c r="E68" s="10" t="s">
        <v>35</v>
      </c>
      <c r="F68" s="27">
        <v>4712.0</v>
      </c>
      <c r="G68" s="27">
        <v>568.0</v>
      </c>
      <c r="H68" s="27">
        <v>127.0</v>
      </c>
      <c r="I68" s="27">
        <v>84816.0</v>
      </c>
      <c r="J68" s="27">
        <v>84691.0</v>
      </c>
      <c r="K68" s="27">
        <v>100.0</v>
      </c>
      <c r="L68" s="28" t="s">
        <v>30</v>
      </c>
      <c r="M68" s="10"/>
      <c r="N68" s="10"/>
      <c r="O68" s="28" t="s">
        <v>372</v>
      </c>
      <c r="P68" s="26">
        <f t="shared" si="22"/>
        <v>45651</v>
      </c>
      <c r="Q68" s="26">
        <f t="shared" si="23"/>
        <v>45667</v>
      </c>
      <c r="R68" s="28" t="str">
        <f t="shared" si="3"/>
        <v>During Campaign</v>
      </c>
      <c r="S68" s="27">
        <f t="shared" si="4"/>
        <v>5407</v>
      </c>
      <c r="T68" s="29">
        <f t="shared" si="5"/>
        <v>0.0637497642</v>
      </c>
    </row>
    <row r="69">
      <c r="A69" s="10" t="s">
        <v>116</v>
      </c>
      <c r="B69" s="10" t="s">
        <v>27</v>
      </c>
      <c r="C69" s="26">
        <v>45634.0</v>
      </c>
      <c r="D69" s="10" t="s">
        <v>28</v>
      </c>
      <c r="E69" s="10" t="s">
        <v>29</v>
      </c>
      <c r="F69" s="27">
        <v>2610.0</v>
      </c>
      <c r="G69" s="27">
        <v>126.0</v>
      </c>
      <c r="H69" s="27">
        <v>288.0</v>
      </c>
      <c r="I69" s="27">
        <v>15660.0</v>
      </c>
      <c r="J69" s="27">
        <v>15145.0</v>
      </c>
      <c r="K69" s="27">
        <v>73.0</v>
      </c>
      <c r="L69" s="28" t="s">
        <v>30</v>
      </c>
      <c r="M69" s="10"/>
      <c r="N69" s="10"/>
      <c r="O69" s="28"/>
      <c r="P69" s="86"/>
      <c r="Q69" s="86"/>
      <c r="R69" s="28" t="str">
        <f t="shared" si="3"/>
        <v>After Campaign</v>
      </c>
      <c r="S69" s="27">
        <f t="shared" si="4"/>
        <v>3024</v>
      </c>
      <c r="T69" s="29">
        <f t="shared" si="5"/>
        <v>0.1931034483</v>
      </c>
    </row>
    <row r="70">
      <c r="A70" s="10" t="s">
        <v>117</v>
      </c>
      <c r="B70" s="10" t="s">
        <v>13</v>
      </c>
      <c r="C70" s="26">
        <v>45724.0</v>
      </c>
      <c r="D70" s="10" t="s">
        <v>19</v>
      </c>
      <c r="E70" s="10" t="s">
        <v>20</v>
      </c>
      <c r="F70" s="27">
        <v>1292.0</v>
      </c>
      <c r="G70" s="27">
        <v>626.0</v>
      </c>
      <c r="H70" s="27">
        <v>496.0</v>
      </c>
      <c r="I70" s="27">
        <v>25840.0</v>
      </c>
      <c r="J70" s="27">
        <v>24916.0</v>
      </c>
      <c r="K70" s="27">
        <v>149.0</v>
      </c>
      <c r="L70" s="28" t="s">
        <v>16</v>
      </c>
      <c r="M70" s="10"/>
      <c r="N70" s="10"/>
      <c r="O70" s="28" t="s">
        <v>372</v>
      </c>
      <c r="P70" s="26">
        <f>IFS(
  O70="SummerSplash", DATE(2024,6,15),
  O70="FestiveRadiance", DATE(2024,10,1),
  O70="NewYearRefresh", DATE(2024,12,25),
  O70="DailyWellness", DATE(2025,3,1)
)
</f>
        <v>45651</v>
      </c>
      <c r="Q70" s="26">
        <f>IFS(
  O70="SummerSplash", DATE(2024,7,15),
  O70="FestiveRadiance", DATE(2024,10,31),
  O70="NewYearRefresh", DATE(2025,1,10),
  O70="DailyWellness", DATE(2025,3,31)
)
</f>
        <v>45667</v>
      </c>
      <c r="R70" s="28" t="str">
        <f t="shared" si="3"/>
        <v>During Campaign</v>
      </c>
      <c r="S70" s="27">
        <f t="shared" si="4"/>
        <v>2414</v>
      </c>
      <c r="T70" s="29">
        <f t="shared" si="5"/>
        <v>0.09342105263</v>
      </c>
    </row>
    <row r="71">
      <c r="A71" s="10" t="s">
        <v>118</v>
      </c>
      <c r="B71" s="10" t="s">
        <v>33</v>
      </c>
      <c r="C71" s="26">
        <v>45749.0</v>
      </c>
      <c r="D71" s="10" t="s">
        <v>53</v>
      </c>
      <c r="E71" s="10" t="s">
        <v>54</v>
      </c>
      <c r="F71" s="27">
        <v>199.0</v>
      </c>
      <c r="G71" s="27">
        <v>772.0</v>
      </c>
      <c r="H71" s="27">
        <v>400.0</v>
      </c>
      <c r="I71" s="27">
        <v>3582.0</v>
      </c>
      <c r="J71" s="27">
        <v>2988.0</v>
      </c>
      <c r="K71" s="27">
        <v>43.0</v>
      </c>
      <c r="L71" s="28" t="s">
        <v>21</v>
      </c>
      <c r="M71" s="10"/>
      <c r="N71" s="10"/>
      <c r="O71" s="28"/>
      <c r="P71" s="86"/>
      <c r="Q71" s="86"/>
      <c r="R71" s="28" t="str">
        <f t="shared" si="3"/>
        <v>After Campaign</v>
      </c>
      <c r="S71" s="27">
        <f t="shared" si="4"/>
        <v>1371</v>
      </c>
      <c r="T71" s="29">
        <f t="shared" si="5"/>
        <v>0.3827470687</v>
      </c>
    </row>
    <row r="72">
      <c r="A72" s="10" t="s">
        <v>119</v>
      </c>
      <c r="B72" s="10" t="s">
        <v>24</v>
      </c>
      <c r="C72" s="26">
        <v>45537.0</v>
      </c>
      <c r="D72" s="10" t="s">
        <v>34</v>
      </c>
      <c r="E72" s="10" t="s">
        <v>49</v>
      </c>
      <c r="F72" s="27">
        <v>2551.0</v>
      </c>
      <c r="G72" s="27">
        <v>915.0</v>
      </c>
      <c r="H72" s="27">
        <v>205.0</v>
      </c>
      <c r="I72" s="27">
        <v>30612.0</v>
      </c>
      <c r="J72" s="27">
        <v>30360.0</v>
      </c>
      <c r="K72" s="27">
        <v>227.0</v>
      </c>
      <c r="L72" s="28" t="s">
        <v>21</v>
      </c>
      <c r="M72" s="10"/>
      <c r="N72" s="10"/>
      <c r="O72" s="28" t="s">
        <v>368</v>
      </c>
      <c r="P72" s="26">
        <f t="shared" ref="P72:P77" si="24">IFS(
  O72="SummerSplash", DATE(2024,6,15),
  O72="FestiveRadiance", DATE(2024,10,1),
  O72="NewYearRefresh", DATE(2024,12,25),
  O72="DailyWellness", DATE(2025,3,1)
)
</f>
        <v>45566</v>
      </c>
      <c r="Q72" s="26">
        <f t="shared" ref="Q72:Q77" si="25">IFS(
  O72="SummerSplash", DATE(2024,7,15),
  O72="FestiveRadiance", DATE(2024,10,31),
  O72="NewYearRefresh", DATE(2025,1,10),
  O72="DailyWellness", DATE(2025,3,31)
)
</f>
        <v>45596</v>
      </c>
      <c r="R72" s="28" t="str">
        <f t="shared" si="3"/>
        <v>During Campaign</v>
      </c>
      <c r="S72" s="27">
        <f t="shared" si="4"/>
        <v>3671</v>
      </c>
      <c r="T72" s="29">
        <f t="shared" si="5"/>
        <v>0.1199202927</v>
      </c>
    </row>
    <row r="73">
      <c r="A73" s="10" t="s">
        <v>120</v>
      </c>
      <c r="B73" s="10" t="s">
        <v>24</v>
      </c>
      <c r="C73" s="26">
        <v>45719.0</v>
      </c>
      <c r="D73" s="10" t="s">
        <v>14</v>
      </c>
      <c r="E73" s="10" t="s">
        <v>25</v>
      </c>
      <c r="F73" s="27">
        <v>296.0</v>
      </c>
      <c r="G73" s="27">
        <v>60.0</v>
      </c>
      <c r="H73" s="27">
        <v>141.0</v>
      </c>
      <c r="I73" s="27">
        <v>5624.0</v>
      </c>
      <c r="J73" s="27">
        <v>5239.0</v>
      </c>
      <c r="K73" s="27">
        <v>88.0</v>
      </c>
      <c r="L73" s="28" t="s">
        <v>30</v>
      </c>
      <c r="M73" s="10"/>
      <c r="N73" s="10"/>
      <c r="O73" s="28" t="s">
        <v>368</v>
      </c>
      <c r="P73" s="26">
        <f t="shared" si="24"/>
        <v>45566</v>
      </c>
      <c r="Q73" s="26">
        <f t="shared" si="25"/>
        <v>45596</v>
      </c>
      <c r="R73" s="28" t="str">
        <f t="shared" si="3"/>
        <v>During Campaign</v>
      </c>
      <c r="S73" s="27">
        <f t="shared" si="4"/>
        <v>497</v>
      </c>
      <c r="T73" s="29">
        <f t="shared" si="5"/>
        <v>0.088371266</v>
      </c>
    </row>
    <row r="74">
      <c r="A74" s="10" t="s">
        <v>121</v>
      </c>
      <c r="B74" s="10" t="s">
        <v>33</v>
      </c>
      <c r="C74" s="26">
        <v>45583.0</v>
      </c>
      <c r="D74" s="10" t="s">
        <v>28</v>
      </c>
      <c r="E74" s="10" t="s">
        <v>51</v>
      </c>
      <c r="F74" s="27">
        <v>4126.0</v>
      </c>
      <c r="G74" s="27">
        <v>426.0</v>
      </c>
      <c r="H74" s="27">
        <v>486.0</v>
      </c>
      <c r="I74" s="27">
        <v>78394.0</v>
      </c>
      <c r="J74" s="27">
        <v>77798.0</v>
      </c>
      <c r="K74" s="27">
        <v>88.0</v>
      </c>
      <c r="L74" s="28" t="s">
        <v>16</v>
      </c>
      <c r="M74" s="10"/>
      <c r="N74" s="10"/>
      <c r="O74" s="28" t="s">
        <v>375</v>
      </c>
      <c r="P74" s="26">
        <f t="shared" si="24"/>
        <v>45717</v>
      </c>
      <c r="Q74" s="26">
        <f t="shared" si="25"/>
        <v>45747</v>
      </c>
      <c r="R74" s="28" t="str">
        <f t="shared" si="3"/>
        <v>During Campaign</v>
      </c>
      <c r="S74" s="27">
        <f t="shared" si="4"/>
        <v>5038</v>
      </c>
      <c r="T74" s="29">
        <f t="shared" si="5"/>
        <v>0.06426512233</v>
      </c>
    </row>
    <row r="75">
      <c r="A75" s="10" t="s">
        <v>122</v>
      </c>
      <c r="B75" s="10" t="s">
        <v>24</v>
      </c>
      <c r="C75" s="26">
        <v>45593.0</v>
      </c>
      <c r="D75" s="10" t="s">
        <v>14</v>
      </c>
      <c r="E75" s="10" t="s">
        <v>25</v>
      </c>
      <c r="F75" s="27">
        <v>1855.0</v>
      </c>
      <c r="G75" s="27">
        <v>200.0</v>
      </c>
      <c r="H75" s="27">
        <v>174.0</v>
      </c>
      <c r="I75" s="27">
        <v>16695.0</v>
      </c>
      <c r="J75" s="27">
        <v>16330.0</v>
      </c>
      <c r="K75" s="27">
        <v>123.0</v>
      </c>
      <c r="L75" s="28" t="s">
        <v>21</v>
      </c>
      <c r="M75" s="10"/>
      <c r="N75" s="10"/>
      <c r="O75" s="28" t="s">
        <v>372</v>
      </c>
      <c r="P75" s="26">
        <f t="shared" si="24"/>
        <v>45651</v>
      </c>
      <c r="Q75" s="26">
        <f t="shared" si="25"/>
        <v>45667</v>
      </c>
      <c r="R75" s="28" t="str">
        <f t="shared" si="3"/>
        <v>During Campaign</v>
      </c>
      <c r="S75" s="27">
        <f t="shared" si="4"/>
        <v>2229</v>
      </c>
      <c r="T75" s="29">
        <f t="shared" si="5"/>
        <v>0.1335130279</v>
      </c>
    </row>
    <row r="76">
      <c r="A76" s="10" t="s">
        <v>123</v>
      </c>
      <c r="B76" s="10" t="s">
        <v>27</v>
      </c>
      <c r="C76" s="26">
        <v>45505.0</v>
      </c>
      <c r="D76" s="10" t="s">
        <v>14</v>
      </c>
      <c r="E76" s="10" t="s">
        <v>58</v>
      </c>
      <c r="F76" s="27">
        <v>1674.0</v>
      </c>
      <c r="G76" s="27">
        <v>929.0</v>
      </c>
      <c r="H76" s="27">
        <v>37.0</v>
      </c>
      <c r="I76" s="27">
        <v>21762.0</v>
      </c>
      <c r="J76" s="27">
        <v>20998.0</v>
      </c>
      <c r="K76" s="27">
        <v>255.0</v>
      </c>
      <c r="L76" s="28" t="s">
        <v>21</v>
      </c>
      <c r="M76" s="10"/>
      <c r="N76" s="10"/>
      <c r="O76" s="28" t="s">
        <v>375</v>
      </c>
      <c r="P76" s="26">
        <f t="shared" si="24"/>
        <v>45717</v>
      </c>
      <c r="Q76" s="26">
        <f t="shared" si="25"/>
        <v>45747</v>
      </c>
      <c r="R76" s="28" t="str">
        <f t="shared" si="3"/>
        <v>During Campaign</v>
      </c>
      <c r="S76" s="27">
        <f t="shared" si="4"/>
        <v>2640</v>
      </c>
      <c r="T76" s="29">
        <f t="shared" si="5"/>
        <v>0.1213123794</v>
      </c>
    </row>
    <row r="77">
      <c r="A77" s="10" t="s">
        <v>124</v>
      </c>
      <c r="B77" s="10" t="s">
        <v>13</v>
      </c>
      <c r="C77" s="26">
        <v>45603.0</v>
      </c>
      <c r="D77" s="10" t="s">
        <v>28</v>
      </c>
      <c r="E77" s="10" t="s">
        <v>95</v>
      </c>
      <c r="F77" s="27">
        <v>1121.0</v>
      </c>
      <c r="G77" s="27">
        <v>135.0</v>
      </c>
      <c r="H77" s="27">
        <v>18.0</v>
      </c>
      <c r="I77" s="27">
        <v>15694.0</v>
      </c>
      <c r="J77" s="27">
        <v>14957.0</v>
      </c>
      <c r="K77" s="27">
        <v>99.0</v>
      </c>
      <c r="L77" s="28" t="s">
        <v>21</v>
      </c>
      <c r="M77" s="10"/>
      <c r="N77" s="10"/>
      <c r="O77" s="28" t="s">
        <v>375</v>
      </c>
      <c r="P77" s="26">
        <f t="shared" si="24"/>
        <v>45717</v>
      </c>
      <c r="Q77" s="26">
        <f t="shared" si="25"/>
        <v>45747</v>
      </c>
      <c r="R77" s="28" t="str">
        <f t="shared" si="3"/>
        <v>During Campaign</v>
      </c>
      <c r="S77" s="27">
        <f t="shared" si="4"/>
        <v>1274</v>
      </c>
      <c r="T77" s="29">
        <f t="shared" si="5"/>
        <v>0.08117752007</v>
      </c>
    </row>
    <row r="78">
      <c r="A78" s="10" t="s">
        <v>125</v>
      </c>
      <c r="B78" s="10" t="s">
        <v>33</v>
      </c>
      <c r="C78" s="26">
        <v>45720.0</v>
      </c>
      <c r="D78" s="10" t="s">
        <v>28</v>
      </c>
      <c r="E78" s="10" t="s">
        <v>51</v>
      </c>
      <c r="F78" s="27">
        <v>1249.0</v>
      </c>
      <c r="G78" s="27">
        <v>116.0</v>
      </c>
      <c r="H78" s="27">
        <v>420.0</v>
      </c>
      <c r="I78" s="27">
        <v>8743.0</v>
      </c>
      <c r="J78" s="27">
        <v>8538.0</v>
      </c>
      <c r="K78" s="27">
        <v>63.0</v>
      </c>
      <c r="L78" s="28" t="s">
        <v>21</v>
      </c>
      <c r="M78" s="10"/>
      <c r="N78" s="10"/>
      <c r="O78" s="28"/>
      <c r="P78" s="86"/>
      <c r="Q78" s="86"/>
      <c r="R78" s="28" t="str">
        <f t="shared" si="3"/>
        <v>After Campaign</v>
      </c>
      <c r="S78" s="27">
        <f t="shared" si="4"/>
        <v>1785</v>
      </c>
      <c r="T78" s="29">
        <f t="shared" si="5"/>
        <v>0.2041633307</v>
      </c>
    </row>
    <row r="79">
      <c r="A79" s="10" t="s">
        <v>126</v>
      </c>
      <c r="B79" s="10" t="s">
        <v>13</v>
      </c>
      <c r="C79" s="26">
        <v>45460.0</v>
      </c>
      <c r="D79" s="10" t="s">
        <v>39</v>
      </c>
      <c r="E79" s="10" t="s">
        <v>85</v>
      </c>
      <c r="F79" s="27">
        <v>954.0</v>
      </c>
      <c r="G79" s="27">
        <v>324.0</v>
      </c>
      <c r="H79" s="27">
        <v>288.0</v>
      </c>
      <c r="I79" s="27">
        <v>19080.0</v>
      </c>
      <c r="J79" s="27">
        <v>18859.0</v>
      </c>
      <c r="K79" s="27">
        <v>21.0</v>
      </c>
      <c r="L79" s="28" t="s">
        <v>16</v>
      </c>
      <c r="M79" s="10"/>
      <c r="N79" s="10"/>
      <c r="O79" s="28" t="s">
        <v>375</v>
      </c>
      <c r="P79" s="26">
        <f t="shared" ref="P79:P80" si="26">IFS(
  O79="SummerSplash", DATE(2024,6,15),
  O79="FestiveRadiance", DATE(2024,10,1),
  O79="NewYearRefresh", DATE(2024,12,25),
  O79="DailyWellness", DATE(2025,3,1)
)
</f>
        <v>45717</v>
      </c>
      <c r="Q79" s="26">
        <f t="shared" ref="Q79:Q80" si="27">IFS(
  O79="SummerSplash", DATE(2024,7,15),
  O79="FestiveRadiance", DATE(2024,10,31),
  O79="NewYearRefresh", DATE(2025,1,10),
  O79="DailyWellness", DATE(2025,3,31)
)
</f>
        <v>45747</v>
      </c>
      <c r="R79" s="28" t="str">
        <f t="shared" si="3"/>
        <v>During Campaign</v>
      </c>
      <c r="S79" s="27">
        <f t="shared" si="4"/>
        <v>1566</v>
      </c>
      <c r="T79" s="29">
        <f t="shared" si="5"/>
        <v>0.0820754717</v>
      </c>
    </row>
    <row r="80">
      <c r="A80" s="10" t="s">
        <v>127</v>
      </c>
      <c r="B80" s="10" t="s">
        <v>27</v>
      </c>
      <c r="C80" s="26">
        <v>45574.0</v>
      </c>
      <c r="D80" s="10" t="s">
        <v>34</v>
      </c>
      <c r="E80" s="10" t="s">
        <v>62</v>
      </c>
      <c r="F80" s="27">
        <v>3068.0</v>
      </c>
      <c r="G80" s="27">
        <v>137.0</v>
      </c>
      <c r="H80" s="27">
        <v>329.0</v>
      </c>
      <c r="I80" s="27">
        <v>39884.0</v>
      </c>
      <c r="J80" s="27">
        <v>39404.0</v>
      </c>
      <c r="K80" s="27">
        <v>266.0</v>
      </c>
      <c r="L80" s="28" t="s">
        <v>30</v>
      </c>
      <c r="M80" s="10"/>
      <c r="N80" s="10"/>
      <c r="O80" s="28" t="s">
        <v>368</v>
      </c>
      <c r="P80" s="26">
        <f t="shared" si="26"/>
        <v>45566</v>
      </c>
      <c r="Q80" s="26">
        <f t="shared" si="27"/>
        <v>45596</v>
      </c>
      <c r="R80" s="28" t="str">
        <f t="shared" si="3"/>
        <v>During Campaign</v>
      </c>
      <c r="S80" s="27">
        <f t="shared" si="4"/>
        <v>3534</v>
      </c>
      <c r="T80" s="29">
        <f t="shared" si="5"/>
        <v>0.08860696018</v>
      </c>
    </row>
    <row r="81">
      <c r="A81" s="10" t="s">
        <v>128</v>
      </c>
      <c r="B81" s="10" t="s">
        <v>27</v>
      </c>
      <c r="C81" s="26">
        <v>45456.0</v>
      </c>
      <c r="D81" s="10" t="s">
        <v>28</v>
      </c>
      <c r="E81" s="10" t="s">
        <v>29</v>
      </c>
      <c r="F81" s="27">
        <v>2103.0</v>
      </c>
      <c r="G81" s="27">
        <v>892.0</v>
      </c>
      <c r="H81" s="27">
        <v>103.0</v>
      </c>
      <c r="I81" s="27">
        <v>39957.0</v>
      </c>
      <c r="J81" s="27">
        <v>39466.0</v>
      </c>
      <c r="K81" s="27">
        <v>28.0</v>
      </c>
      <c r="L81" s="28" t="s">
        <v>16</v>
      </c>
      <c r="M81" s="10"/>
      <c r="N81" s="10"/>
      <c r="O81" s="28"/>
      <c r="P81" s="86"/>
      <c r="Q81" s="86"/>
      <c r="R81" s="28" t="str">
        <f t="shared" si="3"/>
        <v>After Campaign</v>
      </c>
      <c r="S81" s="27">
        <f t="shared" si="4"/>
        <v>3098</v>
      </c>
      <c r="T81" s="29">
        <f t="shared" si="5"/>
        <v>0.07753334835</v>
      </c>
    </row>
    <row r="82">
      <c r="A82" s="10" t="s">
        <v>129</v>
      </c>
      <c r="B82" s="10" t="s">
        <v>27</v>
      </c>
      <c r="C82" s="26">
        <v>45584.0</v>
      </c>
      <c r="D82" s="10" t="s">
        <v>28</v>
      </c>
      <c r="E82" s="10" t="s">
        <v>29</v>
      </c>
      <c r="F82" s="27">
        <v>1816.0</v>
      </c>
      <c r="G82" s="27">
        <v>29.0</v>
      </c>
      <c r="H82" s="27">
        <v>41.0</v>
      </c>
      <c r="I82" s="27">
        <v>19976.0</v>
      </c>
      <c r="J82" s="27">
        <v>19262.0</v>
      </c>
      <c r="K82" s="27">
        <v>283.0</v>
      </c>
      <c r="L82" s="28" t="s">
        <v>21</v>
      </c>
      <c r="M82" s="10"/>
      <c r="N82" s="10"/>
      <c r="O82" s="28" t="s">
        <v>372</v>
      </c>
      <c r="P82" s="26">
        <f t="shared" ref="P82:P83" si="28">IFS(
  O82="SummerSplash", DATE(2024,6,15),
  O82="FestiveRadiance", DATE(2024,10,1),
  O82="NewYearRefresh", DATE(2024,12,25),
  O82="DailyWellness", DATE(2025,3,1)
)
</f>
        <v>45651</v>
      </c>
      <c r="Q82" s="26">
        <f t="shared" ref="Q82:Q83" si="29">IFS(
  O82="SummerSplash", DATE(2024,7,15),
  O82="FestiveRadiance", DATE(2024,10,31),
  O82="NewYearRefresh", DATE(2025,1,10),
  O82="DailyWellness", DATE(2025,3,31)
)
</f>
        <v>45667</v>
      </c>
      <c r="R82" s="28" t="str">
        <f t="shared" si="3"/>
        <v>During Campaign</v>
      </c>
      <c r="S82" s="27">
        <f t="shared" si="4"/>
        <v>1886</v>
      </c>
      <c r="T82" s="29">
        <f t="shared" si="5"/>
        <v>0.09441329596</v>
      </c>
    </row>
    <row r="83">
      <c r="A83" s="10" t="s">
        <v>130</v>
      </c>
      <c r="B83" s="10" t="s">
        <v>27</v>
      </c>
      <c r="C83" s="26">
        <v>45497.0</v>
      </c>
      <c r="D83" s="10" t="s">
        <v>39</v>
      </c>
      <c r="E83" s="10" t="s">
        <v>131</v>
      </c>
      <c r="F83" s="27">
        <v>725.0</v>
      </c>
      <c r="G83" s="27">
        <v>88.0</v>
      </c>
      <c r="H83" s="27">
        <v>428.0</v>
      </c>
      <c r="I83" s="27">
        <v>14500.0</v>
      </c>
      <c r="J83" s="27">
        <v>13637.0</v>
      </c>
      <c r="K83" s="27">
        <v>200.0</v>
      </c>
      <c r="L83" s="28" t="s">
        <v>16</v>
      </c>
      <c r="M83" s="28" t="s">
        <v>21</v>
      </c>
      <c r="N83" s="28" t="s">
        <v>17</v>
      </c>
      <c r="O83" s="28" t="s">
        <v>372</v>
      </c>
      <c r="P83" s="26">
        <f t="shared" si="28"/>
        <v>45651</v>
      </c>
      <c r="Q83" s="26">
        <f t="shared" si="29"/>
        <v>45667</v>
      </c>
      <c r="R83" s="28" t="str">
        <f t="shared" si="3"/>
        <v>Before Campaign</v>
      </c>
      <c r="S83" s="27">
        <f t="shared" si="4"/>
        <v>1241</v>
      </c>
      <c r="T83" s="29">
        <f t="shared" si="5"/>
        <v>0.0855862069</v>
      </c>
    </row>
    <row r="84">
      <c r="A84" s="10" t="s">
        <v>132</v>
      </c>
      <c r="B84" s="10" t="s">
        <v>24</v>
      </c>
      <c r="C84" s="26">
        <v>45580.0</v>
      </c>
      <c r="D84" s="10" t="s">
        <v>53</v>
      </c>
      <c r="E84" s="10" t="s">
        <v>133</v>
      </c>
      <c r="F84" s="27">
        <v>1094.0</v>
      </c>
      <c r="G84" s="27">
        <v>472.0</v>
      </c>
      <c r="H84" s="27">
        <v>21.0</v>
      </c>
      <c r="I84" s="27">
        <v>9846.0</v>
      </c>
      <c r="J84" s="27">
        <v>9609.0</v>
      </c>
      <c r="K84" s="27">
        <v>112.0</v>
      </c>
      <c r="L84" s="28" t="s">
        <v>30</v>
      </c>
      <c r="M84" s="10"/>
      <c r="N84" s="10"/>
      <c r="O84" s="28"/>
      <c r="P84" s="86"/>
      <c r="Q84" s="86"/>
      <c r="R84" s="28" t="str">
        <f t="shared" si="3"/>
        <v>After Campaign</v>
      </c>
      <c r="S84" s="27">
        <f t="shared" si="4"/>
        <v>1587</v>
      </c>
      <c r="T84" s="29">
        <f t="shared" si="5"/>
        <v>0.161182206</v>
      </c>
    </row>
    <row r="85">
      <c r="A85" s="10" t="s">
        <v>134</v>
      </c>
      <c r="B85" s="10" t="s">
        <v>33</v>
      </c>
      <c r="C85" s="26">
        <v>45635.0</v>
      </c>
      <c r="D85" s="10" t="s">
        <v>39</v>
      </c>
      <c r="E85" s="10" t="s">
        <v>44</v>
      </c>
      <c r="F85" s="27">
        <v>1841.0</v>
      </c>
      <c r="G85" s="27">
        <v>851.0</v>
      </c>
      <c r="H85" s="27">
        <v>342.0</v>
      </c>
      <c r="I85" s="27">
        <v>34979.0</v>
      </c>
      <c r="J85" s="27">
        <v>34154.0</v>
      </c>
      <c r="K85" s="27">
        <v>255.0</v>
      </c>
      <c r="L85" s="28" t="s">
        <v>16</v>
      </c>
      <c r="M85" s="10"/>
      <c r="N85" s="10"/>
      <c r="O85" s="28" t="s">
        <v>375</v>
      </c>
      <c r="P85" s="26">
        <f t="shared" ref="P85:P89" si="30">IFS(
  O85="SummerSplash", DATE(2024,6,15),
  O85="FestiveRadiance", DATE(2024,10,1),
  O85="NewYearRefresh", DATE(2024,12,25),
  O85="DailyWellness", DATE(2025,3,1)
)
</f>
        <v>45717</v>
      </c>
      <c r="Q85" s="26">
        <f t="shared" ref="Q85:Q89" si="31">IFS(
  O85="SummerSplash", DATE(2024,7,15),
  O85="FestiveRadiance", DATE(2024,10,31),
  O85="NewYearRefresh", DATE(2025,1,10),
  O85="DailyWellness", DATE(2025,3,31)
)
</f>
        <v>45747</v>
      </c>
      <c r="R85" s="28" t="str">
        <f t="shared" si="3"/>
        <v>During Campaign</v>
      </c>
      <c r="S85" s="27">
        <f t="shared" si="4"/>
        <v>3034</v>
      </c>
      <c r="T85" s="29">
        <f t="shared" si="5"/>
        <v>0.08673775694</v>
      </c>
    </row>
    <row r="86">
      <c r="A86" s="10" t="s">
        <v>135</v>
      </c>
      <c r="B86" s="10" t="s">
        <v>27</v>
      </c>
      <c r="C86" s="26">
        <v>45766.0</v>
      </c>
      <c r="D86" s="10" t="s">
        <v>39</v>
      </c>
      <c r="E86" s="10" t="s">
        <v>131</v>
      </c>
      <c r="F86" s="27">
        <v>4177.0</v>
      </c>
      <c r="G86" s="27">
        <v>569.0</v>
      </c>
      <c r="H86" s="27">
        <v>55.0</v>
      </c>
      <c r="I86" s="27">
        <v>25062.0</v>
      </c>
      <c r="J86" s="27">
        <v>24847.0</v>
      </c>
      <c r="K86" s="27">
        <v>230.0</v>
      </c>
      <c r="L86" s="28" t="s">
        <v>16</v>
      </c>
      <c r="M86" s="10"/>
      <c r="N86" s="10"/>
      <c r="O86" s="28" t="s">
        <v>365</v>
      </c>
      <c r="P86" s="26">
        <f t="shared" si="30"/>
        <v>45458</v>
      </c>
      <c r="Q86" s="26">
        <f t="shared" si="31"/>
        <v>45488</v>
      </c>
      <c r="R86" s="28" t="str">
        <f t="shared" si="3"/>
        <v>During Campaign</v>
      </c>
      <c r="S86" s="27">
        <f t="shared" si="4"/>
        <v>4801</v>
      </c>
      <c r="T86" s="29">
        <f t="shared" si="5"/>
        <v>0.191564919</v>
      </c>
    </row>
    <row r="87">
      <c r="A87" s="10" t="s">
        <v>136</v>
      </c>
      <c r="B87" s="10" t="s">
        <v>24</v>
      </c>
      <c r="C87" s="26">
        <v>45684.0</v>
      </c>
      <c r="D87" s="10" t="s">
        <v>19</v>
      </c>
      <c r="E87" s="10" t="s">
        <v>70</v>
      </c>
      <c r="F87" s="27">
        <v>3428.0</v>
      </c>
      <c r="G87" s="27">
        <v>305.0</v>
      </c>
      <c r="H87" s="27">
        <v>85.0</v>
      </c>
      <c r="I87" s="27">
        <v>58276.0</v>
      </c>
      <c r="J87" s="27">
        <v>58052.0</v>
      </c>
      <c r="K87" s="27">
        <v>242.0</v>
      </c>
      <c r="L87" s="28" t="s">
        <v>30</v>
      </c>
      <c r="M87" s="28" t="s">
        <v>22</v>
      </c>
      <c r="N87" s="10"/>
      <c r="O87" s="28" t="s">
        <v>375</v>
      </c>
      <c r="P87" s="26">
        <f t="shared" si="30"/>
        <v>45717</v>
      </c>
      <c r="Q87" s="26">
        <f t="shared" si="31"/>
        <v>45747</v>
      </c>
      <c r="R87" s="28" t="str">
        <f t="shared" si="3"/>
        <v>During Campaign</v>
      </c>
      <c r="S87" s="27">
        <f t="shared" si="4"/>
        <v>3818</v>
      </c>
      <c r="T87" s="29">
        <f t="shared" si="5"/>
        <v>0.06551582126</v>
      </c>
    </row>
    <row r="88">
      <c r="A88" s="10" t="s">
        <v>137</v>
      </c>
      <c r="B88" s="10" t="s">
        <v>13</v>
      </c>
      <c r="C88" s="26">
        <v>45449.0</v>
      </c>
      <c r="D88" s="10" t="s">
        <v>53</v>
      </c>
      <c r="E88" s="10" t="s">
        <v>92</v>
      </c>
      <c r="F88" s="27">
        <v>1436.0</v>
      </c>
      <c r="G88" s="27">
        <v>765.0</v>
      </c>
      <c r="H88" s="27">
        <v>496.0</v>
      </c>
      <c r="I88" s="27">
        <v>12924.0</v>
      </c>
      <c r="J88" s="27">
        <v>12701.0</v>
      </c>
      <c r="K88" s="27">
        <v>197.0</v>
      </c>
      <c r="L88" s="28" t="s">
        <v>16</v>
      </c>
      <c r="M88" s="10"/>
      <c r="N88" s="10"/>
      <c r="O88" s="28" t="s">
        <v>372</v>
      </c>
      <c r="P88" s="26">
        <f t="shared" si="30"/>
        <v>45651</v>
      </c>
      <c r="Q88" s="26">
        <f t="shared" si="31"/>
        <v>45667</v>
      </c>
      <c r="R88" s="28" t="str">
        <f t="shared" si="3"/>
        <v>During Campaign</v>
      </c>
      <c r="S88" s="27">
        <f t="shared" si="4"/>
        <v>2697</v>
      </c>
      <c r="T88" s="29">
        <f t="shared" si="5"/>
        <v>0.2086815227</v>
      </c>
    </row>
    <row r="89">
      <c r="A89" s="10" t="s">
        <v>138</v>
      </c>
      <c r="B89" s="10" t="s">
        <v>33</v>
      </c>
      <c r="C89" s="26">
        <v>45480.0</v>
      </c>
      <c r="D89" s="10" t="s">
        <v>28</v>
      </c>
      <c r="E89" s="10" t="s">
        <v>51</v>
      </c>
      <c r="F89" s="27">
        <v>302.0</v>
      </c>
      <c r="G89" s="27">
        <v>47.0</v>
      </c>
      <c r="H89" s="27">
        <v>430.0</v>
      </c>
      <c r="I89" s="27">
        <v>5738.0</v>
      </c>
      <c r="J89" s="27">
        <v>4890.0</v>
      </c>
      <c r="K89" s="27">
        <v>25.0</v>
      </c>
      <c r="L89" s="28" t="s">
        <v>21</v>
      </c>
      <c r="M89" s="10"/>
      <c r="N89" s="10"/>
      <c r="O89" s="28" t="s">
        <v>375</v>
      </c>
      <c r="P89" s="26">
        <f t="shared" si="30"/>
        <v>45717</v>
      </c>
      <c r="Q89" s="26">
        <f t="shared" si="31"/>
        <v>45747</v>
      </c>
      <c r="R89" s="28" t="str">
        <f t="shared" si="3"/>
        <v>During Campaign</v>
      </c>
      <c r="S89" s="27">
        <f t="shared" si="4"/>
        <v>779</v>
      </c>
      <c r="T89" s="29">
        <f t="shared" si="5"/>
        <v>0.1357615894</v>
      </c>
    </row>
    <row r="90">
      <c r="A90" s="10" t="s">
        <v>139</v>
      </c>
      <c r="B90" s="10" t="s">
        <v>13</v>
      </c>
      <c r="C90" s="26">
        <v>45667.0</v>
      </c>
      <c r="D90" s="10" t="s">
        <v>39</v>
      </c>
      <c r="E90" s="10" t="s">
        <v>85</v>
      </c>
      <c r="F90" s="27">
        <v>2214.0</v>
      </c>
      <c r="G90" s="27">
        <v>249.0</v>
      </c>
      <c r="H90" s="27">
        <v>152.0</v>
      </c>
      <c r="I90" s="27">
        <v>15498.0</v>
      </c>
      <c r="J90" s="27">
        <v>14800.0</v>
      </c>
      <c r="K90" s="27">
        <v>180.0</v>
      </c>
      <c r="L90" s="28" t="s">
        <v>30</v>
      </c>
      <c r="M90" s="10"/>
      <c r="N90" s="10"/>
      <c r="O90" s="28"/>
      <c r="P90" s="86"/>
      <c r="Q90" s="86"/>
      <c r="R90" s="28" t="str">
        <f t="shared" si="3"/>
        <v>After Campaign</v>
      </c>
      <c r="S90" s="27">
        <f t="shared" si="4"/>
        <v>2615</v>
      </c>
      <c r="T90" s="29">
        <f t="shared" si="5"/>
        <v>0.1687314492</v>
      </c>
    </row>
    <row r="91">
      <c r="A91" s="10" t="s">
        <v>140</v>
      </c>
      <c r="B91" s="10" t="s">
        <v>27</v>
      </c>
      <c r="C91" s="26">
        <v>45446.0</v>
      </c>
      <c r="D91" s="10" t="s">
        <v>39</v>
      </c>
      <c r="E91" s="10" t="s">
        <v>131</v>
      </c>
      <c r="F91" s="27">
        <v>3861.0</v>
      </c>
      <c r="G91" s="27">
        <v>960.0</v>
      </c>
      <c r="H91" s="27">
        <v>101.0</v>
      </c>
      <c r="I91" s="27">
        <v>69498.0</v>
      </c>
      <c r="J91" s="27">
        <v>68817.0</v>
      </c>
      <c r="K91" s="27">
        <v>297.0</v>
      </c>
      <c r="L91" s="28" t="s">
        <v>21</v>
      </c>
      <c r="M91" s="10"/>
      <c r="N91" s="10"/>
      <c r="O91" s="28" t="s">
        <v>375</v>
      </c>
      <c r="P91" s="26">
        <f t="shared" ref="P91:P96" si="32">IFS(
  O91="SummerSplash", DATE(2024,6,15),
  O91="FestiveRadiance", DATE(2024,10,1),
  O91="NewYearRefresh", DATE(2024,12,25),
  O91="DailyWellness", DATE(2025,3,1)
)
</f>
        <v>45717</v>
      </c>
      <c r="Q91" s="26">
        <f t="shared" ref="Q91:Q96" si="33">IFS(
  O91="SummerSplash", DATE(2024,7,15),
  O91="FestiveRadiance", DATE(2024,10,31),
  O91="NewYearRefresh", DATE(2025,1,10),
  O91="DailyWellness", DATE(2025,3,31)
)
</f>
        <v>45747</v>
      </c>
      <c r="R91" s="28" t="str">
        <f t="shared" si="3"/>
        <v>During Campaign</v>
      </c>
      <c r="S91" s="27">
        <f t="shared" si="4"/>
        <v>4922</v>
      </c>
      <c r="T91" s="29">
        <f t="shared" si="5"/>
        <v>0.07082218193</v>
      </c>
    </row>
    <row r="92">
      <c r="A92" s="10" t="s">
        <v>141</v>
      </c>
      <c r="B92" s="10" t="s">
        <v>33</v>
      </c>
      <c r="C92" s="26">
        <v>45740.0</v>
      </c>
      <c r="D92" s="10" t="s">
        <v>39</v>
      </c>
      <c r="E92" s="10" t="s">
        <v>44</v>
      </c>
      <c r="F92" s="27">
        <v>1263.0</v>
      </c>
      <c r="G92" s="27">
        <v>397.0</v>
      </c>
      <c r="H92" s="27">
        <v>357.0</v>
      </c>
      <c r="I92" s="27">
        <v>25260.0</v>
      </c>
      <c r="J92" s="27">
        <v>24615.0</v>
      </c>
      <c r="K92" s="27">
        <v>137.0</v>
      </c>
      <c r="L92" s="28" t="s">
        <v>30</v>
      </c>
      <c r="M92" s="10"/>
      <c r="N92" s="10"/>
      <c r="O92" s="28" t="s">
        <v>375</v>
      </c>
      <c r="P92" s="26">
        <f t="shared" si="32"/>
        <v>45717</v>
      </c>
      <c r="Q92" s="26">
        <f t="shared" si="33"/>
        <v>45747</v>
      </c>
      <c r="R92" s="28" t="str">
        <f t="shared" si="3"/>
        <v>During Campaign</v>
      </c>
      <c r="S92" s="27">
        <f t="shared" si="4"/>
        <v>2017</v>
      </c>
      <c r="T92" s="29">
        <f t="shared" si="5"/>
        <v>0.07984956453</v>
      </c>
    </row>
    <row r="93">
      <c r="A93" s="10" t="s">
        <v>142</v>
      </c>
      <c r="B93" s="10" t="s">
        <v>13</v>
      </c>
      <c r="C93" s="26">
        <v>45586.0</v>
      </c>
      <c r="D93" s="10" t="s">
        <v>28</v>
      </c>
      <c r="E93" s="10" t="s">
        <v>95</v>
      </c>
      <c r="F93" s="27">
        <v>3801.0</v>
      </c>
      <c r="G93" s="27">
        <v>967.0</v>
      </c>
      <c r="H93" s="27">
        <v>401.0</v>
      </c>
      <c r="I93" s="27">
        <v>38010.0</v>
      </c>
      <c r="J93" s="27">
        <v>37625.0</v>
      </c>
      <c r="K93" s="27">
        <v>236.0</v>
      </c>
      <c r="L93" s="28" t="s">
        <v>16</v>
      </c>
      <c r="M93" s="10"/>
      <c r="N93" s="10"/>
      <c r="O93" s="28" t="s">
        <v>372</v>
      </c>
      <c r="P93" s="26">
        <f t="shared" si="32"/>
        <v>45651</v>
      </c>
      <c r="Q93" s="26">
        <f t="shared" si="33"/>
        <v>45667</v>
      </c>
      <c r="R93" s="28" t="str">
        <f t="shared" si="3"/>
        <v>During Campaign</v>
      </c>
      <c r="S93" s="27">
        <f t="shared" si="4"/>
        <v>5169</v>
      </c>
      <c r="T93" s="29">
        <f t="shared" si="5"/>
        <v>0.1359905288</v>
      </c>
    </row>
    <row r="94">
      <c r="A94" s="10" t="s">
        <v>143</v>
      </c>
      <c r="B94" s="10" t="s">
        <v>27</v>
      </c>
      <c r="C94" s="26">
        <v>45637.0</v>
      </c>
      <c r="D94" s="10" t="s">
        <v>53</v>
      </c>
      <c r="E94" s="10" t="s">
        <v>60</v>
      </c>
      <c r="F94" s="27">
        <v>1431.0</v>
      </c>
      <c r="G94" s="27">
        <v>951.0</v>
      </c>
      <c r="H94" s="27">
        <v>26.0</v>
      </c>
      <c r="I94" s="27">
        <v>8586.0</v>
      </c>
      <c r="J94" s="27">
        <v>8396.0</v>
      </c>
      <c r="K94" s="27">
        <v>150.0</v>
      </c>
      <c r="L94" s="28" t="s">
        <v>30</v>
      </c>
      <c r="M94" s="10"/>
      <c r="N94" s="10"/>
      <c r="O94" s="28" t="s">
        <v>372</v>
      </c>
      <c r="P94" s="26">
        <f t="shared" si="32"/>
        <v>45651</v>
      </c>
      <c r="Q94" s="26">
        <f t="shared" si="33"/>
        <v>45667</v>
      </c>
      <c r="R94" s="28" t="str">
        <f t="shared" si="3"/>
        <v>During Campaign</v>
      </c>
      <c r="S94" s="27">
        <f t="shared" si="4"/>
        <v>2408</v>
      </c>
      <c r="T94" s="29">
        <f t="shared" si="5"/>
        <v>0.2804565572</v>
      </c>
    </row>
    <row r="95">
      <c r="A95" s="10" t="s">
        <v>144</v>
      </c>
      <c r="B95" s="10" t="s">
        <v>27</v>
      </c>
      <c r="C95" s="26">
        <v>45603.0</v>
      </c>
      <c r="D95" s="10" t="s">
        <v>39</v>
      </c>
      <c r="E95" s="10" t="s">
        <v>131</v>
      </c>
      <c r="F95" s="27">
        <v>2647.0</v>
      </c>
      <c r="G95" s="27">
        <v>304.0</v>
      </c>
      <c r="H95" s="27">
        <v>170.0</v>
      </c>
      <c r="I95" s="27">
        <v>18529.0</v>
      </c>
      <c r="J95" s="27">
        <v>17841.0</v>
      </c>
      <c r="K95" s="27">
        <v>46.0</v>
      </c>
      <c r="L95" s="28" t="s">
        <v>16</v>
      </c>
      <c r="M95" s="10"/>
      <c r="N95" s="10"/>
      <c r="O95" s="28" t="s">
        <v>372</v>
      </c>
      <c r="P95" s="26">
        <f t="shared" si="32"/>
        <v>45651</v>
      </c>
      <c r="Q95" s="26">
        <f t="shared" si="33"/>
        <v>45667</v>
      </c>
      <c r="R95" s="28" t="str">
        <f t="shared" si="3"/>
        <v>During Campaign</v>
      </c>
      <c r="S95" s="27">
        <f t="shared" si="4"/>
        <v>3121</v>
      </c>
      <c r="T95" s="29">
        <f t="shared" si="5"/>
        <v>0.1684386637</v>
      </c>
    </row>
    <row r="96">
      <c r="A96" s="10" t="s">
        <v>145</v>
      </c>
      <c r="B96" s="10" t="s">
        <v>27</v>
      </c>
      <c r="C96" s="26">
        <v>45604.0</v>
      </c>
      <c r="D96" s="10" t="s">
        <v>19</v>
      </c>
      <c r="E96" s="10" t="s">
        <v>75</v>
      </c>
      <c r="F96" s="27">
        <v>3182.0</v>
      </c>
      <c r="G96" s="27">
        <v>559.0</v>
      </c>
      <c r="H96" s="27">
        <v>160.0</v>
      </c>
      <c r="I96" s="27">
        <v>57276.0</v>
      </c>
      <c r="J96" s="27">
        <v>56890.0</v>
      </c>
      <c r="K96" s="27">
        <v>163.0</v>
      </c>
      <c r="L96" s="28" t="s">
        <v>16</v>
      </c>
      <c r="M96" s="10"/>
      <c r="N96" s="10"/>
      <c r="O96" s="28" t="s">
        <v>375</v>
      </c>
      <c r="P96" s="26">
        <f t="shared" si="32"/>
        <v>45717</v>
      </c>
      <c r="Q96" s="26">
        <f t="shared" si="33"/>
        <v>45747</v>
      </c>
      <c r="R96" s="28" t="str">
        <f t="shared" si="3"/>
        <v>During Campaign</v>
      </c>
      <c r="S96" s="27">
        <f t="shared" si="4"/>
        <v>3901</v>
      </c>
      <c r="T96" s="29">
        <f t="shared" si="5"/>
        <v>0.06810880648</v>
      </c>
    </row>
    <row r="97">
      <c r="A97" s="10" t="s">
        <v>146</v>
      </c>
      <c r="B97" s="10" t="s">
        <v>13</v>
      </c>
      <c r="C97" s="26">
        <v>45545.0</v>
      </c>
      <c r="D97" s="10" t="s">
        <v>39</v>
      </c>
      <c r="E97" s="10" t="s">
        <v>85</v>
      </c>
      <c r="F97" s="27">
        <v>1238.0</v>
      </c>
      <c r="G97" s="27">
        <v>366.0</v>
      </c>
      <c r="H97" s="27">
        <v>444.0</v>
      </c>
      <c r="I97" s="27">
        <v>19808.0</v>
      </c>
      <c r="J97" s="27">
        <v>19334.0</v>
      </c>
      <c r="K97" s="27">
        <v>123.0</v>
      </c>
      <c r="L97" s="28" t="s">
        <v>16</v>
      </c>
      <c r="M97" s="10"/>
      <c r="N97" s="10"/>
      <c r="O97" s="28"/>
      <c r="P97" s="86"/>
      <c r="Q97" s="86"/>
      <c r="R97" s="28" t="str">
        <f t="shared" si="3"/>
        <v>After Campaign</v>
      </c>
      <c r="S97" s="27">
        <f t="shared" si="4"/>
        <v>2048</v>
      </c>
      <c r="T97" s="29">
        <f t="shared" si="5"/>
        <v>0.1033925687</v>
      </c>
    </row>
    <row r="98">
      <c r="A98" s="10" t="s">
        <v>147</v>
      </c>
      <c r="B98" s="10" t="s">
        <v>27</v>
      </c>
      <c r="C98" s="26">
        <v>45517.0</v>
      </c>
      <c r="D98" s="10" t="s">
        <v>39</v>
      </c>
      <c r="E98" s="10" t="s">
        <v>131</v>
      </c>
      <c r="F98" s="27">
        <v>4739.0</v>
      </c>
      <c r="G98" s="27">
        <v>527.0</v>
      </c>
      <c r="H98" s="27">
        <v>135.0</v>
      </c>
      <c r="I98" s="27">
        <v>61607.0</v>
      </c>
      <c r="J98" s="27">
        <v>61333.0</v>
      </c>
      <c r="K98" s="27">
        <v>36.0</v>
      </c>
      <c r="L98" s="28" t="s">
        <v>21</v>
      </c>
      <c r="M98" s="28" t="s">
        <v>17</v>
      </c>
      <c r="N98" s="10"/>
      <c r="O98" s="28" t="s">
        <v>368</v>
      </c>
      <c r="P98" s="26">
        <f t="shared" ref="P98:P100" si="34">IFS(
  O98="SummerSplash", DATE(2024,6,15),
  O98="FestiveRadiance", DATE(2024,10,1),
  O98="NewYearRefresh", DATE(2024,12,25),
  O98="DailyWellness", DATE(2025,3,1)
)
</f>
        <v>45566</v>
      </c>
      <c r="Q98" s="26">
        <f t="shared" ref="Q98:Q100" si="35">IFS(
  O98="SummerSplash", DATE(2024,7,15),
  O98="FestiveRadiance", DATE(2024,10,31),
  O98="NewYearRefresh", DATE(2025,1,10),
  O98="DailyWellness", DATE(2025,3,31)
)
</f>
        <v>45596</v>
      </c>
      <c r="R98" s="28" t="str">
        <f t="shared" si="3"/>
        <v>During Campaign</v>
      </c>
      <c r="S98" s="27">
        <f t="shared" si="4"/>
        <v>5401</v>
      </c>
      <c r="T98" s="29">
        <f t="shared" si="5"/>
        <v>0.08766860909</v>
      </c>
    </row>
    <row r="99">
      <c r="A99" s="10" t="s">
        <v>148</v>
      </c>
      <c r="B99" s="10" t="s">
        <v>13</v>
      </c>
      <c r="C99" s="26">
        <v>45453.0</v>
      </c>
      <c r="D99" s="10" t="s">
        <v>28</v>
      </c>
      <c r="E99" s="10" t="s">
        <v>95</v>
      </c>
      <c r="F99" s="27">
        <v>1575.0</v>
      </c>
      <c r="G99" s="27">
        <v>771.0</v>
      </c>
      <c r="H99" s="27">
        <v>486.0</v>
      </c>
      <c r="I99" s="27">
        <v>25200.0</v>
      </c>
      <c r="J99" s="27">
        <v>24826.0</v>
      </c>
      <c r="K99" s="27">
        <v>17.0</v>
      </c>
      <c r="L99" s="28" t="s">
        <v>16</v>
      </c>
      <c r="M99" s="10"/>
      <c r="N99" s="10"/>
      <c r="O99" s="28" t="s">
        <v>375</v>
      </c>
      <c r="P99" s="26">
        <f t="shared" si="34"/>
        <v>45717</v>
      </c>
      <c r="Q99" s="26">
        <f t="shared" si="35"/>
        <v>45747</v>
      </c>
      <c r="R99" s="28" t="str">
        <f t="shared" si="3"/>
        <v>During Campaign</v>
      </c>
      <c r="S99" s="27">
        <f t="shared" si="4"/>
        <v>2832</v>
      </c>
      <c r="T99" s="29">
        <f t="shared" si="5"/>
        <v>0.1123809524</v>
      </c>
    </row>
    <row r="100">
      <c r="A100" s="10" t="s">
        <v>149</v>
      </c>
      <c r="B100" s="10" t="s">
        <v>24</v>
      </c>
      <c r="C100" s="26">
        <v>45475.0</v>
      </c>
      <c r="D100" s="10" t="s">
        <v>34</v>
      </c>
      <c r="E100" s="10" t="s">
        <v>49</v>
      </c>
      <c r="F100" s="27">
        <v>4171.0</v>
      </c>
      <c r="G100" s="27">
        <v>548.0</v>
      </c>
      <c r="H100" s="27">
        <v>86.0</v>
      </c>
      <c r="I100" s="27">
        <v>66736.0</v>
      </c>
      <c r="J100" s="27">
        <v>66634.0</v>
      </c>
      <c r="K100" s="27">
        <v>173.0</v>
      </c>
      <c r="L100" s="28" t="s">
        <v>16</v>
      </c>
      <c r="M100" s="10"/>
      <c r="N100" s="10"/>
      <c r="O100" s="28" t="s">
        <v>372</v>
      </c>
      <c r="P100" s="26">
        <f t="shared" si="34"/>
        <v>45651</v>
      </c>
      <c r="Q100" s="26">
        <f t="shared" si="35"/>
        <v>45667</v>
      </c>
      <c r="R100" s="28" t="str">
        <f t="shared" si="3"/>
        <v>During Campaign</v>
      </c>
      <c r="S100" s="27">
        <f t="shared" si="4"/>
        <v>4805</v>
      </c>
      <c r="T100" s="29">
        <f t="shared" si="5"/>
        <v>0.07200011988</v>
      </c>
    </row>
    <row r="101">
      <c r="A101" s="10" t="s">
        <v>150</v>
      </c>
      <c r="B101" s="10" t="s">
        <v>24</v>
      </c>
      <c r="C101" s="26">
        <v>45698.0</v>
      </c>
      <c r="D101" s="10" t="s">
        <v>53</v>
      </c>
      <c r="E101" s="10" t="s">
        <v>133</v>
      </c>
      <c r="F101" s="27">
        <v>1766.0</v>
      </c>
      <c r="G101" s="27">
        <v>92.0</v>
      </c>
      <c r="H101" s="27">
        <v>424.0</v>
      </c>
      <c r="I101" s="27">
        <v>24724.0</v>
      </c>
      <c r="J101" s="27">
        <v>24333.0</v>
      </c>
      <c r="K101" s="27">
        <v>52.0</v>
      </c>
      <c r="L101" s="28" t="s">
        <v>30</v>
      </c>
      <c r="M101" s="10"/>
      <c r="N101" s="10"/>
      <c r="O101" s="28"/>
      <c r="P101" s="86"/>
      <c r="Q101" s="86"/>
      <c r="R101" s="28" t="str">
        <f t="shared" si="3"/>
        <v>After Campaign</v>
      </c>
      <c r="S101" s="27">
        <f t="shared" si="4"/>
        <v>2282</v>
      </c>
      <c r="T101" s="29">
        <f t="shared" si="5"/>
        <v>0.09229898075</v>
      </c>
    </row>
    <row r="102">
      <c r="A102" s="10" t="s">
        <v>151</v>
      </c>
      <c r="B102" s="10" t="s">
        <v>24</v>
      </c>
      <c r="C102" s="26">
        <v>45583.0</v>
      </c>
      <c r="D102" s="10" t="s">
        <v>53</v>
      </c>
      <c r="E102" s="10" t="s">
        <v>133</v>
      </c>
      <c r="F102" s="27">
        <v>4450.0</v>
      </c>
      <c r="G102" s="27">
        <v>983.0</v>
      </c>
      <c r="H102" s="27">
        <v>143.0</v>
      </c>
      <c r="I102" s="27">
        <v>75650.0</v>
      </c>
      <c r="J102" s="27">
        <v>75008.0</v>
      </c>
      <c r="K102" s="27">
        <v>12.0</v>
      </c>
      <c r="L102" s="28" t="s">
        <v>16</v>
      </c>
      <c r="M102" s="10"/>
      <c r="N102" s="10"/>
      <c r="O102" s="28" t="s">
        <v>372</v>
      </c>
      <c r="P102" s="26">
        <f t="shared" ref="P102:P107" si="36">IFS(
  O102="SummerSplash", DATE(2024,6,15),
  O102="FestiveRadiance", DATE(2024,10,1),
  O102="NewYearRefresh", DATE(2024,12,25),
  O102="DailyWellness", DATE(2025,3,1)
)
</f>
        <v>45651</v>
      </c>
      <c r="Q102" s="26">
        <f t="shared" ref="Q102:Q107" si="37">IFS(
  O102="SummerSplash", DATE(2024,7,15),
  O102="FestiveRadiance", DATE(2024,10,31),
  O102="NewYearRefresh", DATE(2025,1,10),
  O102="DailyWellness", DATE(2025,3,31)
)
</f>
        <v>45667</v>
      </c>
      <c r="R102" s="28" t="str">
        <f t="shared" si="3"/>
        <v>During Campaign</v>
      </c>
      <c r="S102" s="27">
        <f t="shared" si="4"/>
        <v>5576</v>
      </c>
      <c r="T102" s="29">
        <f t="shared" si="5"/>
        <v>0.07370786517</v>
      </c>
    </row>
    <row r="103">
      <c r="A103" s="10" t="s">
        <v>152</v>
      </c>
      <c r="B103" s="10" t="s">
        <v>13</v>
      </c>
      <c r="C103" s="26">
        <v>45553.0</v>
      </c>
      <c r="D103" s="10" t="s">
        <v>14</v>
      </c>
      <c r="E103" s="10" t="s">
        <v>15</v>
      </c>
      <c r="F103" s="27">
        <v>1000.0</v>
      </c>
      <c r="G103" s="27">
        <v>978.0</v>
      </c>
      <c r="H103" s="27">
        <v>162.0</v>
      </c>
      <c r="I103" s="27">
        <v>6000.0</v>
      </c>
      <c r="J103" s="27">
        <v>5221.0</v>
      </c>
      <c r="K103" s="27">
        <v>223.0</v>
      </c>
      <c r="L103" s="28" t="s">
        <v>30</v>
      </c>
      <c r="M103" s="10"/>
      <c r="N103" s="10"/>
      <c r="O103" s="28" t="s">
        <v>368</v>
      </c>
      <c r="P103" s="26">
        <f t="shared" si="36"/>
        <v>45566</v>
      </c>
      <c r="Q103" s="26">
        <f t="shared" si="37"/>
        <v>45596</v>
      </c>
      <c r="R103" s="28" t="str">
        <f t="shared" si="3"/>
        <v>During Campaign</v>
      </c>
      <c r="S103" s="27">
        <f t="shared" si="4"/>
        <v>2140</v>
      </c>
      <c r="T103" s="29">
        <f t="shared" si="5"/>
        <v>0.3566666667</v>
      </c>
    </row>
    <row r="104">
      <c r="A104" s="10" t="s">
        <v>153</v>
      </c>
      <c r="B104" s="10" t="s">
        <v>33</v>
      </c>
      <c r="C104" s="26">
        <v>45454.0</v>
      </c>
      <c r="D104" s="10" t="s">
        <v>39</v>
      </c>
      <c r="E104" s="10" t="s">
        <v>44</v>
      </c>
      <c r="F104" s="27">
        <v>3689.0</v>
      </c>
      <c r="G104" s="27">
        <v>48.0</v>
      </c>
      <c r="H104" s="27">
        <v>306.0</v>
      </c>
      <c r="I104" s="27">
        <v>40579.0</v>
      </c>
      <c r="J104" s="27">
        <v>39588.0</v>
      </c>
      <c r="K104" s="27">
        <v>212.0</v>
      </c>
      <c r="L104" s="28" t="s">
        <v>30</v>
      </c>
      <c r="M104" s="10"/>
      <c r="N104" s="10"/>
      <c r="O104" s="28" t="s">
        <v>368</v>
      </c>
      <c r="P104" s="26">
        <f t="shared" si="36"/>
        <v>45566</v>
      </c>
      <c r="Q104" s="26">
        <f t="shared" si="37"/>
        <v>45596</v>
      </c>
      <c r="R104" s="28" t="str">
        <f t="shared" si="3"/>
        <v>During Campaign</v>
      </c>
      <c r="S104" s="27">
        <f t="shared" si="4"/>
        <v>4043</v>
      </c>
      <c r="T104" s="29">
        <f t="shared" si="5"/>
        <v>0.099632815</v>
      </c>
    </row>
    <row r="105">
      <c r="A105" s="10" t="s">
        <v>154</v>
      </c>
      <c r="B105" s="10" t="s">
        <v>24</v>
      </c>
      <c r="C105" s="26">
        <v>45739.0</v>
      </c>
      <c r="D105" s="10" t="s">
        <v>28</v>
      </c>
      <c r="E105" s="10" t="s">
        <v>98</v>
      </c>
      <c r="F105" s="27">
        <v>3655.0</v>
      </c>
      <c r="G105" s="27">
        <v>568.0</v>
      </c>
      <c r="H105" s="27">
        <v>286.0</v>
      </c>
      <c r="I105" s="27">
        <v>32895.0</v>
      </c>
      <c r="J105" s="27">
        <v>32015.0</v>
      </c>
      <c r="K105" s="27">
        <v>199.0</v>
      </c>
      <c r="L105" s="28" t="s">
        <v>21</v>
      </c>
      <c r="M105" s="10"/>
      <c r="N105" s="10"/>
      <c r="O105" s="28" t="s">
        <v>372</v>
      </c>
      <c r="P105" s="26">
        <f t="shared" si="36"/>
        <v>45651</v>
      </c>
      <c r="Q105" s="26">
        <f t="shared" si="37"/>
        <v>45667</v>
      </c>
      <c r="R105" s="28" t="str">
        <f t="shared" si="3"/>
        <v>During Campaign</v>
      </c>
      <c r="S105" s="27">
        <f t="shared" si="4"/>
        <v>4509</v>
      </c>
      <c r="T105" s="29">
        <f t="shared" si="5"/>
        <v>0.1370725034</v>
      </c>
    </row>
    <row r="106">
      <c r="A106" s="10" t="s">
        <v>155</v>
      </c>
      <c r="B106" s="10" t="s">
        <v>27</v>
      </c>
      <c r="C106" s="26">
        <v>45457.0</v>
      </c>
      <c r="D106" s="10" t="s">
        <v>34</v>
      </c>
      <c r="E106" s="10" t="s">
        <v>62</v>
      </c>
      <c r="F106" s="27">
        <v>498.0</v>
      </c>
      <c r="G106" s="27">
        <v>38.0</v>
      </c>
      <c r="H106" s="27">
        <v>42.0</v>
      </c>
      <c r="I106" s="27">
        <v>4482.0</v>
      </c>
      <c r="J106" s="27">
        <v>3647.0</v>
      </c>
      <c r="K106" s="27">
        <v>32.0</v>
      </c>
      <c r="L106" s="28" t="s">
        <v>16</v>
      </c>
      <c r="M106" s="10"/>
      <c r="N106" s="10"/>
      <c r="O106" s="28" t="s">
        <v>365</v>
      </c>
      <c r="P106" s="26">
        <f t="shared" si="36"/>
        <v>45458</v>
      </c>
      <c r="Q106" s="26">
        <f t="shared" si="37"/>
        <v>45488</v>
      </c>
      <c r="R106" s="28" t="str">
        <f t="shared" si="3"/>
        <v>During Campaign</v>
      </c>
      <c r="S106" s="27">
        <f t="shared" si="4"/>
        <v>578</v>
      </c>
      <c r="T106" s="29">
        <f t="shared" si="5"/>
        <v>0.1289602856</v>
      </c>
    </row>
    <row r="107">
      <c r="A107" s="10" t="s">
        <v>156</v>
      </c>
      <c r="B107" s="10" t="s">
        <v>27</v>
      </c>
      <c r="C107" s="26">
        <v>45692.0</v>
      </c>
      <c r="D107" s="10" t="s">
        <v>39</v>
      </c>
      <c r="E107" s="10" t="s">
        <v>131</v>
      </c>
      <c r="F107" s="27">
        <v>4619.0</v>
      </c>
      <c r="G107" s="27">
        <v>821.0</v>
      </c>
      <c r="H107" s="27">
        <v>499.0</v>
      </c>
      <c r="I107" s="27">
        <v>69285.0</v>
      </c>
      <c r="J107" s="27">
        <v>69141.0</v>
      </c>
      <c r="K107" s="27">
        <v>298.0</v>
      </c>
      <c r="L107" s="28" t="s">
        <v>21</v>
      </c>
      <c r="M107" s="10"/>
      <c r="N107" s="10"/>
      <c r="O107" s="28" t="s">
        <v>375</v>
      </c>
      <c r="P107" s="26">
        <f t="shared" si="36"/>
        <v>45717</v>
      </c>
      <c r="Q107" s="26">
        <f t="shared" si="37"/>
        <v>45747</v>
      </c>
      <c r="R107" s="28" t="str">
        <f t="shared" si="3"/>
        <v>During Campaign</v>
      </c>
      <c r="S107" s="27">
        <f t="shared" si="4"/>
        <v>5939</v>
      </c>
      <c r="T107" s="29">
        <f t="shared" si="5"/>
        <v>0.08571840947</v>
      </c>
    </row>
    <row r="108">
      <c r="A108" s="10" t="s">
        <v>157</v>
      </c>
      <c r="B108" s="10" t="s">
        <v>24</v>
      </c>
      <c r="C108" s="26">
        <v>45464.0</v>
      </c>
      <c r="D108" s="10" t="s">
        <v>39</v>
      </c>
      <c r="E108" s="10" t="s">
        <v>40</v>
      </c>
      <c r="F108" s="27">
        <v>4832.0</v>
      </c>
      <c r="G108" s="27">
        <v>893.0</v>
      </c>
      <c r="H108" s="27">
        <v>10.0</v>
      </c>
      <c r="I108" s="27">
        <v>91808.0</v>
      </c>
      <c r="J108" s="27">
        <v>91296.0</v>
      </c>
      <c r="K108" s="27">
        <v>182.0</v>
      </c>
      <c r="L108" s="28" t="s">
        <v>21</v>
      </c>
      <c r="M108" s="10"/>
      <c r="N108" s="10"/>
      <c r="O108" s="28"/>
      <c r="P108" s="86"/>
      <c r="Q108" s="86"/>
      <c r="R108" s="28" t="str">
        <f t="shared" si="3"/>
        <v>After Campaign</v>
      </c>
      <c r="S108" s="27">
        <f t="shared" si="4"/>
        <v>5735</v>
      </c>
      <c r="T108" s="29">
        <f t="shared" si="5"/>
        <v>0.06246732311</v>
      </c>
    </row>
    <row r="109">
      <c r="A109" s="10" t="s">
        <v>158</v>
      </c>
      <c r="B109" s="10" t="s">
        <v>13</v>
      </c>
      <c r="C109" s="26">
        <v>45741.0</v>
      </c>
      <c r="D109" s="10" t="s">
        <v>53</v>
      </c>
      <c r="E109" s="10" t="s">
        <v>92</v>
      </c>
      <c r="F109" s="27">
        <v>4050.0</v>
      </c>
      <c r="G109" s="27">
        <v>871.0</v>
      </c>
      <c r="H109" s="27">
        <v>347.0</v>
      </c>
      <c r="I109" s="27">
        <v>52650.0</v>
      </c>
      <c r="J109" s="27">
        <v>51755.0</v>
      </c>
      <c r="K109" s="27">
        <v>209.0</v>
      </c>
      <c r="L109" s="28" t="s">
        <v>21</v>
      </c>
      <c r="M109" s="10"/>
      <c r="N109" s="10"/>
      <c r="O109" s="28" t="s">
        <v>368</v>
      </c>
      <c r="P109" s="26">
        <f t="shared" ref="P109:P116" si="38">IFS(
  O109="SummerSplash", DATE(2024,6,15),
  O109="FestiveRadiance", DATE(2024,10,1),
  O109="NewYearRefresh", DATE(2024,12,25),
  O109="DailyWellness", DATE(2025,3,1)
)
</f>
        <v>45566</v>
      </c>
      <c r="Q109" s="26">
        <f t="shared" ref="Q109:Q116" si="39">IFS(
  O109="SummerSplash", DATE(2024,7,15),
  O109="FestiveRadiance", DATE(2024,10,31),
  O109="NewYearRefresh", DATE(2025,1,10),
  O109="DailyWellness", DATE(2025,3,31)
)
</f>
        <v>45596</v>
      </c>
      <c r="R109" s="28" t="str">
        <f t="shared" si="3"/>
        <v>During Campaign</v>
      </c>
      <c r="S109" s="27">
        <f t="shared" si="4"/>
        <v>5268</v>
      </c>
      <c r="T109" s="29">
        <f t="shared" si="5"/>
        <v>0.1000569801</v>
      </c>
    </row>
    <row r="110">
      <c r="A110" s="10" t="s">
        <v>159</v>
      </c>
      <c r="B110" s="10" t="s">
        <v>13</v>
      </c>
      <c r="C110" s="26">
        <v>45512.0</v>
      </c>
      <c r="D110" s="10" t="s">
        <v>28</v>
      </c>
      <c r="E110" s="10" t="s">
        <v>95</v>
      </c>
      <c r="F110" s="27">
        <v>3649.0</v>
      </c>
      <c r="G110" s="27">
        <v>215.0</v>
      </c>
      <c r="H110" s="27">
        <v>413.0</v>
      </c>
      <c r="I110" s="27">
        <v>25543.0</v>
      </c>
      <c r="J110" s="27">
        <v>24963.0</v>
      </c>
      <c r="K110" s="27">
        <v>167.0</v>
      </c>
      <c r="L110" s="28" t="s">
        <v>16</v>
      </c>
      <c r="M110" s="10"/>
      <c r="N110" s="10"/>
      <c r="O110" s="28" t="s">
        <v>372</v>
      </c>
      <c r="P110" s="26">
        <f t="shared" si="38"/>
        <v>45651</v>
      </c>
      <c r="Q110" s="26">
        <f t="shared" si="39"/>
        <v>45667</v>
      </c>
      <c r="R110" s="28" t="str">
        <f t="shared" si="3"/>
        <v>During Campaign</v>
      </c>
      <c r="S110" s="27">
        <f t="shared" si="4"/>
        <v>4277</v>
      </c>
      <c r="T110" s="29">
        <f t="shared" si="5"/>
        <v>0.1674431351</v>
      </c>
    </row>
    <row r="111">
      <c r="A111" s="10" t="s">
        <v>160</v>
      </c>
      <c r="B111" s="10" t="s">
        <v>27</v>
      </c>
      <c r="C111" s="26">
        <v>45502.0</v>
      </c>
      <c r="D111" s="10" t="s">
        <v>14</v>
      </c>
      <c r="E111" s="10" t="s">
        <v>58</v>
      </c>
      <c r="F111" s="27">
        <v>3523.0</v>
      </c>
      <c r="G111" s="27">
        <v>753.0</v>
      </c>
      <c r="H111" s="27">
        <v>482.0</v>
      </c>
      <c r="I111" s="27">
        <v>38753.0</v>
      </c>
      <c r="J111" s="27">
        <v>38579.0</v>
      </c>
      <c r="K111" s="27">
        <v>270.0</v>
      </c>
      <c r="L111" s="28" t="s">
        <v>30</v>
      </c>
      <c r="M111" s="10"/>
      <c r="N111" s="10"/>
      <c r="O111" s="28" t="s">
        <v>368</v>
      </c>
      <c r="P111" s="26">
        <f t="shared" si="38"/>
        <v>45566</v>
      </c>
      <c r="Q111" s="26">
        <f t="shared" si="39"/>
        <v>45596</v>
      </c>
      <c r="R111" s="28" t="str">
        <f t="shared" si="3"/>
        <v>During Campaign</v>
      </c>
      <c r="S111" s="27">
        <f t="shared" si="4"/>
        <v>4758</v>
      </c>
      <c r="T111" s="29">
        <f t="shared" si="5"/>
        <v>0.1227775914</v>
      </c>
    </row>
    <row r="112">
      <c r="A112" s="10" t="s">
        <v>161</v>
      </c>
      <c r="B112" s="10" t="s">
        <v>24</v>
      </c>
      <c r="C112" s="26">
        <v>45619.0</v>
      </c>
      <c r="D112" s="10" t="s">
        <v>39</v>
      </c>
      <c r="E112" s="10" t="s">
        <v>40</v>
      </c>
      <c r="F112" s="27">
        <v>2719.0</v>
      </c>
      <c r="G112" s="27">
        <v>17.0</v>
      </c>
      <c r="H112" s="27">
        <v>285.0</v>
      </c>
      <c r="I112" s="27">
        <v>40785.0</v>
      </c>
      <c r="J112" s="27">
        <v>40281.0</v>
      </c>
      <c r="K112" s="27">
        <v>40.0</v>
      </c>
      <c r="L112" s="28" t="s">
        <v>21</v>
      </c>
      <c r="M112" s="10"/>
      <c r="N112" s="10"/>
      <c r="O112" s="28" t="s">
        <v>368</v>
      </c>
      <c r="P112" s="26">
        <f t="shared" si="38"/>
        <v>45566</v>
      </c>
      <c r="Q112" s="26">
        <f t="shared" si="39"/>
        <v>45596</v>
      </c>
      <c r="R112" s="28" t="str">
        <f t="shared" si="3"/>
        <v>During Campaign</v>
      </c>
      <c r="S112" s="27">
        <f t="shared" si="4"/>
        <v>3021</v>
      </c>
      <c r="T112" s="29">
        <f t="shared" si="5"/>
        <v>0.07407134976</v>
      </c>
    </row>
    <row r="113">
      <c r="A113" s="10" t="s">
        <v>162</v>
      </c>
      <c r="B113" s="10" t="s">
        <v>13</v>
      </c>
      <c r="C113" s="26">
        <v>45570.0</v>
      </c>
      <c r="D113" s="10" t="s">
        <v>28</v>
      </c>
      <c r="E113" s="10" t="s">
        <v>95</v>
      </c>
      <c r="F113" s="27">
        <v>1957.0</v>
      </c>
      <c r="G113" s="27">
        <v>877.0</v>
      </c>
      <c r="H113" s="27">
        <v>238.0</v>
      </c>
      <c r="I113" s="27">
        <v>17613.0</v>
      </c>
      <c r="J113" s="27">
        <v>16865.0</v>
      </c>
      <c r="K113" s="27">
        <v>297.0</v>
      </c>
      <c r="L113" s="28" t="s">
        <v>16</v>
      </c>
      <c r="M113" s="10"/>
      <c r="N113" s="10"/>
      <c r="O113" s="28" t="s">
        <v>372</v>
      </c>
      <c r="P113" s="26">
        <f t="shared" si="38"/>
        <v>45651</v>
      </c>
      <c r="Q113" s="26">
        <f t="shared" si="39"/>
        <v>45667</v>
      </c>
      <c r="R113" s="28" t="str">
        <f t="shared" si="3"/>
        <v>During Campaign</v>
      </c>
      <c r="S113" s="27">
        <f t="shared" si="4"/>
        <v>3072</v>
      </c>
      <c r="T113" s="29">
        <f t="shared" si="5"/>
        <v>0.1744166241</v>
      </c>
    </row>
    <row r="114">
      <c r="A114" s="10" t="s">
        <v>163</v>
      </c>
      <c r="B114" s="10" t="s">
        <v>13</v>
      </c>
      <c r="C114" s="26">
        <v>45567.0</v>
      </c>
      <c r="D114" s="10" t="s">
        <v>34</v>
      </c>
      <c r="E114" s="10" t="s">
        <v>37</v>
      </c>
      <c r="F114" s="27">
        <v>4419.0</v>
      </c>
      <c r="G114" s="27">
        <v>236.0</v>
      </c>
      <c r="H114" s="27">
        <v>369.0</v>
      </c>
      <c r="I114" s="27">
        <v>44190.0</v>
      </c>
      <c r="J114" s="27">
        <v>43582.0</v>
      </c>
      <c r="K114" s="27">
        <v>10.0</v>
      </c>
      <c r="L114" s="28" t="s">
        <v>30</v>
      </c>
      <c r="M114" s="10"/>
      <c r="N114" s="10"/>
      <c r="O114" s="28" t="s">
        <v>365</v>
      </c>
      <c r="P114" s="26">
        <f t="shared" si="38"/>
        <v>45458</v>
      </c>
      <c r="Q114" s="26">
        <f t="shared" si="39"/>
        <v>45488</v>
      </c>
      <c r="R114" s="28" t="str">
        <f t="shared" si="3"/>
        <v>During Campaign</v>
      </c>
      <c r="S114" s="27">
        <f t="shared" si="4"/>
        <v>5024</v>
      </c>
      <c r="T114" s="29">
        <f t="shared" si="5"/>
        <v>0.1136908803</v>
      </c>
    </row>
    <row r="115">
      <c r="A115" s="10" t="s">
        <v>164</v>
      </c>
      <c r="B115" s="10" t="s">
        <v>13</v>
      </c>
      <c r="C115" s="26">
        <v>45610.0</v>
      </c>
      <c r="D115" s="10" t="s">
        <v>28</v>
      </c>
      <c r="E115" s="10" t="s">
        <v>95</v>
      </c>
      <c r="F115" s="27">
        <v>4000.0</v>
      </c>
      <c r="G115" s="27">
        <v>689.0</v>
      </c>
      <c r="H115" s="27">
        <v>488.0</v>
      </c>
      <c r="I115" s="27">
        <v>40000.0</v>
      </c>
      <c r="J115" s="27">
        <v>39569.0</v>
      </c>
      <c r="K115" s="27">
        <v>44.0</v>
      </c>
      <c r="L115" s="28" t="s">
        <v>16</v>
      </c>
      <c r="M115" s="10"/>
      <c r="N115" s="10"/>
      <c r="O115" s="28" t="s">
        <v>365</v>
      </c>
      <c r="P115" s="26">
        <f t="shared" si="38"/>
        <v>45458</v>
      </c>
      <c r="Q115" s="26">
        <f t="shared" si="39"/>
        <v>45488</v>
      </c>
      <c r="R115" s="28" t="str">
        <f t="shared" si="3"/>
        <v>During Campaign</v>
      </c>
      <c r="S115" s="27">
        <f t="shared" si="4"/>
        <v>5177</v>
      </c>
      <c r="T115" s="29">
        <f t="shared" si="5"/>
        <v>0.129425</v>
      </c>
    </row>
    <row r="116">
      <c r="A116" s="10" t="s">
        <v>165</v>
      </c>
      <c r="B116" s="10" t="s">
        <v>13</v>
      </c>
      <c r="C116" s="26">
        <v>45788.0</v>
      </c>
      <c r="D116" s="10" t="s">
        <v>39</v>
      </c>
      <c r="E116" s="10" t="s">
        <v>85</v>
      </c>
      <c r="F116" s="27">
        <v>2493.0</v>
      </c>
      <c r="G116" s="27">
        <v>97.0</v>
      </c>
      <c r="H116" s="27">
        <v>44.0</v>
      </c>
      <c r="I116" s="27">
        <v>42381.0</v>
      </c>
      <c r="J116" s="27">
        <v>41991.0</v>
      </c>
      <c r="K116" s="27">
        <v>242.0</v>
      </c>
      <c r="L116" s="28" t="s">
        <v>21</v>
      </c>
      <c r="M116" s="28" t="s">
        <v>17</v>
      </c>
      <c r="N116" s="10"/>
      <c r="O116" s="28" t="s">
        <v>375</v>
      </c>
      <c r="P116" s="26">
        <f t="shared" si="38"/>
        <v>45717</v>
      </c>
      <c r="Q116" s="26">
        <f t="shared" si="39"/>
        <v>45747</v>
      </c>
      <c r="R116" s="28" t="str">
        <f t="shared" si="3"/>
        <v>During Campaign</v>
      </c>
      <c r="S116" s="27">
        <f t="shared" si="4"/>
        <v>2634</v>
      </c>
      <c r="T116" s="29">
        <f t="shared" si="5"/>
        <v>0.06215049197</v>
      </c>
    </row>
    <row r="117">
      <c r="A117" s="10" t="s">
        <v>166</v>
      </c>
      <c r="B117" s="10" t="s">
        <v>24</v>
      </c>
      <c r="C117" s="26">
        <v>45734.0</v>
      </c>
      <c r="D117" s="10" t="s">
        <v>14</v>
      </c>
      <c r="E117" s="10" t="s">
        <v>25</v>
      </c>
      <c r="F117" s="27">
        <v>3704.0</v>
      </c>
      <c r="G117" s="27">
        <v>186.0</v>
      </c>
      <c r="H117" s="27">
        <v>458.0</v>
      </c>
      <c r="I117" s="27">
        <v>25928.0</v>
      </c>
      <c r="J117" s="27">
        <v>25081.0</v>
      </c>
      <c r="K117" s="27">
        <v>131.0</v>
      </c>
      <c r="L117" s="28" t="s">
        <v>21</v>
      </c>
      <c r="M117" s="10"/>
      <c r="N117" s="10"/>
      <c r="O117" s="28"/>
      <c r="P117" s="86"/>
      <c r="Q117" s="86"/>
      <c r="R117" s="28" t="str">
        <f t="shared" si="3"/>
        <v>After Campaign</v>
      </c>
      <c r="S117" s="27">
        <f t="shared" si="4"/>
        <v>4348</v>
      </c>
      <c r="T117" s="29">
        <f t="shared" si="5"/>
        <v>0.1676951558</v>
      </c>
    </row>
    <row r="118">
      <c r="A118" s="10" t="s">
        <v>167</v>
      </c>
      <c r="B118" s="10" t="s">
        <v>13</v>
      </c>
      <c r="C118" s="26">
        <v>45600.0</v>
      </c>
      <c r="D118" s="10" t="s">
        <v>39</v>
      </c>
      <c r="E118" s="10" t="s">
        <v>85</v>
      </c>
      <c r="F118" s="27">
        <v>1606.0</v>
      </c>
      <c r="G118" s="27">
        <v>451.0</v>
      </c>
      <c r="H118" s="27">
        <v>405.0</v>
      </c>
      <c r="I118" s="27">
        <v>20878.0</v>
      </c>
      <c r="J118" s="27">
        <v>20190.0</v>
      </c>
      <c r="K118" s="27">
        <v>219.0</v>
      </c>
      <c r="L118" s="28" t="s">
        <v>30</v>
      </c>
      <c r="M118" s="10"/>
      <c r="N118" s="10"/>
      <c r="O118" s="28" t="s">
        <v>375</v>
      </c>
      <c r="P118" s="26">
        <f t="shared" ref="P118:P119" si="40">IFS(
  O118="SummerSplash", DATE(2024,6,15),
  O118="FestiveRadiance", DATE(2024,10,1),
  O118="NewYearRefresh", DATE(2024,12,25),
  O118="DailyWellness", DATE(2025,3,1)
)
</f>
        <v>45717</v>
      </c>
      <c r="Q118" s="26">
        <f t="shared" ref="Q118:Q119" si="41">IFS(
  O118="SummerSplash", DATE(2024,7,15),
  O118="FestiveRadiance", DATE(2024,10,31),
  O118="NewYearRefresh", DATE(2025,1,10),
  O118="DailyWellness", DATE(2025,3,31)
)
</f>
        <v>45747</v>
      </c>
      <c r="R118" s="28" t="str">
        <f t="shared" si="3"/>
        <v>During Campaign</v>
      </c>
      <c r="S118" s="27">
        <f t="shared" si="4"/>
        <v>2462</v>
      </c>
      <c r="T118" s="29">
        <f t="shared" si="5"/>
        <v>0.1179231727</v>
      </c>
    </row>
    <row r="119">
      <c r="A119" s="10" t="s">
        <v>168</v>
      </c>
      <c r="B119" s="10" t="s">
        <v>33</v>
      </c>
      <c r="C119" s="26">
        <v>45600.0</v>
      </c>
      <c r="D119" s="10" t="s">
        <v>39</v>
      </c>
      <c r="E119" s="10" t="s">
        <v>44</v>
      </c>
      <c r="F119" s="27">
        <v>4551.0</v>
      </c>
      <c r="G119" s="27">
        <v>714.0</v>
      </c>
      <c r="H119" s="27">
        <v>207.0</v>
      </c>
      <c r="I119" s="27">
        <v>68265.0</v>
      </c>
      <c r="J119" s="27">
        <v>67754.0</v>
      </c>
      <c r="K119" s="27">
        <v>57.0</v>
      </c>
      <c r="L119" s="28" t="s">
        <v>16</v>
      </c>
      <c r="M119" s="10"/>
      <c r="N119" s="10"/>
      <c r="O119" s="28" t="s">
        <v>372</v>
      </c>
      <c r="P119" s="26">
        <f t="shared" si="40"/>
        <v>45651</v>
      </c>
      <c r="Q119" s="26">
        <f t="shared" si="41"/>
        <v>45667</v>
      </c>
      <c r="R119" s="28" t="str">
        <f t="shared" si="3"/>
        <v>During Campaign</v>
      </c>
      <c r="S119" s="27">
        <f t="shared" si="4"/>
        <v>5472</v>
      </c>
      <c r="T119" s="29">
        <f t="shared" si="5"/>
        <v>0.08015820699</v>
      </c>
    </row>
    <row r="120">
      <c r="A120" s="10" t="s">
        <v>169</v>
      </c>
      <c r="B120" s="10" t="s">
        <v>27</v>
      </c>
      <c r="C120" s="26">
        <v>45695.0</v>
      </c>
      <c r="D120" s="10" t="s">
        <v>14</v>
      </c>
      <c r="E120" s="10" t="s">
        <v>58</v>
      </c>
      <c r="F120" s="27">
        <v>1970.0</v>
      </c>
      <c r="G120" s="27">
        <v>675.0</v>
      </c>
      <c r="H120" s="27">
        <v>478.0</v>
      </c>
      <c r="I120" s="27">
        <v>9850.0</v>
      </c>
      <c r="J120" s="27">
        <v>8924.0</v>
      </c>
      <c r="K120" s="27">
        <v>117.0</v>
      </c>
      <c r="L120" s="28" t="s">
        <v>16</v>
      </c>
      <c r="M120" s="10"/>
      <c r="N120" s="10"/>
      <c r="O120" s="28"/>
      <c r="P120" s="86"/>
      <c r="Q120" s="86"/>
      <c r="R120" s="28" t="str">
        <f t="shared" si="3"/>
        <v>After Campaign</v>
      </c>
      <c r="S120" s="27">
        <f t="shared" si="4"/>
        <v>3123</v>
      </c>
      <c r="T120" s="29">
        <f t="shared" si="5"/>
        <v>0.3170558376</v>
      </c>
    </row>
    <row r="121">
      <c r="A121" s="10" t="s">
        <v>170</v>
      </c>
      <c r="B121" s="10" t="s">
        <v>33</v>
      </c>
      <c r="C121" s="26">
        <v>45586.0</v>
      </c>
      <c r="D121" s="10" t="s">
        <v>28</v>
      </c>
      <c r="E121" s="10" t="s">
        <v>51</v>
      </c>
      <c r="F121" s="27">
        <v>780.0</v>
      </c>
      <c r="G121" s="27">
        <v>928.0</v>
      </c>
      <c r="H121" s="27">
        <v>301.0</v>
      </c>
      <c r="I121" s="27">
        <v>8580.0</v>
      </c>
      <c r="J121" s="27">
        <v>8081.0</v>
      </c>
      <c r="K121" s="27">
        <v>91.0</v>
      </c>
      <c r="L121" s="28" t="s">
        <v>30</v>
      </c>
      <c r="M121" s="10"/>
      <c r="N121" s="10"/>
      <c r="O121" s="28" t="s">
        <v>372</v>
      </c>
      <c r="P121" s="26">
        <f>IFS(
  O121="SummerSplash", DATE(2024,6,15),
  O121="FestiveRadiance", DATE(2024,10,1),
  O121="NewYearRefresh", DATE(2024,12,25),
  O121="DailyWellness", DATE(2025,3,1)
)
</f>
        <v>45651</v>
      </c>
      <c r="Q121" s="26">
        <f>IFS(
  O121="SummerSplash", DATE(2024,7,15),
  O121="FestiveRadiance", DATE(2024,10,31),
  O121="NewYearRefresh", DATE(2025,1,10),
  O121="DailyWellness", DATE(2025,3,31)
)
</f>
        <v>45667</v>
      </c>
      <c r="R121" s="28" t="str">
        <f t="shared" si="3"/>
        <v>During Campaign</v>
      </c>
      <c r="S121" s="27">
        <f t="shared" si="4"/>
        <v>2009</v>
      </c>
      <c r="T121" s="29">
        <f t="shared" si="5"/>
        <v>0.2341491841</v>
      </c>
    </row>
    <row r="122">
      <c r="A122" s="10" t="s">
        <v>171</v>
      </c>
      <c r="B122" s="10" t="s">
        <v>27</v>
      </c>
      <c r="C122" s="26">
        <v>45502.0</v>
      </c>
      <c r="D122" s="10" t="s">
        <v>28</v>
      </c>
      <c r="E122" s="10" t="s">
        <v>29</v>
      </c>
      <c r="F122" s="27">
        <v>498.0</v>
      </c>
      <c r="G122" s="27">
        <v>701.0</v>
      </c>
      <c r="H122" s="27">
        <v>412.0</v>
      </c>
      <c r="I122" s="27">
        <v>4980.0</v>
      </c>
      <c r="J122" s="27">
        <v>4185.0</v>
      </c>
      <c r="K122" s="27">
        <v>185.0</v>
      </c>
      <c r="L122" s="28" t="s">
        <v>16</v>
      </c>
      <c r="M122" s="10"/>
      <c r="N122" s="10"/>
      <c r="O122" s="28"/>
      <c r="P122" s="86"/>
      <c r="Q122" s="86"/>
      <c r="R122" s="28" t="str">
        <f t="shared" si="3"/>
        <v>After Campaign</v>
      </c>
      <c r="S122" s="27">
        <f t="shared" si="4"/>
        <v>1611</v>
      </c>
      <c r="T122" s="29">
        <f t="shared" si="5"/>
        <v>0.3234939759</v>
      </c>
    </row>
    <row r="123">
      <c r="A123" s="10" t="s">
        <v>172</v>
      </c>
      <c r="B123" s="10" t="s">
        <v>27</v>
      </c>
      <c r="C123" s="26">
        <v>45567.0</v>
      </c>
      <c r="D123" s="10" t="s">
        <v>19</v>
      </c>
      <c r="E123" s="10" t="s">
        <v>75</v>
      </c>
      <c r="F123" s="27">
        <v>3432.0</v>
      </c>
      <c r="G123" s="27">
        <v>869.0</v>
      </c>
      <c r="H123" s="27">
        <v>123.0</v>
      </c>
      <c r="I123" s="27">
        <v>54912.0</v>
      </c>
      <c r="J123" s="27">
        <v>53916.0</v>
      </c>
      <c r="K123" s="27">
        <v>264.0</v>
      </c>
      <c r="L123" s="28" t="s">
        <v>30</v>
      </c>
      <c r="M123" s="10"/>
      <c r="N123" s="10"/>
      <c r="O123" s="28" t="s">
        <v>368</v>
      </c>
      <c r="P123" s="26">
        <f t="shared" ref="P123:P126" si="42">IFS(
  O123="SummerSplash", DATE(2024,6,15),
  O123="FestiveRadiance", DATE(2024,10,1),
  O123="NewYearRefresh", DATE(2024,12,25),
  O123="DailyWellness", DATE(2025,3,1)
)
</f>
        <v>45566</v>
      </c>
      <c r="Q123" s="26">
        <f t="shared" ref="Q123:Q126" si="43">IFS(
  O123="SummerSplash", DATE(2024,7,15),
  O123="FestiveRadiance", DATE(2024,10,31),
  O123="NewYearRefresh", DATE(2025,1,10),
  O123="DailyWellness", DATE(2025,3,31)
)
</f>
        <v>45596</v>
      </c>
      <c r="R123" s="28" t="str">
        <f t="shared" si="3"/>
        <v>During Campaign</v>
      </c>
      <c r="S123" s="27">
        <f t="shared" si="4"/>
        <v>4424</v>
      </c>
      <c r="T123" s="29">
        <f t="shared" si="5"/>
        <v>0.08056526807</v>
      </c>
    </row>
    <row r="124">
      <c r="A124" s="10" t="s">
        <v>173</v>
      </c>
      <c r="B124" s="10" t="s">
        <v>27</v>
      </c>
      <c r="C124" s="26">
        <v>45457.0</v>
      </c>
      <c r="D124" s="10" t="s">
        <v>28</v>
      </c>
      <c r="E124" s="10" t="s">
        <v>29</v>
      </c>
      <c r="F124" s="27">
        <v>4363.0</v>
      </c>
      <c r="G124" s="27">
        <v>649.0</v>
      </c>
      <c r="H124" s="27">
        <v>140.0</v>
      </c>
      <c r="I124" s="27">
        <v>21815.0</v>
      </c>
      <c r="J124" s="27">
        <v>21481.0</v>
      </c>
      <c r="K124" s="27">
        <v>157.0</v>
      </c>
      <c r="L124" s="28" t="s">
        <v>30</v>
      </c>
      <c r="M124" s="10"/>
      <c r="N124" s="10"/>
      <c r="O124" s="28" t="s">
        <v>365</v>
      </c>
      <c r="P124" s="26">
        <f t="shared" si="42"/>
        <v>45458</v>
      </c>
      <c r="Q124" s="26">
        <f t="shared" si="43"/>
        <v>45488</v>
      </c>
      <c r="R124" s="28" t="str">
        <f t="shared" si="3"/>
        <v>During Campaign</v>
      </c>
      <c r="S124" s="27">
        <f t="shared" si="4"/>
        <v>5152</v>
      </c>
      <c r="T124" s="29">
        <f t="shared" si="5"/>
        <v>0.2361677745</v>
      </c>
    </row>
    <row r="125">
      <c r="A125" s="10" t="s">
        <v>174</v>
      </c>
      <c r="B125" s="10" t="s">
        <v>24</v>
      </c>
      <c r="C125" s="26">
        <v>45753.0</v>
      </c>
      <c r="D125" s="10" t="s">
        <v>34</v>
      </c>
      <c r="E125" s="10" t="s">
        <v>49</v>
      </c>
      <c r="F125" s="27">
        <v>736.0</v>
      </c>
      <c r="G125" s="27">
        <v>771.0</v>
      </c>
      <c r="H125" s="27">
        <v>225.0</v>
      </c>
      <c r="I125" s="27">
        <v>5152.0</v>
      </c>
      <c r="J125" s="27">
        <v>4706.0</v>
      </c>
      <c r="K125" s="27">
        <v>19.0</v>
      </c>
      <c r="L125" s="28" t="s">
        <v>30</v>
      </c>
      <c r="M125" s="10"/>
      <c r="N125" s="10"/>
      <c r="O125" s="28" t="s">
        <v>365</v>
      </c>
      <c r="P125" s="26">
        <f t="shared" si="42"/>
        <v>45458</v>
      </c>
      <c r="Q125" s="26">
        <f t="shared" si="43"/>
        <v>45488</v>
      </c>
      <c r="R125" s="28" t="str">
        <f t="shared" si="3"/>
        <v>During Campaign</v>
      </c>
      <c r="S125" s="27">
        <f t="shared" si="4"/>
        <v>1732</v>
      </c>
      <c r="T125" s="29">
        <f t="shared" si="5"/>
        <v>0.3361801242</v>
      </c>
    </row>
    <row r="126">
      <c r="A126" s="10" t="s">
        <v>175</v>
      </c>
      <c r="B126" s="10" t="s">
        <v>13</v>
      </c>
      <c r="C126" s="26">
        <v>45543.0</v>
      </c>
      <c r="D126" s="10" t="s">
        <v>34</v>
      </c>
      <c r="E126" s="10" t="s">
        <v>37</v>
      </c>
      <c r="F126" s="27">
        <v>3811.0</v>
      </c>
      <c r="G126" s="27">
        <v>866.0</v>
      </c>
      <c r="H126" s="27">
        <v>216.0</v>
      </c>
      <c r="I126" s="27">
        <v>34299.0</v>
      </c>
      <c r="J126" s="27">
        <v>34088.0</v>
      </c>
      <c r="K126" s="27">
        <v>233.0</v>
      </c>
      <c r="L126" s="28" t="s">
        <v>21</v>
      </c>
      <c r="M126" s="10"/>
      <c r="N126" s="10"/>
      <c r="O126" s="28" t="s">
        <v>375</v>
      </c>
      <c r="P126" s="26">
        <f t="shared" si="42"/>
        <v>45717</v>
      </c>
      <c r="Q126" s="26">
        <f t="shared" si="43"/>
        <v>45747</v>
      </c>
      <c r="R126" s="28" t="str">
        <f t="shared" si="3"/>
        <v>During Campaign</v>
      </c>
      <c r="S126" s="27">
        <f t="shared" si="4"/>
        <v>4893</v>
      </c>
      <c r="T126" s="29">
        <f t="shared" si="5"/>
        <v>0.1426572203</v>
      </c>
    </row>
    <row r="127">
      <c r="A127" s="10" t="s">
        <v>176</v>
      </c>
      <c r="B127" s="10" t="s">
        <v>27</v>
      </c>
      <c r="C127" s="26">
        <v>45744.0</v>
      </c>
      <c r="D127" s="10" t="s">
        <v>34</v>
      </c>
      <c r="E127" s="10" t="s">
        <v>62</v>
      </c>
      <c r="F127" s="27">
        <v>4158.0</v>
      </c>
      <c r="G127" s="27">
        <v>167.0</v>
      </c>
      <c r="H127" s="27">
        <v>241.0</v>
      </c>
      <c r="I127" s="27">
        <v>45738.0</v>
      </c>
      <c r="J127" s="27">
        <v>45183.0</v>
      </c>
      <c r="K127" s="27">
        <v>142.0</v>
      </c>
      <c r="L127" s="28" t="s">
        <v>16</v>
      </c>
      <c r="M127" s="10"/>
      <c r="N127" s="10"/>
      <c r="O127" s="28"/>
      <c r="P127" s="86"/>
      <c r="Q127" s="86"/>
      <c r="R127" s="28" t="str">
        <f t="shared" si="3"/>
        <v>After Campaign</v>
      </c>
      <c r="S127" s="27">
        <f t="shared" si="4"/>
        <v>4566</v>
      </c>
      <c r="T127" s="29">
        <f t="shared" si="5"/>
        <v>0.09982946347</v>
      </c>
    </row>
    <row r="128">
      <c r="A128" s="10" t="s">
        <v>177</v>
      </c>
      <c r="B128" s="10" t="s">
        <v>33</v>
      </c>
      <c r="C128" s="26">
        <v>45684.0</v>
      </c>
      <c r="D128" s="10" t="s">
        <v>14</v>
      </c>
      <c r="E128" s="10" t="s">
        <v>47</v>
      </c>
      <c r="F128" s="27">
        <v>3452.0</v>
      </c>
      <c r="G128" s="27">
        <v>652.0</v>
      </c>
      <c r="H128" s="27">
        <v>442.0</v>
      </c>
      <c r="I128" s="27">
        <v>65588.0</v>
      </c>
      <c r="J128" s="27">
        <v>65049.0</v>
      </c>
      <c r="K128" s="27">
        <v>158.0</v>
      </c>
      <c r="L128" s="28" t="s">
        <v>16</v>
      </c>
      <c r="M128" s="10"/>
      <c r="N128" s="10"/>
      <c r="O128" s="28" t="s">
        <v>372</v>
      </c>
      <c r="P128" s="26">
        <f>IFS(
  O128="SummerSplash", DATE(2024,6,15),
  O128="FestiveRadiance", DATE(2024,10,1),
  O128="NewYearRefresh", DATE(2024,12,25),
  O128="DailyWellness", DATE(2025,3,1)
)
</f>
        <v>45651</v>
      </c>
      <c r="Q128" s="26">
        <f>IFS(
  O128="SummerSplash", DATE(2024,7,15),
  O128="FestiveRadiance", DATE(2024,10,31),
  O128="NewYearRefresh", DATE(2025,1,10),
  O128="DailyWellness", DATE(2025,3,31)
)
</f>
        <v>45667</v>
      </c>
      <c r="R128" s="28" t="str">
        <f t="shared" si="3"/>
        <v>During Campaign</v>
      </c>
      <c r="S128" s="27">
        <f t="shared" si="4"/>
        <v>4546</v>
      </c>
      <c r="T128" s="29">
        <f t="shared" si="5"/>
        <v>0.06931145941</v>
      </c>
    </row>
    <row r="129">
      <c r="A129" s="10" t="s">
        <v>178</v>
      </c>
      <c r="B129" s="10" t="s">
        <v>13</v>
      </c>
      <c r="C129" s="26">
        <v>45667.0</v>
      </c>
      <c r="D129" s="10" t="s">
        <v>39</v>
      </c>
      <c r="E129" s="10" t="s">
        <v>85</v>
      </c>
      <c r="F129" s="27">
        <v>3092.0</v>
      </c>
      <c r="G129" s="27">
        <v>106.0</v>
      </c>
      <c r="H129" s="27">
        <v>291.0</v>
      </c>
      <c r="I129" s="27">
        <v>27828.0</v>
      </c>
      <c r="J129" s="27">
        <v>27217.0</v>
      </c>
      <c r="K129" s="27">
        <v>102.0</v>
      </c>
      <c r="L129" s="28" t="s">
        <v>16</v>
      </c>
      <c r="M129" s="10"/>
      <c r="N129" s="10"/>
      <c r="O129" s="28"/>
      <c r="P129" s="86"/>
      <c r="Q129" s="86"/>
      <c r="R129" s="28" t="str">
        <f t="shared" si="3"/>
        <v>After Campaign</v>
      </c>
      <c r="S129" s="27">
        <f t="shared" si="4"/>
        <v>3489</v>
      </c>
      <c r="T129" s="29">
        <f t="shared" si="5"/>
        <v>0.1253773178</v>
      </c>
    </row>
    <row r="130">
      <c r="A130" s="10" t="s">
        <v>179</v>
      </c>
      <c r="B130" s="10" t="s">
        <v>13</v>
      </c>
      <c r="C130" s="26">
        <v>45494.0</v>
      </c>
      <c r="D130" s="10" t="s">
        <v>19</v>
      </c>
      <c r="E130" s="10" t="s">
        <v>20</v>
      </c>
      <c r="F130" s="27">
        <v>2147.0</v>
      </c>
      <c r="G130" s="27">
        <v>430.0</v>
      </c>
      <c r="H130" s="27">
        <v>393.0</v>
      </c>
      <c r="I130" s="27">
        <v>17176.0</v>
      </c>
      <c r="J130" s="27">
        <v>16483.0</v>
      </c>
      <c r="K130" s="27">
        <v>170.0</v>
      </c>
      <c r="L130" s="28" t="s">
        <v>21</v>
      </c>
      <c r="M130" s="10"/>
      <c r="N130" s="10"/>
      <c r="O130" s="28"/>
      <c r="P130" s="86"/>
      <c r="Q130" s="86"/>
      <c r="R130" s="28" t="str">
        <f t="shared" si="3"/>
        <v>After Campaign</v>
      </c>
      <c r="S130" s="27">
        <f t="shared" si="4"/>
        <v>2970</v>
      </c>
      <c r="T130" s="29">
        <f t="shared" si="5"/>
        <v>0.1729156963</v>
      </c>
    </row>
    <row r="131">
      <c r="A131" s="10" t="s">
        <v>180</v>
      </c>
      <c r="B131" s="10" t="s">
        <v>24</v>
      </c>
      <c r="C131" s="26">
        <v>45564.0</v>
      </c>
      <c r="D131" s="10" t="s">
        <v>14</v>
      </c>
      <c r="E131" s="10" t="s">
        <v>25</v>
      </c>
      <c r="F131" s="27">
        <v>2936.0</v>
      </c>
      <c r="G131" s="27">
        <v>439.0</v>
      </c>
      <c r="H131" s="27">
        <v>44.0</v>
      </c>
      <c r="I131" s="27">
        <v>38168.0</v>
      </c>
      <c r="J131" s="27">
        <v>37571.0</v>
      </c>
      <c r="K131" s="27">
        <v>22.0</v>
      </c>
      <c r="L131" s="28" t="s">
        <v>30</v>
      </c>
      <c r="M131" s="10"/>
      <c r="N131" s="10"/>
      <c r="O131" s="28" t="s">
        <v>375</v>
      </c>
      <c r="P131" s="26">
        <f t="shared" ref="P131:P137" si="44">IFS(
  O131="SummerSplash", DATE(2024,6,15),
  O131="FestiveRadiance", DATE(2024,10,1),
  O131="NewYearRefresh", DATE(2024,12,25),
  O131="DailyWellness", DATE(2025,3,1)
)
</f>
        <v>45717</v>
      </c>
      <c r="Q131" s="26">
        <f t="shared" ref="Q131:Q137" si="45">IFS(
  O131="SummerSplash", DATE(2024,7,15),
  O131="FestiveRadiance", DATE(2024,10,31),
  O131="NewYearRefresh", DATE(2025,1,10),
  O131="DailyWellness", DATE(2025,3,31)
)
</f>
        <v>45747</v>
      </c>
      <c r="R131" s="28" t="str">
        <f t="shared" si="3"/>
        <v>During Campaign</v>
      </c>
      <c r="S131" s="27">
        <f t="shared" si="4"/>
        <v>3419</v>
      </c>
      <c r="T131" s="29">
        <f t="shared" si="5"/>
        <v>0.08957765668</v>
      </c>
    </row>
    <row r="132">
      <c r="A132" s="10" t="s">
        <v>181</v>
      </c>
      <c r="B132" s="10" t="s">
        <v>27</v>
      </c>
      <c r="C132" s="26">
        <v>45586.0</v>
      </c>
      <c r="D132" s="10" t="s">
        <v>14</v>
      </c>
      <c r="E132" s="10" t="s">
        <v>58</v>
      </c>
      <c r="F132" s="27">
        <v>4840.0</v>
      </c>
      <c r="G132" s="27">
        <v>658.0</v>
      </c>
      <c r="H132" s="27">
        <v>211.0</v>
      </c>
      <c r="I132" s="27">
        <v>43560.0</v>
      </c>
      <c r="J132" s="27">
        <v>43225.0</v>
      </c>
      <c r="K132" s="27">
        <v>57.0</v>
      </c>
      <c r="L132" s="28" t="s">
        <v>16</v>
      </c>
      <c r="M132" s="10"/>
      <c r="N132" s="10"/>
      <c r="O132" s="28" t="s">
        <v>372</v>
      </c>
      <c r="P132" s="26">
        <f t="shared" si="44"/>
        <v>45651</v>
      </c>
      <c r="Q132" s="26">
        <f t="shared" si="45"/>
        <v>45667</v>
      </c>
      <c r="R132" s="28" t="str">
        <f t="shared" si="3"/>
        <v>During Campaign</v>
      </c>
      <c r="S132" s="27">
        <f t="shared" si="4"/>
        <v>5709</v>
      </c>
      <c r="T132" s="29">
        <f t="shared" si="5"/>
        <v>0.1310606061</v>
      </c>
    </row>
    <row r="133">
      <c r="A133" s="10" t="s">
        <v>182</v>
      </c>
      <c r="B133" s="10" t="s">
        <v>27</v>
      </c>
      <c r="C133" s="26">
        <v>45720.0</v>
      </c>
      <c r="D133" s="10" t="s">
        <v>28</v>
      </c>
      <c r="E133" s="10" t="s">
        <v>29</v>
      </c>
      <c r="F133" s="27">
        <v>1947.0</v>
      </c>
      <c r="G133" s="27">
        <v>842.0</v>
      </c>
      <c r="H133" s="27">
        <v>101.0</v>
      </c>
      <c r="I133" s="27">
        <v>21417.0</v>
      </c>
      <c r="J133" s="27">
        <v>20967.0</v>
      </c>
      <c r="K133" s="27">
        <v>186.0</v>
      </c>
      <c r="L133" s="28" t="s">
        <v>16</v>
      </c>
      <c r="M133" s="10"/>
      <c r="N133" s="10"/>
      <c r="O133" s="28" t="s">
        <v>368</v>
      </c>
      <c r="P133" s="26">
        <f t="shared" si="44"/>
        <v>45566</v>
      </c>
      <c r="Q133" s="26">
        <f t="shared" si="45"/>
        <v>45596</v>
      </c>
      <c r="R133" s="28" t="str">
        <f t="shared" si="3"/>
        <v>During Campaign</v>
      </c>
      <c r="S133" s="27">
        <f t="shared" si="4"/>
        <v>2890</v>
      </c>
      <c r="T133" s="29">
        <f t="shared" si="5"/>
        <v>0.134939534</v>
      </c>
    </row>
    <row r="134">
      <c r="A134" s="10" t="s">
        <v>183</v>
      </c>
      <c r="B134" s="10" t="s">
        <v>33</v>
      </c>
      <c r="C134" s="26">
        <v>45694.0</v>
      </c>
      <c r="D134" s="10" t="s">
        <v>39</v>
      </c>
      <c r="E134" s="10" t="s">
        <v>44</v>
      </c>
      <c r="F134" s="27">
        <v>2072.0</v>
      </c>
      <c r="G134" s="27">
        <v>532.0</v>
      </c>
      <c r="H134" s="27">
        <v>71.0</v>
      </c>
      <c r="I134" s="27">
        <v>37296.0</v>
      </c>
      <c r="J134" s="27">
        <v>36467.0</v>
      </c>
      <c r="K134" s="27">
        <v>25.0</v>
      </c>
      <c r="L134" s="28" t="s">
        <v>21</v>
      </c>
      <c r="M134" s="10"/>
      <c r="N134" s="10"/>
      <c r="O134" s="28" t="s">
        <v>375</v>
      </c>
      <c r="P134" s="26">
        <f t="shared" si="44"/>
        <v>45717</v>
      </c>
      <c r="Q134" s="26">
        <f t="shared" si="45"/>
        <v>45747</v>
      </c>
      <c r="R134" s="28" t="str">
        <f t="shared" si="3"/>
        <v>During Campaign</v>
      </c>
      <c r="S134" s="27">
        <f t="shared" si="4"/>
        <v>2675</v>
      </c>
      <c r="T134" s="29">
        <f t="shared" si="5"/>
        <v>0.07172350922</v>
      </c>
    </row>
    <row r="135">
      <c r="A135" s="10" t="s">
        <v>184</v>
      </c>
      <c r="B135" s="10" t="s">
        <v>13</v>
      </c>
      <c r="C135" s="26">
        <v>45771.0</v>
      </c>
      <c r="D135" s="10" t="s">
        <v>14</v>
      </c>
      <c r="E135" s="10" t="s">
        <v>15</v>
      </c>
      <c r="F135" s="27">
        <v>3731.0</v>
      </c>
      <c r="G135" s="27">
        <v>115.0</v>
      </c>
      <c r="H135" s="27">
        <v>135.0</v>
      </c>
      <c r="I135" s="27">
        <v>55965.0</v>
      </c>
      <c r="J135" s="27">
        <v>55436.0</v>
      </c>
      <c r="K135" s="27">
        <v>103.0</v>
      </c>
      <c r="L135" s="28" t="s">
        <v>21</v>
      </c>
      <c r="M135" s="10"/>
      <c r="N135" s="10"/>
      <c r="O135" s="28" t="s">
        <v>365</v>
      </c>
      <c r="P135" s="26">
        <f t="shared" si="44"/>
        <v>45458</v>
      </c>
      <c r="Q135" s="26">
        <f t="shared" si="45"/>
        <v>45488</v>
      </c>
      <c r="R135" s="28" t="str">
        <f t="shared" si="3"/>
        <v>During Campaign</v>
      </c>
      <c r="S135" s="27">
        <f t="shared" si="4"/>
        <v>3981</v>
      </c>
      <c r="T135" s="29">
        <f t="shared" si="5"/>
        <v>0.0711337443</v>
      </c>
    </row>
    <row r="136">
      <c r="A136" s="10" t="s">
        <v>185</v>
      </c>
      <c r="B136" s="10" t="s">
        <v>33</v>
      </c>
      <c r="C136" s="26">
        <v>45624.0</v>
      </c>
      <c r="D136" s="10" t="s">
        <v>19</v>
      </c>
      <c r="E136" s="10" t="s">
        <v>42</v>
      </c>
      <c r="F136" s="27">
        <v>4213.0</v>
      </c>
      <c r="G136" s="27">
        <v>253.0</v>
      </c>
      <c r="H136" s="27">
        <v>434.0</v>
      </c>
      <c r="I136" s="27">
        <v>75834.0</v>
      </c>
      <c r="J136" s="27">
        <v>75437.0</v>
      </c>
      <c r="K136" s="27">
        <v>272.0</v>
      </c>
      <c r="L136" s="28" t="s">
        <v>16</v>
      </c>
      <c r="M136" s="10"/>
      <c r="N136" s="10"/>
      <c r="O136" s="28" t="s">
        <v>375</v>
      </c>
      <c r="P136" s="26">
        <f t="shared" si="44"/>
        <v>45717</v>
      </c>
      <c r="Q136" s="26">
        <f t="shared" si="45"/>
        <v>45747</v>
      </c>
      <c r="R136" s="28" t="str">
        <f t="shared" si="3"/>
        <v>During Campaign</v>
      </c>
      <c r="S136" s="27">
        <f t="shared" si="4"/>
        <v>4900</v>
      </c>
      <c r="T136" s="29">
        <f t="shared" si="5"/>
        <v>0.06461481657</v>
      </c>
    </row>
    <row r="137">
      <c r="A137" s="10" t="s">
        <v>186</v>
      </c>
      <c r="B137" s="10" t="s">
        <v>27</v>
      </c>
      <c r="C137" s="26">
        <v>45484.0</v>
      </c>
      <c r="D137" s="10" t="s">
        <v>19</v>
      </c>
      <c r="E137" s="10" t="s">
        <v>75</v>
      </c>
      <c r="F137" s="27">
        <v>3134.0</v>
      </c>
      <c r="G137" s="27">
        <v>888.0</v>
      </c>
      <c r="H137" s="27">
        <v>444.0</v>
      </c>
      <c r="I137" s="27">
        <v>21938.0</v>
      </c>
      <c r="J137" s="27">
        <v>21337.0</v>
      </c>
      <c r="K137" s="27">
        <v>130.0</v>
      </c>
      <c r="L137" s="28" t="s">
        <v>30</v>
      </c>
      <c r="M137" s="10"/>
      <c r="N137" s="10"/>
      <c r="O137" s="28" t="s">
        <v>375</v>
      </c>
      <c r="P137" s="26">
        <f t="shared" si="44"/>
        <v>45717</v>
      </c>
      <c r="Q137" s="26">
        <f t="shared" si="45"/>
        <v>45747</v>
      </c>
      <c r="R137" s="28" t="str">
        <f t="shared" si="3"/>
        <v>During Campaign</v>
      </c>
      <c r="S137" s="27">
        <f t="shared" si="4"/>
        <v>4466</v>
      </c>
      <c r="T137" s="29">
        <f t="shared" si="5"/>
        <v>0.2035737077</v>
      </c>
    </row>
    <row r="138">
      <c r="A138" s="10" t="s">
        <v>187</v>
      </c>
      <c r="B138" s="10" t="s">
        <v>33</v>
      </c>
      <c r="C138" s="26">
        <v>45504.0</v>
      </c>
      <c r="D138" s="10" t="s">
        <v>53</v>
      </c>
      <c r="E138" s="10" t="s">
        <v>54</v>
      </c>
      <c r="F138" s="27">
        <v>3008.0</v>
      </c>
      <c r="G138" s="27">
        <v>94.0</v>
      </c>
      <c r="H138" s="27">
        <v>37.0</v>
      </c>
      <c r="I138" s="27">
        <v>15040.0</v>
      </c>
      <c r="J138" s="27">
        <v>14639.0</v>
      </c>
      <c r="K138" s="27">
        <v>277.0</v>
      </c>
      <c r="L138" s="28" t="s">
        <v>16</v>
      </c>
      <c r="M138" s="10"/>
      <c r="N138" s="10"/>
      <c r="O138" s="28"/>
      <c r="P138" s="86"/>
      <c r="Q138" s="86"/>
      <c r="R138" s="28" t="str">
        <f t="shared" si="3"/>
        <v>After Campaign</v>
      </c>
      <c r="S138" s="27">
        <f t="shared" si="4"/>
        <v>3139</v>
      </c>
      <c r="T138" s="29">
        <f t="shared" si="5"/>
        <v>0.2087101064</v>
      </c>
    </row>
    <row r="139">
      <c r="A139" s="10" t="s">
        <v>188</v>
      </c>
      <c r="B139" s="10" t="s">
        <v>13</v>
      </c>
      <c r="C139" s="26">
        <v>45745.0</v>
      </c>
      <c r="D139" s="10" t="s">
        <v>39</v>
      </c>
      <c r="E139" s="10" t="s">
        <v>85</v>
      </c>
      <c r="F139" s="27">
        <v>305.0</v>
      </c>
      <c r="G139" s="27">
        <v>187.0</v>
      </c>
      <c r="H139" s="27">
        <v>243.0</v>
      </c>
      <c r="I139" s="27">
        <v>4575.0</v>
      </c>
      <c r="J139" s="27">
        <v>3704.0</v>
      </c>
      <c r="K139" s="27">
        <v>234.0</v>
      </c>
      <c r="L139" s="28" t="s">
        <v>16</v>
      </c>
      <c r="M139" s="10"/>
      <c r="N139" s="10"/>
      <c r="O139" s="28" t="s">
        <v>372</v>
      </c>
      <c r="P139" s="26">
        <f t="shared" ref="P139:P141" si="46">IFS(
  O139="SummerSplash", DATE(2024,6,15),
  O139="FestiveRadiance", DATE(2024,10,1),
  O139="NewYearRefresh", DATE(2024,12,25),
  O139="DailyWellness", DATE(2025,3,1)
)
</f>
        <v>45651</v>
      </c>
      <c r="Q139" s="26">
        <f t="shared" ref="Q139:Q141" si="47">IFS(
  O139="SummerSplash", DATE(2024,7,15),
  O139="FestiveRadiance", DATE(2024,10,31),
  O139="NewYearRefresh", DATE(2025,1,10),
  O139="DailyWellness", DATE(2025,3,31)
)
</f>
        <v>45667</v>
      </c>
      <c r="R139" s="28" t="str">
        <f t="shared" si="3"/>
        <v>During Campaign</v>
      </c>
      <c r="S139" s="27">
        <f t="shared" si="4"/>
        <v>735</v>
      </c>
      <c r="T139" s="29">
        <f t="shared" si="5"/>
        <v>0.1606557377</v>
      </c>
    </row>
    <row r="140">
      <c r="A140" s="10" t="s">
        <v>189</v>
      </c>
      <c r="B140" s="10" t="s">
        <v>24</v>
      </c>
      <c r="C140" s="26">
        <v>45594.0</v>
      </c>
      <c r="D140" s="10" t="s">
        <v>19</v>
      </c>
      <c r="E140" s="10" t="s">
        <v>70</v>
      </c>
      <c r="F140" s="27">
        <v>2746.0</v>
      </c>
      <c r="G140" s="27">
        <v>156.0</v>
      </c>
      <c r="H140" s="27">
        <v>203.0</v>
      </c>
      <c r="I140" s="27">
        <v>32952.0</v>
      </c>
      <c r="J140" s="27">
        <v>32147.0</v>
      </c>
      <c r="K140" s="27">
        <v>147.0</v>
      </c>
      <c r="L140" s="28" t="s">
        <v>30</v>
      </c>
      <c r="M140" s="10"/>
      <c r="N140" s="10"/>
      <c r="O140" s="28" t="s">
        <v>365</v>
      </c>
      <c r="P140" s="26">
        <f t="shared" si="46"/>
        <v>45458</v>
      </c>
      <c r="Q140" s="26">
        <f t="shared" si="47"/>
        <v>45488</v>
      </c>
      <c r="R140" s="28" t="str">
        <f t="shared" si="3"/>
        <v>During Campaign</v>
      </c>
      <c r="S140" s="27">
        <f t="shared" si="4"/>
        <v>3105</v>
      </c>
      <c r="T140" s="29">
        <f t="shared" si="5"/>
        <v>0.09422796795</v>
      </c>
    </row>
    <row r="141">
      <c r="A141" s="10" t="s">
        <v>190</v>
      </c>
      <c r="B141" s="10" t="s">
        <v>33</v>
      </c>
      <c r="C141" s="26">
        <v>45488.0</v>
      </c>
      <c r="D141" s="10" t="s">
        <v>39</v>
      </c>
      <c r="E141" s="10" t="s">
        <v>44</v>
      </c>
      <c r="F141" s="27">
        <v>2291.0</v>
      </c>
      <c r="G141" s="27">
        <v>78.0</v>
      </c>
      <c r="H141" s="27">
        <v>485.0</v>
      </c>
      <c r="I141" s="27">
        <v>18328.0</v>
      </c>
      <c r="J141" s="27">
        <v>18101.0</v>
      </c>
      <c r="K141" s="27">
        <v>10.0</v>
      </c>
      <c r="L141" s="28" t="s">
        <v>30</v>
      </c>
      <c r="M141" s="28" t="s">
        <v>191</v>
      </c>
      <c r="N141" s="10"/>
      <c r="O141" s="28" t="s">
        <v>368</v>
      </c>
      <c r="P141" s="26">
        <f t="shared" si="46"/>
        <v>45566</v>
      </c>
      <c r="Q141" s="26">
        <f t="shared" si="47"/>
        <v>45596</v>
      </c>
      <c r="R141" s="28" t="str">
        <f t="shared" si="3"/>
        <v>During Campaign</v>
      </c>
      <c r="S141" s="27">
        <f t="shared" si="4"/>
        <v>2854</v>
      </c>
      <c r="T141" s="29">
        <f t="shared" si="5"/>
        <v>0.1557180271</v>
      </c>
    </row>
    <row r="142">
      <c r="A142" s="10" t="s">
        <v>192</v>
      </c>
      <c r="B142" s="10" t="s">
        <v>13</v>
      </c>
      <c r="C142" s="26">
        <v>45535.0</v>
      </c>
      <c r="D142" s="10" t="s">
        <v>39</v>
      </c>
      <c r="E142" s="10" t="s">
        <v>85</v>
      </c>
      <c r="F142" s="27">
        <v>3170.0</v>
      </c>
      <c r="G142" s="27">
        <v>857.0</v>
      </c>
      <c r="H142" s="27">
        <v>379.0</v>
      </c>
      <c r="I142" s="27">
        <v>19020.0</v>
      </c>
      <c r="J142" s="27">
        <v>18559.0</v>
      </c>
      <c r="K142" s="27">
        <v>240.0</v>
      </c>
      <c r="L142" s="28" t="s">
        <v>16</v>
      </c>
      <c r="M142" s="10"/>
      <c r="N142" s="10"/>
      <c r="O142" s="28"/>
      <c r="P142" s="86"/>
      <c r="Q142" s="86"/>
      <c r="R142" s="28" t="str">
        <f t="shared" si="3"/>
        <v>After Campaign</v>
      </c>
      <c r="S142" s="27">
        <f t="shared" si="4"/>
        <v>4406</v>
      </c>
      <c r="T142" s="29">
        <f t="shared" si="5"/>
        <v>0.2316508938</v>
      </c>
    </row>
    <row r="143">
      <c r="A143" s="10" t="s">
        <v>193</v>
      </c>
      <c r="B143" s="10" t="s">
        <v>24</v>
      </c>
      <c r="C143" s="26">
        <v>45741.0</v>
      </c>
      <c r="D143" s="10" t="s">
        <v>28</v>
      </c>
      <c r="E143" s="10" t="s">
        <v>98</v>
      </c>
      <c r="F143" s="27">
        <v>2070.0</v>
      </c>
      <c r="G143" s="27">
        <v>275.0</v>
      </c>
      <c r="H143" s="27">
        <v>386.0</v>
      </c>
      <c r="I143" s="27">
        <v>39330.0</v>
      </c>
      <c r="J143" s="27">
        <v>38627.0</v>
      </c>
      <c r="K143" s="27">
        <v>114.0</v>
      </c>
      <c r="L143" s="28" t="s">
        <v>16</v>
      </c>
      <c r="M143" s="10"/>
      <c r="N143" s="10"/>
      <c r="O143" s="28" t="s">
        <v>375</v>
      </c>
      <c r="P143" s="26">
        <f t="shared" ref="P143:P146" si="48">IFS(
  O143="SummerSplash", DATE(2024,6,15),
  O143="FestiveRadiance", DATE(2024,10,1),
  O143="NewYearRefresh", DATE(2024,12,25),
  O143="DailyWellness", DATE(2025,3,1)
)
</f>
        <v>45717</v>
      </c>
      <c r="Q143" s="26">
        <f t="shared" ref="Q143:Q146" si="49">IFS(
  O143="SummerSplash", DATE(2024,7,15),
  O143="FestiveRadiance", DATE(2024,10,31),
  O143="NewYearRefresh", DATE(2025,1,10),
  O143="DailyWellness", DATE(2025,3,31)
)
</f>
        <v>45747</v>
      </c>
      <c r="R143" s="28" t="str">
        <f t="shared" si="3"/>
        <v>During Campaign</v>
      </c>
      <c r="S143" s="27">
        <f t="shared" si="4"/>
        <v>2731</v>
      </c>
      <c r="T143" s="29">
        <f t="shared" si="5"/>
        <v>0.06943808797</v>
      </c>
    </row>
    <row r="144">
      <c r="A144" s="10" t="s">
        <v>194</v>
      </c>
      <c r="B144" s="10" t="s">
        <v>24</v>
      </c>
      <c r="C144" s="26">
        <v>45567.0</v>
      </c>
      <c r="D144" s="10" t="s">
        <v>34</v>
      </c>
      <c r="E144" s="10" t="s">
        <v>49</v>
      </c>
      <c r="F144" s="27">
        <v>80.0</v>
      </c>
      <c r="G144" s="27">
        <v>362.0</v>
      </c>
      <c r="H144" s="27">
        <v>80.0</v>
      </c>
      <c r="I144" s="27">
        <v>1040.0</v>
      </c>
      <c r="J144" s="27">
        <v>349.0</v>
      </c>
      <c r="K144" s="27">
        <v>117.0</v>
      </c>
      <c r="L144" s="28" t="s">
        <v>21</v>
      </c>
      <c r="M144" s="10"/>
      <c r="N144" s="10"/>
      <c r="O144" s="28" t="s">
        <v>372</v>
      </c>
      <c r="P144" s="26">
        <f t="shared" si="48"/>
        <v>45651</v>
      </c>
      <c r="Q144" s="26">
        <f t="shared" si="49"/>
        <v>45667</v>
      </c>
      <c r="R144" s="28" t="str">
        <f t="shared" si="3"/>
        <v>During Campaign</v>
      </c>
      <c r="S144" s="27">
        <f t="shared" si="4"/>
        <v>522</v>
      </c>
      <c r="T144" s="29">
        <f t="shared" si="5"/>
        <v>0.5019230769</v>
      </c>
    </row>
    <row r="145">
      <c r="A145" s="10" t="s">
        <v>195</v>
      </c>
      <c r="B145" s="10" t="s">
        <v>24</v>
      </c>
      <c r="C145" s="26">
        <v>45593.0</v>
      </c>
      <c r="D145" s="10" t="s">
        <v>28</v>
      </c>
      <c r="E145" s="10" t="s">
        <v>98</v>
      </c>
      <c r="F145" s="27">
        <v>4929.0</v>
      </c>
      <c r="G145" s="27">
        <v>749.0</v>
      </c>
      <c r="H145" s="27">
        <v>452.0</v>
      </c>
      <c r="I145" s="27">
        <v>93651.0</v>
      </c>
      <c r="J145" s="27">
        <v>92810.0</v>
      </c>
      <c r="K145" s="27">
        <v>66.0</v>
      </c>
      <c r="L145" s="28" t="s">
        <v>30</v>
      </c>
      <c r="M145" s="10"/>
      <c r="N145" s="10"/>
      <c r="O145" s="28" t="s">
        <v>375</v>
      </c>
      <c r="P145" s="26">
        <f t="shared" si="48"/>
        <v>45717</v>
      </c>
      <c r="Q145" s="26">
        <f t="shared" si="49"/>
        <v>45747</v>
      </c>
      <c r="R145" s="28" t="str">
        <f t="shared" si="3"/>
        <v>During Campaign</v>
      </c>
      <c r="S145" s="27">
        <f t="shared" si="4"/>
        <v>6130</v>
      </c>
      <c r="T145" s="29">
        <f t="shared" si="5"/>
        <v>0.06545578798</v>
      </c>
    </row>
    <row r="146">
      <c r="A146" s="10" t="s">
        <v>196</v>
      </c>
      <c r="B146" s="10" t="s">
        <v>27</v>
      </c>
      <c r="C146" s="26">
        <v>45516.0</v>
      </c>
      <c r="D146" s="10" t="s">
        <v>34</v>
      </c>
      <c r="E146" s="10" t="s">
        <v>62</v>
      </c>
      <c r="F146" s="27">
        <v>1878.0</v>
      </c>
      <c r="G146" s="27">
        <v>62.0</v>
      </c>
      <c r="H146" s="27">
        <v>179.0</v>
      </c>
      <c r="I146" s="27">
        <v>37560.0</v>
      </c>
      <c r="J146" s="27">
        <v>36874.0</v>
      </c>
      <c r="K146" s="27">
        <v>142.0</v>
      </c>
      <c r="L146" s="28" t="s">
        <v>21</v>
      </c>
      <c r="M146" s="10"/>
      <c r="N146" s="10"/>
      <c r="O146" s="28" t="s">
        <v>375</v>
      </c>
      <c r="P146" s="26">
        <f t="shared" si="48"/>
        <v>45717</v>
      </c>
      <c r="Q146" s="26">
        <f t="shared" si="49"/>
        <v>45747</v>
      </c>
      <c r="R146" s="28" t="str">
        <f t="shared" si="3"/>
        <v>During Campaign</v>
      </c>
      <c r="S146" s="27">
        <f t="shared" si="4"/>
        <v>2119</v>
      </c>
      <c r="T146" s="29">
        <f t="shared" si="5"/>
        <v>0.05641640043</v>
      </c>
    </row>
    <row r="147">
      <c r="A147" s="10" t="s">
        <v>197</v>
      </c>
      <c r="B147" s="10" t="s">
        <v>24</v>
      </c>
      <c r="C147" s="26">
        <v>45448.0</v>
      </c>
      <c r="D147" s="10" t="s">
        <v>14</v>
      </c>
      <c r="E147" s="10" t="s">
        <v>25</v>
      </c>
      <c r="F147" s="27">
        <v>3065.0</v>
      </c>
      <c r="G147" s="27">
        <v>772.0</v>
      </c>
      <c r="H147" s="27">
        <v>142.0</v>
      </c>
      <c r="I147" s="27">
        <v>18390.0</v>
      </c>
      <c r="J147" s="27">
        <v>17875.0</v>
      </c>
      <c r="K147" s="27">
        <v>200.0</v>
      </c>
      <c r="L147" s="28" t="s">
        <v>30</v>
      </c>
      <c r="M147" s="28" t="s">
        <v>17</v>
      </c>
      <c r="N147" s="10"/>
      <c r="O147" s="28"/>
      <c r="P147" s="86"/>
      <c r="Q147" s="86"/>
      <c r="R147" s="28" t="str">
        <f t="shared" si="3"/>
        <v>After Campaign</v>
      </c>
      <c r="S147" s="27">
        <f t="shared" si="4"/>
        <v>3979</v>
      </c>
      <c r="T147" s="29">
        <f t="shared" si="5"/>
        <v>0.2163675911</v>
      </c>
    </row>
    <row r="148">
      <c r="A148" s="10" t="s">
        <v>198</v>
      </c>
      <c r="B148" s="10" t="s">
        <v>27</v>
      </c>
      <c r="C148" s="26">
        <v>45586.0</v>
      </c>
      <c r="D148" s="10" t="s">
        <v>14</v>
      </c>
      <c r="E148" s="10" t="s">
        <v>58</v>
      </c>
      <c r="F148" s="27">
        <v>3256.0</v>
      </c>
      <c r="G148" s="27">
        <v>459.0</v>
      </c>
      <c r="H148" s="27">
        <v>266.0</v>
      </c>
      <c r="I148" s="27">
        <v>26048.0</v>
      </c>
      <c r="J148" s="27">
        <v>25529.0</v>
      </c>
      <c r="K148" s="27">
        <v>143.0</v>
      </c>
      <c r="L148" s="28" t="s">
        <v>21</v>
      </c>
      <c r="M148" s="10"/>
      <c r="N148" s="10"/>
      <c r="O148" s="28" t="s">
        <v>368</v>
      </c>
      <c r="P148" s="26">
        <f t="shared" ref="P148:P160" si="50">IFS(
  O148="SummerSplash", DATE(2024,6,15),
  O148="FestiveRadiance", DATE(2024,10,1),
  O148="NewYearRefresh", DATE(2024,12,25),
  O148="DailyWellness", DATE(2025,3,1)
)
</f>
        <v>45566</v>
      </c>
      <c r="Q148" s="26">
        <f t="shared" ref="Q148:Q160" si="51">IFS(
  O148="SummerSplash", DATE(2024,7,15),
  O148="FestiveRadiance", DATE(2024,10,31),
  O148="NewYearRefresh", DATE(2025,1,10),
  O148="DailyWellness", DATE(2025,3,31)
)
</f>
        <v>45596</v>
      </c>
      <c r="R148" s="28" t="str">
        <f t="shared" si="3"/>
        <v>During Campaign</v>
      </c>
      <c r="S148" s="27">
        <f t="shared" si="4"/>
        <v>3981</v>
      </c>
      <c r="T148" s="29">
        <f t="shared" si="5"/>
        <v>0.152833231</v>
      </c>
    </row>
    <row r="149">
      <c r="A149" s="10" t="s">
        <v>199</v>
      </c>
      <c r="B149" s="10" t="s">
        <v>27</v>
      </c>
      <c r="C149" s="26">
        <v>45762.0</v>
      </c>
      <c r="D149" s="10" t="s">
        <v>53</v>
      </c>
      <c r="E149" s="10" t="s">
        <v>60</v>
      </c>
      <c r="F149" s="27">
        <v>4133.0</v>
      </c>
      <c r="G149" s="27">
        <v>466.0</v>
      </c>
      <c r="H149" s="27">
        <v>327.0</v>
      </c>
      <c r="I149" s="27">
        <v>24798.0</v>
      </c>
      <c r="J149" s="27">
        <v>24620.0</v>
      </c>
      <c r="K149" s="27">
        <v>176.0</v>
      </c>
      <c r="L149" s="28" t="s">
        <v>30</v>
      </c>
      <c r="M149" s="10"/>
      <c r="N149" s="10"/>
      <c r="O149" s="28" t="s">
        <v>375</v>
      </c>
      <c r="P149" s="26">
        <f t="shared" si="50"/>
        <v>45717</v>
      </c>
      <c r="Q149" s="26">
        <f t="shared" si="51"/>
        <v>45747</v>
      </c>
      <c r="R149" s="28" t="str">
        <f t="shared" si="3"/>
        <v>During Campaign</v>
      </c>
      <c r="S149" s="27">
        <f t="shared" si="4"/>
        <v>4926</v>
      </c>
      <c r="T149" s="29">
        <f t="shared" si="5"/>
        <v>0.198645052</v>
      </c>
    </row>
    <row r="150">
      <c r="A150" s="10" t="s">
        <v>200</v>
      </c>
      <c r="B150" s="10" t="s">
        <v>13</v>
      </c>
      <c r="C150" s="26">
        <v>45459.0</v>
      </c>
      <c r="D150" s="10" t="s">
        <v>53</v>
      </c>
      <c r="E150" s="10" t="s">
        <v>92</v>
      </c>
      <c r="F150" s="27">
        <v>1702.0</v>
      </c>
      <c r="G150" s="27">
        <v>750.0</v>
      </c>
      <c r="H150" s="27">
        <v>179.0</v>
      </c>
      <c r="I150" s="27">
        <v>34040.0</v>
      </c>
      <c r="J150" s="27">
        <v>33174.0</v>
      </c>
      <c r="K150" s="27">
        <v>76.0</v>
      </c>
      <c r="L150" s="28" t="s">
        <v>30</v>
      </c>
      <c r="M150" s="10"/>
      <c r="N150" s="10"/>
      <c r="O150" s="28" t="s">
        <v>365</v>
      </c>
      <c r="P150" s="26">
        <f t="shared" si="50"/>
        <v>45458</v>
      </c>
      <c r="Q150" s="26">
        <f t="shared" si="51"/>
        <v>45488</v>
      </c>
      <c r="R150" s="28" t="str">
        <f t="shared" si="3"/>
        <v>During Campaign</v>
      </c>
      <c r="S150" s="27">
        <f t="shared" si="4"/>
        <v>2631</v>
      </c>
      <c r="T150" s="29">
        <f t="shared" si="5"/>
        <v>0.07729142186</v>
      </c>
    </row>
    <row r="151">
      <c r="A151" s="10" t="s">
        <v>201</v>
      </c>
      <c r="B151" s="10" t="s">
        <v>24</v>
      </c>
      <c r="C151" s="26">
        <v>45526.0</v>
      </c>
      <c r="D151" s="10" t="s">
        <v>34</v>
      </c>
      <c r="E151" s="10" t="s">
        <v>49</v>
      </c>
      <c r="F151" s="27">
        <v>4295.0</v>
      </c>
      <c r="G151" s="27">
        <v>853.0</v>
      </c>
      <c r="H151" s="27">
        <v>325.0</v>
      </c>
      <c r="I151" s="27">
        <v>85900.0</v>
      </c>
      <c r="J151" s="27">
        <v>85788.0</v>
      </c>
      <c r="K151" s="27">
        <v>290.0</v>
      </c>
      <c r="L151" s="28" t="s">
        <v>21</v>
      </c>
      <c r="M151" s="10"/>
      <c r="N151" s="10"/>
      <c r="O151" s="28" t="s">
        <v>375</v>
      </c>
      <c r="P151" s="26">
        <f t="shared" si="50"/>
        <v>45717</v>
      </c>
      <c r="Q151" s="26">
        <f t="shared" si="51"/>
        <v>45747</v>
      </c>
      <c r="R151" s="28" t="str">
        <f t="shared" si="3"/>
        <v>During Campaign</v>
      </c>
      <c r="S151" s="27">
        <f t="shared" si="4"/>
        <v>5473</v>
      </c>
      <c r="T151" s="29">
        <f t="shared" si="5"/>
        <v>0.06371362049</v>
      </c>
    </row>
    <row r="152">
      <c r="A152" s="10" t="s">
        <v>202</v>
      </c>
      <c r="B152" s="10" t="s">
        <v>27</v>
      </c>
      <c r="C152" s="26">
        <v>45499.0</v>
      </c>
      <c r="D152" s="10" t="s">
        <v>39</v>
      </c>
      <c r="E152" s="10" t="s">
        <v>131</v>
      </c>
      <c r="F152" s="27">
        <v>3559.0</v>
      </c>
      <c r="G152" s="27">
        <v>59.0</v>
      </c>
      <c r="H152" s="27">
        <v>289.0</v>
      </c>
      <c r="I152" s="27">
        <v>35590.0</v>
      </c>
      <c r="J152" s="27">
        <v>35105.0</v>
      </c>
      <c r="K152" s="27">
        <v>122.0</v>
      </c>
      <c r="L152" s="28" t="s">
        <v>30</v>
      </c>
      <c r="M152" s="10"/>
      <c r="N152" s="10"/>
      <c r="O152" s="28" t="s">
        <v>365</v>
      </c>
      <c r="P152" s="26">
        <f t="shared" si="50"/>
        <v>45458</v>
      </c>
      <c r="Q152" s="26">
        <f t="shared" si="51"/>
        <v>45488</v>
      </c>
      <c r="R152" s="28" t="str">
        <f t="shared" si="3"/>
        <v>During Campaign</v>
      </c>
      <c r="S152" s="27">
        <f t="shared" si="4"/>
        <v>3907</v>
      </c>
      <c r="T152" s="29">
        <f t="shared" si="5"/>
        <v>0.1097780275</v>
      </c>
    </row>
    <row r="153">
      <c r="A153" s="10" t="s">
        <v>203</v>
      </c>
      <c r="B153" s="10" t="s">
        <v>33</v>
      </c>
      <c r="C153" s="26">
        <v>45769.0</v>
      </c>
      <c r="D153" s="10" t="s">
        <v>39</v>
      </c>
      <c r="E153" s="10" t="s">
        <v>44</v>
      </c>
      <c r="F153" s="27">
        <v>4804.0</v>
      </c>
      <c r="G153" s="27">
        <v>550.0</v>
      </c>
      <c r="H153" s="27">
        <v>270.0</v>
      </c>
      <c r="I153" s="27">
        <v>28824.0</v>
      </c>
      <c r="J153" s="27">
        <v>28370.0</v>
      </c>
      <c r="K153" s="27">
        <v>47.0</v>
      </c>
      <c r="L153" s="28" t="s">
        <v>30</v>
      </c>
      <c r="M153" s="10"/>
      <c r="N153" s="10"/>
      <c r="O153" s="28" t="s">
        <v>375</v>
      </c>
      <c r="P153" s="26">
        <f t="shared" si="50"/>
        <v>45717</v>
      </c>
      <c r="Q153" s="26">
        <f t="shared" si="51"/>
        <v>45747</v>
      </c>
      <c r="R153" s="28" t="str">
        <f t="shared" si="3"/>
        <v>During Campaign</v>
      </c>
      <c r="S153" s="27">
        <f t="shared" si="4"/>
        <v>5624</v>
      </c>
      <c r="T153" s="29">
        <f t="shared" si="5"/>
        <v>0.1951151818</v>
      </c>
    </row>
    <row r="154">
      <c r="A154" s="10" t="s">
        <v>204</v>
      </c>
      <c r="B154" s="10" t="s">
        <v>13</v>
      </c>
      <c r="C154" s="26">
        <v>45658.0</v>
      </c>
      <c r="D154" s="10" t="s">
        <v>53</v>
      </c>
      <c r="E154" s="10" t="s">
        <v>92</v>
      </c>
      <c r="F154" s="27">
        <v>754.0</v>
      </c>
      <c r="G154" s="27">
        <v>197.0</v>
      </c>
      <c r="H154" s="27">
        <v>257.0</v>
      </c>
      <c r="I154" s="27">
        <v>6786.0</v>
      </c>
      <c r="J154" s="27">
        <v>6221.0</v>
      </c>
      <c r="K154" s="27">
        <v>212.0</v>
      </c>
      <c r="L154" s="28" t="s">
        <v>21</v>
      </c>
      <c r="M154" s="10"/>
      <c r="N154" s="10"/>
      <c r="O154" s="28" t="s">
        <v>372</v>
      </c>
      <c r="P154" s="26">
        <f t="shared" si="50"/>
        <v>45651</v>
      </c>
      <c r="Q154" s="26">
        <f t="shared" si="51"/>
        <v>45667</v>
      </c>
      <c r="R154" s="28" t="str">
        <f t="shared" si="3"/>
        <v>During Campaign</v>
      </c>
      <c r="S154" s="27">
        <f t="shared" si="4"/>
        <v>1208</v>
      </c>
      <c r="T154" s="29">
        <f t="shared" si="5"/>
        <v>0.1780135573</v>
      </c>
    </row>
    <row r="155">
      <c r="A155" s="10" t="s">
        <v>205</v>
      </c>
      <c r="B155" s="10" t="s">
        <v>27</v>
      </c>
      <c r="C155" s="26">
        <v>45574.0</v>
      </c>
      <c r="D155" s="10" t="s">
        <v>34</v>
      </c>
      <c r="E155" s="10" t="s">
        <v>62</v>
      </c>
      <c r="F155" s="27">
        <v>985.0</v>
      </c>
      <c r="G155" s="27">
        <v>932.0</v>
      </c>
      <c r="H155" s="27">
        <v>287.0</v>
      </c>
      <c r="I155" s="27">
        <v>6895.0</v>
      </c>
      <c r="J155" s="27">
        <v>6757.0</v>
      </c>
      <c r="K155" s="27">
        <v>64.0</v>
      </c>
      <c r="L155" s="28" t="s">
        <v>16</v>
      </c>
      <c r="M155" s="10"/>
      <c r="N155" s="10"/>
      <c r="O155" s="28" t="s">
        <v>375</v>
      </c>
      <c r="P155" s="26">
        <f t="shared" si="50"/>
        <v>45717</v>
      </c>
      <c r="Q155" s="26">
        <f t="shared" si="51"/>
        <v>45747</v>
      </c>
      <c r="R155" s="28" t="str">
        <f t="shared" si="3"/>
        <v>During Campaign</v>
      </c>
      <c r="S155" s="27">
        <f t="shared" si="4"/>
        <v>2204</v>
      </c>
      <c r="T155" s="29">
        <f t="shared" si="5"/>
        <v>0.3196519217</v>
      </c>
    </row>
    <row r="156">
      <c r="A156" s="10" t="s">
        <v>206</v>
      </c>
      <c r="B156" s="10" t="s">
        <v>24</v>
      </c>
      <c r="C156" s="26">
        <v>45647.0</v>
      </c>
      <c r="D156" s="10" t="s">
        <v>39</v>
      </c>
      <c r="E156" s="10" t="s">
        <v>40</v>
      </c>
      <c r="F156" s="27">
        <v>2283.0</v>
      </c>
      <c r="G156" s="27">
        <v>210.0</v>
      </c>
      <c r="H156" s="27">
        <v>130.0</v>
      </c>
      <c r="I156" s="27">
        <v>22830.0</v>
      </c>
      <c r="J156" s="27">
        <v>22617.0</v>
      </c>
      <c r="K156" s="27">
        <v>143.0</v>
      </c>
      <c r="L156" s="28" t="s">
        <v>16</v>
      </c>
      <c r="M156" s="10"/>
      <c r="N156" s="10"/>
      <c r="O156" s="28" t="s">
        <v>368</v>
      </c>
      <c r="P156" s="26">
        <f t="shared" si="50"/>
        <v>45566</v>
      </c>
      <c r="Q156" s="26">
        <f t="shared" si="51"/>
        <v>45596</v>
      </c>
      <c r="R156" s="28" t="str">
        <f t="shared" si="3"/>
        <v>During Campaign</v>
      </c>
      <c r="S156" s="27">
        <f t="shared" si="4"/>
        <v>2623</v>
      </c>
      <c r="T156" s="29">
        <f t="shared" si="5"/>
        <v>0.1148926851</v>
      </c>
    </row>
    <row r="157">
      <c r="A157" s="10" t="s">
        <v>207</v>
      </c>
      <c r="B157" s="10" t="s">
        <v>33</v>
      </c>
      <c r="C157" s="26">
        <v>45587.0</v>
      </c>
      <c r="D157" s="10" t="s">
        <v>34</v>
      </c>
      <c r="E157" s="10" t="s">
        <v>35</v>
      </c>
      <c r="F157" s="27">
        <v>3352.0</v>
      </c>
      <c r="G157" s="27">
        <v>941.0</v>
      </c>
      <c r="H157" s="27">
        <v>482.0</v>
      </c>
      <c r="I157" s="27">
        <v>43576.0</v>
      </c>
      <c r="J157" s="27">
        <v>43338.0</v>
      </c>
      <c r="K157" s="27">
        <v>240.0</v>
      </c>
      <c r="L157" s="28" t="s">
        <v>16</v>
      </c>
      <c r="M157" s="10"/>
      <c r="N157" s="10"/>
      <c r="O157" s="28" t="s">
        <v>368</v>
      </c>
      <c r="P157" s="26">
        <f t="shared" si="50"/>
        <v>45566</v>
      </c>
      <c r="Q157" s="26">
        <f t="shared" si="51"/>
        <v>45596</v>
      </c>
      <c r="R157" s="28" t="str">
        <f t="shared" si="3"/>
        <v>During Campaign</v>
      </c>
      <c r="S157" s="27">
        <f t="shared" si="4"/>
        <v>4775</v>
      </c>
      <c r="T157" s="29">
        <f t="shared" si="5"/>
        <v>0.1095786672</v>
      </c>
    </row>
    <row r="158">
      <c r="A158" s="10" t="s">
        <v>208</v>
      </c>
      <c r="B158" s="10" t="s">
        <v>24</v>
      </c>
      <c r="C158" s="26">
        <v>45496.0</v>
      </c>
      <c r="D158" s="10" t="s">
        <v>28</v>
      </c>
      <c r="E158" s="10" t="s">
        <v>98</v>
      </c>
      <c r="F158" s="27">
        <v>4775.0</v>
      </c>
      <c r="G158" s="27">
        <v>173.0</v>
      </c>
      <c r="H158" s="27">
        <v>206.0</v>
      </c>
      <c r="I158" s="27">
        <v>47750.0</v>
      </c>
      <c r="J158" s="27">
        <v>47544.0</v>
      </c>
      <c r="K158" s="27">
        <v>187.0</v>
      </c>
      <c r="L158" s="28" t="s">
        <v>16</v>
      </c>
      <c r="M158" s="10"/>
      <c r="N158" s="10"/>
      <c r="O158" s="28" t="s">
        <v>368</v>
      </c>
      <c r="P158" s="26">
        <f t="shared" si="50"/>
        <v>45566</v>
      </c>
      <c r="Q158" s="26">
        <f t="shared" si="51"/>
        <v>45596</v>
      </c>
      <c r="R158" s="28" t="str">
        <f t="shared" si="3"/>
        <v>During Campaign</v>
      </c>
      <c r="S158" s="27">
        <f t="shared" si="4"/>
        <v>5154</v>
      </c>
      <c r="T158" s="29">
        <f t="shared" si="5"/>
        <v>0.1079371728</v>
      </c>
    </row>
    <row r="159">
      <c r="A159" s="10" t="s">
        <v>209</v>
      </c>
      <c r="B159" s="10" t="s">
        <v>27</v>
      </c>
      <c r="C159" s="26">
        <v>45515.0</v>
      </c>
      <c r="D159" s="10" t="s">
        <v>28</v>
      </c>
      <c r="E159" s="10" t="s">
        <v>29</v>
      </c>
      <c r="F159" s="27">
        <v>1762.0</v>
      </c>
      <c r="G159" s="27">
        <v>405.0</v>
      </c>
      <c r="H159" s="27">
        <v>423.0</v>
      </c>
      <c r="I159" s="27">
        <v>22906.0</v>
      </c>
      <c r="J159" s="27">
        <v>21925.0</v>
      </c>
      <c r="K159" s="27">
        <v>25.0</v>
      </c>
      <c r="L159" s="28" t="s">
        <v>21</v>
      </c>
      <c r="M159" s="10"/>
      <c r="N159" s="10"/>
      <c r="O159" s="28" t="s">
        <v>365</v>
      </c>
      <c r="P159" s="26">
        <f t="shared" si="50"/>
        <v>45458</v>
      </c>
      <c r="Q159" s="26">
        <f t="shared" si="51"/>
        <v>45488</v>
      </c>
      <c r="R159" s="28" t="str">
        <f t="shared" si="3"/>
        <v>During Campaign</v>
      </c>
      <c r="S159" s="27">
        <f t="shared" si="4"/>
        <v>2590</v>
      </c>
      <c r="T159" s="29">
        <f t="shared" si="5"/>
        <v>0.1130708111</v>
      </c>
    </row>
    <row r="160">
      <c r="A160" s="10" t="s">
        <v>210</v>
      </c>
      <c r="B160" s="10" t="s">
        <v>33</v>
      </c>
      <c r="C160" s="26">
        <v>45621.0</v>
      </c>
      <c r="D160" s="10" t="s">
        <v>28</v>
      </c>
      <c r="E160" s="10" t="s">
        <v>51</v>
      </c>
      <c r="F160" s="27">
        <v>2120.0</v>
      </c>
      <c r="G160" s="27">
        <v>158.0</v>
      </c>
      <c r="H160" s="27">
        <v>488.0</v>
      </c>
      <c r="I160" s="27">
        <v>12720.0</v>
      </c>
      <c r="J160" s="27">
        <v>12085.0</v>
      </c>
      <c r="K160" s="27">
        <v>17.0</v>
      </c>
      <c r="L160" s="28" t="s">
        <v>16</v>
      </c>
      <c r="M160" s="10"/>
      <c r="N160" s="10"/>
      <c r="O160" s="28" t="s">
        <v>368</v>
      </c>
      <c r="P160" s="26">
        <f t="shared" si="50"/>
        <v>45566</v>
      </c>
      <c r="Q160" s="26">
        <f t="shared" si="51"/>
        <v>45596</v>
      </c>
      <c r="R160" s="28" t="str">
        <f t="shared" si="3"/>
        <v>During Campaign</v>
      </c>
      <c r="S160" s="27">
        <f t="shared" si="4"/>
        <v>2766</v>
      </c>
      <c r="T160" s="29">
        <f t="shared" si="5"/>
        <v>0.2174528302</v>
      </c>
    </row>
    <row r="161">
      <c r="A161" s="10" t="s">
        <v>211</v>
      </c>
      <c r="B161" s="10" t="s">
        <v>13</v>
      </c>
      <c r="C161" s="26">
        <v>45528.0</v>
      </c>
      <c r="D161" s="10" t="s">
        <v>53</v>
      </c>
      <c r="E161" s="10" t="s">
        <v>92</v>
      </c>
      <c r="F161" s="27">
        <v>1082.0</v>
      </c>
      <c r="G161" s="27">
        <v>209.0</v>
      </c>
      <c r="H161" s="27">
        <v>484.0</v>
      </c>
      <c r="I161" s="27">
        <v>19476.0</v>
      </c>
      <c r="J161" s="27">
        <v>18654.0</v>
      </c>
      <c r="K161" s="27">
        <v>20.0</v>
      </c>
      <c r="L161" s="28" t="s">
        <v>21</v>
      </c>
      <c r="M161" s="10"/>
      <c r="N161" s="10"/>
      <c r="O161" s="28"/>
      <c r="P161" s="86"/>
      <c r="Q161" s="86"/>
      <c r="R161" s="28" t="str">
        <f t="shared" si="3"/>
        <v>After Campaign</v>
      </c>
      <c r="S161" s="27">
        <f t="shared" si="4"/>
        <v>1775</v>
      </c>
      <c r="T161" s="29">
        <f t="shared" si="5"/>
        <v>0.09113781064</v>
      </c>
    </row>
    <row r="162">
      <c r="A162" s="10" t="s">
        <v>212</v>
      </c>
      <c r="B162" s="10" t="s">
        <v>13</v>
      </c>
      <c r="C162" s="26">
        <v>45707.0</v>
      </c>
      <c r="D162" s="10" t="s">
        <v>19</v>
      </c>
      <c r="E162" s="10" t="s">
        <v>20</v>
      </c>
      <c r="F162" s="27">
        <v>4671.0</v>
      </c>
      <c r="G162" s="27">
        <v>876.0</v>
      </c>
      <c r="H162" s="27">
        <v>366.0</v>
      </c>
      <c r="I162" s="27">
        <v>51381.0</v>
      </c>
      <c r="J162" s="27">
        <v>50565.0</v>
      </c>
      <c r="K162" s="27">
        <v>245.0</v>
      </c>
      <c r="L162" s="28" t="s">
        <v>21</v>
      </c>
      <c r="M162" s="10"/>
      <c r="N162" s="10"/>
      <c r="O162" s="28" t="s">
        <v>375</v>
      </c>
      <c r="P162" s="26">
        <f>IFS(
  O162="SummerSplash", DATE(2024,6,15),
  O162="FestiveRadiance", DATE(2024,10,1),
  O162="NewYearRefresh", DATE(2024,12,25),
  O162="DailyWellness", DATE(2025,3,1)
)
</f>
        <v>45717</v>
      </c>
      <c r="Q162" s="26">
        <f>IFS(
  O162="SummerSplash", DATE(2024,7,15),
  O162="FestiveRadiance", DATE(2024,10,31),
  O162="NewYearRefresh", DATE(2025,1,10),
  O162="DailyWellness", DATE(2025,3,31)
)
</f>
        <v>45747</v>
      </c>
      <c r="R162" s="28" t="str">
        <f t="shared" si="3"/>
        <v>During Campaign</v>
      </c>
      <c r="S162" s="27">
        <f t="shared" si="4"/>
        <v>5913</v>
      </c>
      <c r="T162" s="29">
        <f t="shared" si="5"/>
        <v>0.1150814503</v>
      </c>
    </row>
    <row r="163">
      <c r="A163" s="10" t="s">
        <v>213</v>
      </c>
      <c r="B163" s="10" t="s">
        <v>33</v>
      </c>
      <c r="C163" s="26">
        <v>45748.0</v>
      </c>
      <c r="D163" s="10" t="s">
        <v>28</v>
      </c>
      <c r="E163" s="10" t="s">
        <v>51</v>
      </c>
      <c r="F163" s="27">
        <v>3430.0</v>
      </c>
      <c r="G163" s="27">
        <v>566.0</v>
      </c>
      <c r="H163" s="27">
        <v>164.0</v>
      </c>
      <c r="I163" s="27">
        <v>48020.0</v>
      </c>
      <c r="J163" s="27">
        <v>47305.0</v>
      </c>
      <c r="K163" s="27">
        <v>120.0</v>
      </c>
      <c r="L163" s="28" t="s">
        <v>16</v>
      </c>
      <c r="M163" s="10"/>
      <c r="N163" s="10"/>
      <c r="O163" s="28"/>
      <c r="P163" s="86"/>
      <c r="Q163" s="86"/>
      <c r="R163" s="28" t="str">
        <f t="shared" si="3"/>
        <v>After Campaign</v>
      </c>
      <c r="S163" s="27">
        <f t="shared" si="4"/>
        <v>4160</v>
      </c>
      <c r="T163" s="29">
        <f t="shared" si="5"/>
        <v>0.0866305706</v>
      </c>
    </row>
    <row r="164">
      <c r="A164" s="10" t="s">
        <v>214</v>
      </c>
      <c r="B164" s="10" t="s">
        <v>27</v>
      </c>
      <c r="C164" s="26">
        <v>45755.0</v>
      </c>
      <c r="D164" s="10" t="s">
        <v>39</v>
      </c>
      <c r="E164" s="10" t="s">
        <v>131</v>
      </c>
      <c r="F164" s="27">
        <v>4501.0</v>
      </c>
      <c r="G164" s="27">
        <v>375.0</v>
      </c>
      <c r="H164" s="27">
        <v>323.0</v>
      </c>
      <c r="I164" s="27">
        <v>22505.0</v>
      </c>
      <c r="J164" s="27">
        <v>21836.0</v>
      </c>
      <c r="K164" s="27">
        <v>132.0</v>
      </c>
      <c r="L164" s="28" t="s">
        <v>21</v>
      </c>
      <c r="M164" s="10"/>
      <c r="N164" s="10"/>
      <c r="O164" s="28" t="s">
        <v>368</v>
      </c>
      <c r="P164" s="26">
        <f t="shared" ref="P164:P167" si="52">IFS(
  O164="SummerSplash", DATE(2024,6,15),
  O164="FestiveRadiance", DATE(2024,10,1),
  O164="NewYearRefresh", DATE(2024,12,25),
  O164="DailyWellness", DATE(2025,3,1)
)
</f>
        <v>45566</v>
      </c>
      <c r="Q164" s="26">
        <f t="shared" ref="Q164:Q167" si="53">IFS(
  O164="SummerSplash", DATE(2024,7,15),
  O164="FestiveRadiance", DATE(2024,10,31),
  O164="NewYearRefresh", DATE(2025,1,10),
  O164="DailyWellness", DATE(2025,3,31)
)
</f>
        <v>45596</v>
      </c>
      <c r="R164" s="28" t="str">
        <f t="shared" si="3"/>
        <v>During Campaign</v>
      </c>
      <c r="S164" s="27">
        <f t="shared" si="4"/>
        <v>5199</v>
      </c>
      <c r="T164" s="29">
        <f t="shared" si="5"/>
        <v>0.2310153299</v>
      </c>
    </row>
    <row r="165">
      <c r="A165" s="10" t="s">
        <v>215</v>
      </c>
      <c r="B165" s="10" t="s">
        <v>24</v>
      </c>
      <c r="C165" s="26">
        <v>45715.0</v>
      </c>
      <c r="D165" s="10" t="s">
        <v>19</v>
      </c>
      <c r="E165" s="10" t="s">
        <v>70</v>
      </c>
      <c r="F165" s="27">
        <v>4934.0</v>
      </c>
      <c r="G165" s="27">
        <v>971.0</v>
      </c>
      <c r="H165" s="27">
        <v>156.0</v>
      </c>
      <c r="I165" s="27">
        <v>39472.0</v>
      </c>
      <c r="J165" s="27">
        <v>39025.0</v>
      </c>
      <c r="K165" s="27">
        <v>169.0</v>
      </c>
      <c r="L165" s="28" t="s">
        <v>21</v>
      </c>
      <c r="M165" s="28" t="s">
        <v>17</v>
      </c>
      <c r="N165" s="10"/>
      <c r="O165" s="28" t="s">
        <v>375</v>
      </c>
      <c r="P165" s="26">
        <f t="shared" si="52"/>
        <v>45717</v>
      </c>
      <c r="Q165" s="26">
        <f t="shared" si="53"/>
        <v>45747</v>
      </c>
      <c r="R165" s="28" t="str">
        <f t="shared" si="3"/>
        <v>During Campaign</v>
      </c>
      <c r="S165" s="27">
        <f t="shared" si="4"/>
        <v>6061</v>
      </c>
      <c r="T165" s="29">
        <f t="shared" si="5"/>
        <v>0.1535518849</v>
      </c>
    </row>
    <row r="166">
      <c r="A166" s="10" t="s">
        <v>216</v>
      </c>
      <c r="B166" s="10" t="s">
        <v>13</v>
      </c>
      <c r="C166" s="26">
        <v>45637.0</v>
      </c>
      <c r="D166" s="10" t="s">
        <v>19</v>
      </c>
      <c r="E166" s="10" t="s">
        <v>20</v>
      </c>
      <c r="F166" s="27">
        <v>3239.0</v>
      </c>
      <c r="G166" s="27">
        <v>43.0</v>
      </c>
      <c r="H166" s="27">
        <v>211.0</v>
      </c>
      <c r="I166" s="27">
        <v>22673.0</v>
      </c>
      <c r="J166" s="27">
        <v>22171.0</v>
      </c>
      <c r="K166" s="27">
        <v>230.0</v>
      </c>
      <c r="L166" s="28" t="s">
        <v>21</v>
      </c>
      <c r="M166" s="10"/>
      <c r="N166" s="10"/>
      <c r="O166" s="28" t="s">
        <v>368</v>
      </c>
      <c r="P166" s="26">
        <f t="shared" si="52"/>
        <v>45566</v>
      </c>
      <c r="Q166" s="26">
        <f t="shared" si="53"/>
        <v>45596</v>
      </c>
      <c r="R166" s="28" t="str">
        <f t="shared" si="3"/>
        <v>During Campaign</v>
      </c>
      <c r="S166" s="27">
        <f t="shared" si="4"/>
        <v>3493</v>
      </c>
      <c r="T166" s="29">
        <f t="shared" si="5"/>
        <v>0.154059895</v>
      </c>
    </row>
    <row r="167">
      <c r="A167" s="10" t="s">
        <v>217</v>
      </c>
      <c r="B167" s="10" t="s">
        <v>13</v>
      </c>
      <c r="C167" s="26">
        <v>45704.0</v>
      </c>
      <c r="D167" s="10" t="s">
        <v>14</v>
      </c>
      <c r="E167" s="10" t="s">
        <v>15</v>
      </c>
      <c r="F167" s="27">
        <v>1076.0</v>
      </c>
      <c r="G167" s="27">
        <v>313.0</v>
      </c>
      <c r="H167" s="27">
        <v>306.0</v>
      </c>
      <c r="I167" s="27">
        <v>11836.0</v>
      </c>
      <c r="J167" s="27">
        <v>11596.0</v>
      </c>
      <c r="K167" s="27">
        <v>104.0</v>
      </c>
      <c r="L167" s="28" t="s">
        <v>16</v>
      </c>
      <c r="M167" s="10"/>
      <c r="N167" s="10"/>
      <c r="O167" s="28" t="s">
        <v>365</v>
      </c>
      <c r="P167" s="26">
        <f t="shared" si="52"/>
        <v>45458</v>
      </c>
      <c r="Q167" s="26">
        <f t="shared" si="53"/>
        <v>45488</v>
      </c>
      <c r="R167" s="28" t="str">
        <f t="shared" si="3"/>
        <v>During Campaign</v>
      </c>
      <c r="S167" s="27">
        <f t="shared" si="4"/>
        <v>1695</v>
      </c>
      <c r="T167" s="29">
        <f t="shared" si="5"/>
        <v>0.1432071646</v>
      </c>
    </row>
    <row r="168">
      <c r="A168" s="10" t="s">
        <v>218</v>
      </c>
      <c r="B168" s="10" t="s">
        <v>27</v>
      </c>
      <c r="C168" s="26">
        <v>45624.0</v>
      </c>
      <c r="D168" s="10" t="s">
        <v>19</v>
      </c>
      <c r="E168" s="10" t="s">
        <v>75</v>
      </c>
      <c r="F168" s="27">
        <v>4771.0</v>
      </c>
      <c r="G168" s="27">
        <v>818.0</v>
      </c>
      <c r="H168" s="27">
        <v>56.0</v>
      </c>
      <c r="I168" s="27">
        <v>57252.0</v>
      </c>
      <c r="J168" s="27">
        <v>56378.0</v>
      </c>
      <c r="K168" s="27">
        <v>150.0</v>
      </c>
      <c r="L168" s="28" t="s">
        <v>16</v>
      </c>
      <c r="M168" s="10"/>
      <c r="N168" s="10"/>
      <c r="O168" s="28"/>
      <c r="P168" s="86"/>
      <c r="Q168" s="86"/>
      <c r="R168" s="28" t="str">
        <f t="shared" si="3"/>
        <v>After Campaign</v>
      </c>
      <c r="S168" s="27">
        <f t="shared" si="4"/>
        <v>5645</v>
      </c>
      <c r="T168" s="29">
        <f t="shared" si="5"/>
        <v>0.09859917557</v>
      </c>
    </row>
    <row r="169">
      <c r="A169" s="10" t="s">
        <v>219</v>
      </c>
      <c r="B169" s="10" t="s">
        <v>33</v>
      </c>
      <c r="C169" s="26">
        <v>45608.0</v>
      </c>
      <c r="D169" s="10" t="s">
        <v>19</v>
      </c>
      <c r="E169" s="10" t="s">
        <v>42</v>
      </c>
      <c r="F169" s="27">
        <v>2418.0</v>
      </c>
      <c r="G169" s="27">
        <v>754.0</v>
      </c>
      <c r="H169" s="27">
        <v>54.0</v>
      </c>
      <c r="I169" s="27">
        <v>43524.0</v>
      </c>
      <c r="J169" s="27">
        <v>42743.0</v>
      </c>
      <c r="K169" s="27">
        <v>182.0</v>
      </c>
      <c r="L169" s="28" t="s">
        <v>30</v>
      </c>
      <c r="M169" s="10"/>
      <c r="N169" s="10"/>
      <c r="O169" s="28" t="s">
        <v>365</v>
      </c>
      <c r="P169" s="26">
        <f t="shared" ref="P169:P174" si="54">IFS(
  O169="SummerSplash", DATE(2024,6,15),
  O169="FestiveRadiance", DATE(2024,10,1),
  O169="NewYearRefresh", DATE(2024,12,25),
  O169="DailyWellness", DATE(2025,3,1)
)
</f>
        <v>45458</v>
      </c>
      <c r="Q169" s="26">
        <f t="shared" ref="Q169:Q174" si="55">IFS(
  O169="SummerSplash", DATE(2024,7,15),
  O169="FestiveRadiance", DATE(2024,10,31),
  O169="NewYearRefresh", DATE(2025,1,10),
  O169="DailyWellness", DATE(2025,3,31)
)
</f>
        <v>45488</v>
      </c>
      <c r="R169" s="28" t="str">
        <f t="shared" si="3"/>
        <v>During Campaign</v>
      </c>
      <c r="S169" s="27">
        <f t="shared" si="4"/>
        <v>3226</v>
      </c>
      <c r="T169" s="29">
        <f t="shared" si="5"/>
        <v>0.07412002573</v>
      </c>
    </row>
    <row r="170">
      <c r="A170" s="10" t="s">
        <v>220</v>
      </c>
      <c r="B170" s="10" t="s">
        <v>24</v>
      </c>
      <c r="C170" s="26">
        <v>45629.0</v>
      </c>
      <c r="D170" s="10" t="s">
        <v>53</v>
      </c>
      <c r="E170" s="10" t="s">
        <v>133</v>
      </c>
      <c r="F170" s="27">
        <v>3809.0</v>
      </c>
      <c r="G170" s="27">
        <v>273.0</v>
      </c>
      <c r="H170" s="27">
        <v>200.0</v>
      </c>
      <c r="I170" s="27">
        <v>34281.0</v>
      </c>
      <c r="J170" s="27">
        <v>33534.0</v>
      </c>
      <c r="K170" s="27">
        <v>83.0</v>
      </c>
      <c r="L170" s="28" t="s">
        <v>30</v>
      </c>
      <c r="M170" s="10"/>
      <c r="N170" s="10"/>
      <c r="O170" s="28" t="s">
        <v>365</v>
      </c>
      <c r="P170" s="26">
        <f t="shared" si="54"/>
        <v>45458</v>
      </c>
      <c r="Q170" s="26">
        <f t="shared" si="55"/>
        <v>45488</v>
      </c>
      <c r="R170" s="28" t="str">
        <f t="shared" si="3"/>
        <v>During Campaign</v>
      </c>
      <c r="S170" s="27">
        <f t="shared" si="4"/>
        <v>4282</v>
      </c>
      <c r="T170" s="29">
        <f t="shared" si="5"/>
        <v>0.1249088416</v>
      </c>
    </row>
    <row r="171">
      <c r="A171" s="10" t="s">
        <v>221</v>
      </c>
      <c r="B171" s="10" t="s">
        <v>13</v>
      </c>
      <c r="C171" s="26">
        <v>45775.0</v>
      </c>
      <c r="D171" s="10" t="s">
        <v>19</v>
      </c>
      <c r="E171" s="10" t="s">
        <v>20</v>
      </c>
      <c r="F171" s="27">
        <v>3577.0</v>
      </c>
      <c r="G171" s="27">
        <v>596.0</v>
      </c>
      <c r="H171" s="27">
        <v>493.0</v>
      </c>
      <c r="I171" s="27">
        <v>67963.0</v>
      </c>
      <c r="J171" s="27">
        <v>67839.0</v>
      </c>
      <c r="K171" s="27">
        <v>53.0</v>
      </c>
      <c r="L171" s="28" t="s">
        <v>21</v>
      </c>
      <c r="M171" s="10"/>
      <c r="N171" s="10"/>
      <c r="O171" s="28" t="s">
        <v>372</v>
      </c>
      <c r="P171" s="26">
        <f t="shared" si="54"/>
        <v>45651</v>
      </c>
      <c r="Q171" s="26">
        <f t="shared" si="55"/>
        <v>45667</v>
      </c>
      <c r="R171" s="28" t="str">
        <f t="shared" si="3"/>
        <v>During Campaign</v>
      </c>
      <c r="S171" s="27">
        <f t="shared" si="4"/>
        <v>4666</v>
      </c>
      <c r="T171" s="29">
        <f t="shared" si="5"/>
        <v>0.06865500346</v>
      </c>
    </row>
    <row r="172">
      <c r="A172" s="10" t="s">
        <v>222</v>
      </c>
      <c r="B172" s="10" t="s">
        <v>24</v>
      </c>
      <c r="C172" s="26">
        <v>45657.0</v>
      </c>
      <c r="D172" s="10" t="s">
        <v>53</v>
      </c>
      <c r="E172" s="10" t="s">
        <v>133</v>
      </c>
      <c r="F172" s="27">
        <v>1018.0</v>
      </c>
      <c r="G172" s="27">
        <v>447.0</v>
      </c>
      <c r="H172" s="27">
        <v>332.0</v>
      </c>
      <c r="I172" s="27">
        <v>18324.0</v>
      </c>
      <c r="J172" s="27">
        <v>18164.0</v>
      </c>
      <c r="K172" s="27">
        <v>38.0</v>
      </c>
      <c r="L172" s="28" t="s">
        <v>16</v>
      </c>
      <c r="M172" s="10"/>
      <c r="N172" s="10"/>
      <c r="O172" s="28" t="s">
        <v>368</v>
      </c>
      <c r="P172" s="26">
        <f t="shared" si="54"/>
        <v>45566</v>
      </c>
      <c r="Q172" s="26">
        <f t="shared" si="55"/>
        <v>45596</v>
      </c>
      <c r="R172" s="28" t="str">
        <f t="shared" si="3"/>
        <v>During Campaign</v>
      </c>
      <c r="S172" s="27">
        <f t="shared" si="4"/>
        <v>1797</v>
      </c>
      <c r="T172" s="29">
        <f t="shared" si="5"/>
        <v>0.0980681074</v>
      </c>
    </row>
    <row r="173">
      <c r="A173" s="10" t="s">
        <v>223</v>
      </c>
      <c r="B173" s="10" t="s">
        <v>33</v>
      </c>
      <c r="C173" s="26">
        <v>45518.0</v>
      </c>
      <c r="D173" s="10" t="s">
        <v>34</v>
      </c>
      <c r="E173" s="10" t="s">
        <v>35</v>
      </c>
      <c r="F173" s="27">
        <v>3073.0</v>
      </c>
      <c r="G173" s="27">
        <v>553.0</v>
      </c>
      <c r="H173" s="27">
        <v>174.0</v>
      </c>
      <c r="I173" s="27">
        <v>52241.0</v>
      </c>
      <c r="J173" s="27">
        <v>51605.0</v>
      </c>
      <c r="K173" s="27">
        <v>246.0</v>
      </c>
      <c r="L173" s="28" t="s">
        <v>30</v>
      </c>
      <c r="M173" s="10"/>
      <c r="N173" s="10"/>
      <c r="O173" s="28" t="s">
        <v>372</v>
      </c>
      <c r="P173" s="26">
        <f t="shared" si="54"/>
        <v>45651</v>
      </c>
      <c r="Q173" s="26">
        <f t="shared" si="55"/>
        <v>45667</v>
      </c>
      <c r="R173" s="28" t="str">
        <f t="shared" si="3"/>
        <v>During Campaign</v>
      </c>
      <c r="S173" s="27">
        <f t="shared" si="4"/>
        <v>3800</v>
      </c>
      <c r="T173" s="29">
        <f t="shared" si="5"/>
        <v>0.07273980207</v>
      </c>
    </row>
    <row r="174">
      <c r="A174" s="10" t="s">
        <v>224</v>
      </c>
      <c r="B174" s="10" t="s">
        <v>13</v>
      </c>
      <c r="C174" s="26">
        <v>45631.0</v>
      </c>
      <c r="D174" s="10" t="s">
        <v>53</v>
      </c>
      <c r="E174" s="10" t="s">
        <v>92</v>
      </c>
      <c r="F174" s="27">
        <v>1330.0</v>
      </c>
      <c r="G174" s="27">
        <v>925.0</v>
      </c>
      <c r="H174" s="27">
        <v>35.0</v>
      </c>
      <c r="I174" s="27">
        <v>15960.0</v>
      </c>
      <c r="J174" s="27">
        <v>15379.0</v>
      </c>
      <c r="K174" s="27">
        <v>229.0</v>
      </c>
      <c r="L174" s="28" t="s">
        <v>16</v>
      </c>
      <c r="M174" s="10"/>
      <c r="N174" s="10"/>
      <c r="O174" s="28" t="s">
        <v>372</v>
      </c>
      <c r="P174" s="26">
        <f t="shared" si="54"/>
        <v>45651</v>
      </c>
      <c r="Q174" s="26">
        <f t="shared" si="55"/>
        <v>45667</v>
      </c>
      <c r="R174" s="28" t="str">
        <f t="shared" si="3"/>
        <v>During Campaign</v>
      </c>
      <c r="S174" s="27">
        <f t="shared" si="4"/>
        <v>2290</v>
      </c>
      <c r="T174" s="29">
        <f t="shared" si="5"/>
        <v>0.1434837093</v>
      </c>
    </row>
    <row r="175">
      <c r="A175" s="10" t="s">
        <v>225</v>
      </c>
      <c r="B175" s="10" t="s">
        <v>33</v>
      </c>
      <c r="C175" s="26">
        <v>45465.0</v>
      </c>
      <c r="D175" s="10" t="s">
        <v>19</v>
      </c>
      <c r="E175" s="10" t="s">
        <v>42</v>
      </c>
      <c r="F175" s="27">
        <v>3828.0</v>
      </c>
      <c r="G175" s="27">
        <v>148.0</v>
      </c>
      <c r="H175" s="27">
        <v>253.0</v>
      </c>
      <c r="I175" s="27">
        <v>30624.0</v>
      </c>
      <c r="J175" s="27">
        <v>30229.0</v>
      </c>
      <c r="K175" s="27">
        <v>235.0</v>
      </c>
      <c r="L175" s="28" t="s">
        <v>30</v>
      </c>
      <c r="M175" s="10"/>
      <c r="N175" s="10"/>
      <c r="O175" s="28"/>
      <c r="P175" s="86"/>
      <c r="Q175" s="86"/>
      <c r="R175" s="28" t="str">
        <f t="shared" si="3"/>
        <v>After Campaign</v>
      </c>
      <c r="S175" s="27">
        <f t="shared" si="4"/>
        <v>4229</v>
      </c>
      <c r="T175" s="29">
        <f t="shared" si="5"/>
        <v>0.1380943051</v>
      </c>
    </row>
    <row r="176">
      <c r="A176" s="10" t="s">
        <v>226</v>
      </c>
      <c r="B176" s="10" t="s">
        <v>27</v>
      </c>
      <c r="C176" s="26">
        <v>45674.0</v>
      </c>
      <c r="D176" s="10" t="s">
        <v>14</v>
      </c>
      <c r="E176" s="10" t="s">
        <v>58</v>
      </c>
      <c r="F176" s="27">
        <v>142.0</v>
      </c>
      <c r="G176" s="27">
        <v>784.0</v>
      </c>
      <c r="H176" s="27">
        <v>183.0</v>
      </c>
      <c r="I176" s="27">
        <v>1704.0</v>
      </c>
      <c r="J176" s="27">
        <v>995.0</v>
      </c>
      <c r="K176" s="27">
        <v>154.0</v>
      </c>
      <c r="L176" s="28" t="s">
        <v>16</v>
      </c>
      <c r="M176" s="10"/>
      <c r="N176" s="10"/>
      <c r="O176" s="28" t="s">
        <v>375</v>
      </c>
      <c r="P176" s="26">
        <f t="shared" ref="P176:P179" si="56">IFS(
  O176="SummerSplash", DATE(2024,6,15),
  O176="FestiveRadiance", DATE(2024,10,1),
  O176="NewYearRefresh", DATE(2024,12,25),
  O176="DailyWellness", DATE(2025,3,1)
)
</f>
        <v>45717</v>
      </c>
      <c r="Q176" s="26">
        <f t="shared" ref="Q176:Q179" si="57">IFS(
  O176="SummerSplash", DATE(2024,7,15),
  O176="FestiveRadiance", DATE(2024,10,31),
  O176="NewYearRefresh", DATE(2025,1,10),
  O176="DailyWellness", DATE(2025,3,31)
)
</f>
        <v>45747</v>
      </c>
      <c r="R176" s="28" t="str">
        <f t="shared" si="3"/>
        <v>During Campaign</v>
      </c>
      <c r="S176" s="27">
        <f t="shared" si="4"/>
        <v>1109</v>
      </c>
      <c r="T176" s="29">
        <f t="shared" si="5"/>
        <v>0.6508215962</v>
      </c>
    </row>
    <row r="177">
      <c r="A177" s="10" t="s">
        <v>227</v>
      </c>
      <c r="B177" s="10" t="s">
        <v>33</v>
      </c>
      <c r="C177" s="26">
        <v>45463.0</v>
      </c>
      <c r="D177" s="10" t="s">
        <v>53</v>
      </c>
      <c r="E177" s="10" t="s">
        <v>54</v>
      </c>
      <c r="F177" s="27">
        <v>3798.0</v>
      </c>
      <c r="G177" s="27">
        <v>31.0</v>
      </c>
      <c r="H177" s="27">
        <v>279.0</v>
      </c>
      <c r="I177" s="27">
        <v>75960.0</v>
      </c>
      <c r="J177" s="27">
        <v>75813.0</v>
      </c>
      <c r="K177" s="27">
        <v>266.0</v>
      </c>
      <c r="L177" s="28" t="s">
        <v>21</v>
      </c>
      <c r="M177" s="10"/>
      <c r="N177" s="10"/>
      <c r="O177" s="28" t="s">
        <v>365</v>
      </c>
      <c r="P177" s="26">
        <f t="shared" si="56"/>
        <v>45458</v>
      </c>
      <c r="Q177" s="26">
        <f t="shared" si="57"/>
        <v>45488</v>
      </c>
      <c r="R177" s="28" t="str">
        <f t="shared" si="3"/>
        <v>During Campaign</v>
      </c>
      <c r="S177" s="27">
        <f t="shared" si="4"/>
        <v>4108</v>
      </c>
      <c r="T177" s="29">
        <f t="shared" si="5"/>
        <v>0.05408109531</v>
      </c>
    </row>
    <row r="178">
      <c r="A178" s="10" t="s">
        <v>228</v>
      </c>
      <c r="B178" s="10" t="s">
        <v>27</v>
      </c>
      <c r="C178" s="26">
        <v>45483.0</v>
      </c>
      <c r="D178" s="10" t="s">
        <v>34</v>
      </c>
      <c r="E178" s="10" t="s">
        <v>62</v>
      </c>
      <c r="F178" s="27">
        <v>3099.0</v>
      </c>
      <c r="G178" s="27">
        <v>694.0</v>
      </c>
      <c r="H178" s="27">
        <v>171.0</v>
      </c>
      <c r="I178" s="27">
        <v>43386.0</v>
      </c>
      <c r="J178" s="27">
        <v>42921.0</v>
      </c>
      <c r="K178" s="27">
        <v>52.0</v>
      </c>
      <c r="L178" s="28" t="s">
        <v>21</v>
      </c>
      <c r="M178" s="10"/>
      <c r="N178" s="10"/>
      <c r="O178" s="28" t="s">
        <v>372</v>
      </c>
      <c r="P178" s="26">
        <f t="shared" si="56"/>
        <v>45651</v>
      </c>
      <c r="Q178" s="26">
        <f t="shared" si="57"/>
        <v>45667</v>
      </c>
      <c r="R178" s="28" t="str">
        <f t="shared" si="3"/>
        <v>During Campaign</v>
      </c>
      <c r="S178" s="27">
        <f t="shared" si="4"/>
        <v>3964</v>
      </c>
      <c r="T178" s="29">
        <f t="shared" si="5"/>
        <v>0.09136587839</v>
      </c>
    </row>
    <row r="179">
      <c r="A179" s="10" t="s">
        <v>229</v>
      </c>
      <c r="B179" s="10" t="s">
        <v>27</v>
      </c>
      <c r="C179" s="26">
        <v>45603.0</v>
      </c>
      <c r="D179" s="10" t="s">
        <v>53</v>
      </c>
      <c r="E179" s="10" t="s">
        <v>60</v>
      </c>
      <c r="F179" s="27">
        <v>129.0</v>
      </c>
      <c r="G179" s="27">
        <v>643.0</v>
      </c>
      <c r="H179" s="27">
        <v>136.0</v>
      </c>
      <c r="I179" s="27">
        <v>1290.0</v>
      </c>
      <c r="J179" s="27">
        <v>839.0</v>
      </c>
      <c r="K179" s="27">
        <v>238.0</v>
      </c>
      <c r="L179" s="28" t="s">
        <v>21</v>
      </c>
      <c r="M179" s="10"/>
      <c r="N179" s="10"/>
      <c r="O179" s="28" t="s">
        <v>375</v>
      </c>
      <c r="P179" s="26">
        <f t="shared" si="56"/>
        <v>45717</v>
      </c>
      <c r="Q179" s="26">
        <f t="shared" si="57"/>
        <v>45747</v>
      </c>
      <c r="R179" s="28" t="str">
        <f t="shared" si="3"/>
        <v>During Campaign</v>
      </c>
      <c r="S179" s="27">
        <f t="shared" si="4"/>
        <v>908</v>
      </c>
      <c r="T179" s="29">
        <f t="shared" si="5"/>
        <v>0.703875969</v>
      </c>
    </row>
    <row r="180">
      <c r="A180" s="10" t="s">
        <v>230</v>
      </c>
      <c r="B180" s="10" t="s">
        <v>33</v>
      </c>
      <c r="C180" s="26">
        <v>45488.0</v>
      </c>
      <c r="D180" s="10" t="s">
        <v>34</v>
      </c>
      <c r="E180" s="10" t="s">
        <v>35</v>
      </c>
      <c r="F180" s="27">
        <v>3796.0</v>
      </c>
      <c r="G180" s="27">
        <v>667.0</v>
      </c>
      <c r="H180" s="27">
        <v>395.0</v>
      </c>
      <c r="I180" s="27">
        <v>64532.0</v>
      </c>
      <c r="J180" s="27">
        <v>63550.0</v>
      </c>
      <c r="K180" s="27">
        <v>292.0</v>
      </c>
      <c r="L180" s="28" t="s">
        <v>21</v>
      </c>
      <c r="M180" s="10"/>
      <c r="N180" s="10"/>
      <c r="O180" s="28"/>
      <c r="P180" s="86"/>
      <c r="Q180" s="86"/>
      <c r="R180" s="28" t="str">
        <f t="shared" si="3"/>
        <v>After Campaign</v>
      </c>
      <c r="S180" s="27">
        <f t="shared" si="4"/>
        <v>4858</v>
      </c>
      <c r="T180" s="29">
        <f t="shared" si="5"/>
        <v>0.075280481</v>
      </c>
    </row>
    <row r="181">
      <c r="A181" s="10" t="s">
        <v>231</v>
      </c>
      <c r="B181" s="10" t="s">
        <v>24</v>
      </c>
      <c r="C181" s="26">
        <v>45629.0</v>
      </c>
      <c r="D181" s="10" t="s">
        <v>19</v>
      </c>
      <c r="E181" s="10" t="s">
        <v>70</v>
      </c>
      <c r="F181" s="27">
        <v>3711.0</v>
      </c>
      <c r="G181" s="27">
        <v>352.0</v>
      </c>
      <c r="H181" s="27">
        <v>290.0</v>
      </c>
      <c r="I181" s="27">
        <v>48243.0</v>
      </c>
      <c r="J181" s="27">
        <v>47579.0</v>
      </c>
      <c r="K181" s="27">
        <v>11.0</v>
      </c>
      <c r="L181" s="28" t="s">
        <v>21</v>
      </c>
      <c r="M181" s="10"/>
      <c r="N181" s="10"/>
      <c r="O181" s="28" t="s">
        <v>365</v>
      </c>
      <c r="P181" s="26">
        <f t="shared" ref="P181:P185" si="58">IFS(
  O181="SummerSplash", DATE(2024,6,15),
  O181="FestiveRadiance", DATE(2024,10,1),
  O181="NewYearRefresh", DATE(2024,12,25),
  O181="DailyWellness", DATE(2025,3,1)
)
</f>
        <v>45458</v>
      </c>
      <c r="Q181" s="26">
        <f t="shared" ref="Q181:Q185" si="59">IFS(
  O181="SummerSplash", DATE(2024,7,15),
  O181="FestiveRadiance", DATE(2024,10,31),
  O181="NewYearRefresh", DATE(2025,1,10),
  O181="DailyWellness", DATE(2025,3,31)
)
</f>
        <v>45488</v>
      </c>
      <c r="R181" s="28" t="str">
        <f t="shared" si="3"/>
        <v>During Campaign</v>
      </c>
      <c r="S181" s="27">
        <f t="shared" si="4"/>
        <v>4353</v>
      </c>
      <c r="T181" s="29">
        <f t="shared" si="5"/>
        <v>0.09023070705</v>
      </c>
    </row>
    <row r="182">
      <c r="A182" s="10" t="s">
        <v>232</v>
      </c>
      <c r="B182" s="10" t="s">
        <v>24</v>
      </c>
      <c r="C182" s="26">
        <v>45737.0</v>
      </c>
      <c r="D182" s="10" t="s">
        <v>39</v>
      </c>
      <c r="E182" s="10" t="s">
        <v>40</v>
      </c>
      <c r="F182" s="27">
        <v>606.0</v>
      </c>
      <c r="G182" s="27">
        <v>789.0</v>
      </c>
      <c r="H182" s="27">
        <v>470.0</v>
      </c>
      <c r="I182" s="27">
        <v>7878.0</v>
      </c>
      <c r="J182" s="27">
        <v>7389.0</v>
      </c>
      <c r="K182" s="27">
        <v>239.0</v>
      </c>
      <c r="L182" s="28" t="s">
        <v>30</v>
      </c>
      <c r="M182" s="10"/>
      <c r="N182" s="10"/>
      <c r="O182" s="28" t="s">
        <v>372</v>
      </c>
      <c r="P182" s="26">
        <f t="shared" si="58"/>
        <v>45651</v>
      </c>
      <c r="Q182" s="26">
        <f t="shared" si="59"/>
        <v>45667</v>
      </c>
      <c r="R182" s="28" t="str">
        <f t="shared" si="3"/>
        <v>During Campaign</v>
      </c>
      <c r="S182" s="27">
        <f t="shared" si="4"/>
        <v>1865</v>
      </c>
      <c r="T182" s="29">
        <f t="shared" si="5"/>
        <v>0.236735212</v>
      </c>
    </row>
    <row r="183">
      <c r="A183" s="10" t="s">
        <v>233</v>
      </c>
      <c r="B183" s="10" t="s">
        <v>33</v>
      </c>
      <c r="C183" s="26">
        <v>45504.0</v>
      </c>
      <c r="D183" s="10" t="s">
        <v>39</v>
      </c>
      <c r="E183" s="10" t="s">
        <v>44</v>
      </c>
      <c r="F183" s="27">
        <v>4689.0</v>
      </c>
      <c r="G183" s="27">
        <v>134.0</v>
      </c>
      <c r="H183" s="27">
        <v>403.0</v>
      </c>
      <c r="I183" s="27">
        <v>51579.0</v>
      </c>
      <c r="J183" s="27">
        <v>50924.0</v>
      </c>
      <c r="K183" s="27">
        <v>173.0</v>
      </c>
      <c r="L183" s="28" t="s">
        <v>21</v>
      </c>
      <c r="M183" s="10"/>
      <c r="N183" s="10"/>
      <c r="O183" s="28" t="s">
        <v>375</v>
      </c>
      <c r="P183" s="26">
        <f t="shared" si="58"/>
        <v>45717</v>
      </c>
      <c r="Q183" s="26">
        <f t="shared" si="59"/>
        <v>45747</v>
      </c>
      <c r="R183" s="28" t="str">
        <f t="shared" si="3"/>
        <v>During Campaign</v>
      </c>
      <c r="S183" s="27">
        <f t="shared" si="4"/>
        <v>5226</v>
      </c>
      <c r="T183" s="29">
        <f t="shared" si="5"/>
        <v>0.1013203048</v>
      </c>
    </row>
    <row r="184">
      <c r="A184" s="10" t="s">
        <v>234</v>
      </c>
      <c r="B184" s="10" t="s">
        <v>27</v>
      </c>
      <c r="C184" s="26">
        <v>45643.0</v>
      </c>
      <c r="D184" s="10" t="s">
        <v>28</v>
      </c>
      <c r="E184" s="10" t="s">
        <v>29</v>
      </c>
      <c r="F184" s="27">
        <v>360.0</v>
      </c>
      <c r="G184" s="27">
        <v>590.0</v>
      </c>
      <c r="H184" s="27">
        <v>393.0</v>
      </c>
      <c r="I184" s="27">
        <v>4680.0</v>
      </c>
      <c r="J184" s="27">
        <v>4322.0</v>
      </c>
      <c r="K184" s="27">
        <v>208.0</v>
      </c>
      <c r="L184" s="28" t="s">
        <v>16</v>
      </c>
      <c r="M184" s="10"/>
      <c r="N184" s="10"/>
      <c r="O184" s="28" t="s">
        <v>368</v>
      </c>
      <c r="P184" s="26">
        <f t="shared" si="58"/>
        <v>45566</v>
      </c>
      <c r="Q184" s="26">
        <f t="shared" si="59"/>
        <v>45596</v>
      </c>
      <c r="R184" s="28" t="str">
        <f t="shared" si="3"/>
        <v>During Campaign</v>
      </c>
      <c r="S184" s="27">
        <f t="shared" si="4"/>
        <v>1343</v>
      </c>
      <c r="T184" s="29">
        <f t="shared" si="5"/>
        <v>0.286965812</v>
      </c>
    </row>
    <row r="185">
      <c r="A185" s="10" t="s">
        <v>235</v>
      </c>
      <c r="B185" s="10" t="s">
        <v>13</v>
      </c>
      <c r="C185" s="26">
        <v>45501.0</v>
      </c>
      <c r="D185" s="10" t="s">
        <v>39</v>
      </c>
      <c r="E185" s="10" t="s">
        <v>85</v>
      </c>
      <c r="F185" s="27">
        <v>3215.0</v>
      </c>
      <c r="G185" s="27">
        <v>960.0</v>
      </c>
      <c r="H185" s="27">
        <v>202.0</v>
      </c>
      <c r="I185" s="27">
        <v>32150.0</v>
      </c>
      <c r="J185" s="27">
        <v>31404.0</v>
      </c>
      <c r="K185" s="27">
        <v>251.0</v>
      </c>
      <c r="L185" s="28" t="s">
        <v>30</v>
      </c>
      <c r="M185" s="10"/>
      <c r="N185" s="10"/>
      <c r="O185" s="28" t="s">
        <v>365</v>
      </c>
      <c r="P185" s="26">
        <f t="shared" si="58"/>
        <v>45458</v>
      </c>
      <c r="Q185" s="26">
        <f t="shared" si="59"/>
        <v>45488</v>
      </c>
      <c r="R185" s="28" t="str">
        <f t="shared" si="3"/>
        <v>During Campaign</v>
      </c>
      <c r="S185" s="27">
        <f t="shared" si="4"/>
        <v>4377</v>
      </c>
      <c r="T185" s="29">
        <f t="shared" si="5"/>
        <v>0.1361430793</v>
      </c>
    </row>
    <row r="186">
      <c r="A186" s="10" t="s">
        <v>236</v>
      </c>
      <c r="B186" s="10" t="s">
        <v>27</v>
      </c>
      <c r="C186" s="26">
        <v>45668.0</v>
      </c>
      <c r="D186" s="10" t="s">
        <v>34</v>
      </c>
      <c r="E186" s="10" t="s">
        <v>62</v>
      </c>
      <c r="F186" s="27">
        <v>4523.0</v>
      </c>
      <c r="G186" s="27">
        <v>61.0</v>
      </c>
      <c r="H186" s="27">
        <v>157.0</v>
      </c>
      <c r="I186" s="27">
        <v>49753.0</v>
      </c>
      <c r="J186" s="27">
        <v>49329.0</v>
      </c>
      <c r="K186" s="27">
        <v>71.0</v>
      </c>
      <c r="L186" s="28" t="s">
        <v>30</v>
      </c>
      <c r="M186" s="10"/>
      <c r="N186" s="10"/>
      <c r="O186" s="28"/>
      <c r="P186" s="86"/>
      <c r="Q186" s="86"/>
      <c r="R186" s="28" t="str">
        <f t="shared" si="3"/>
        <v>After Campaign</v>
      </c>
      <c r="S186" s="27">
        <f t="shared" si="4"/>
        <v>4741</v>
      </c>
      <c r="T186" s="29">
        <f t="shared" si="5"/>
        <v>0.09529073624</v>
      </c>
    </row>
    <row r="187">
      <c r="A187" s="10" t="s">
        <v>237</v>
      </c>
      <c r="B187" s="10" t="s">
        <v>33</v>
      </c>
      <c r="C187" s="26">
        <v>45528.0</v>
      </c>
      <c r="D187" s="10" t="s">
        <v>34</v>
      </c>
      <c r="E187" s="10" t="s">
        <v>35</v>
      </c>
      <c r="F187" s="27">
        <v>4292.0</v>
      </c>
      <c r="G187" s="27">
        <v>51.0</v>
      </c>
      <c r="H187" s="27">
        <v>392.0</v>
      </c>
      <c r="I187" s="27">
        <v>55796.0</v>
      </c>
      <c r="J187" s="27">
        <v>54826.0</v>
      </c>
      <c r="K187" s="27">
        <v>264.0</v>
      </c>
      <c r="L187" s="28" t="s">
        <v>30</v>
      </c>
      <c r="M187" s="10"/>
      <c r="N187" s="10"/>
      <c r="O187" s="28" t="s">
        <v>372</v>
      </c>
      <c r="P187" s="26">
        <f t="shared" ref="P187:P190" si="60">IFS(
  O187="SummerSplash", DATE(2024,6,15),
  O187="FestiveRadiance", DATE(2024,10,1),
  O187="NewYearRefresh", DATE(2024,12,25),
  O187="DailyWellness", DATE(2025,3,1)
)
</f>
        <v>45651</v>
      </c>
      <c r="Q187" s="26">
        <f t="shared" ref="Q187:Q190" si="61">IFS(
  O187="SummerSplash", DATE(2024,7,15),
  O187="FestiveRadiance", DATE(2024,10,31),
  O187="NewYearRefresh", DATE(2025,1,10),
  O187="DailyWellness", DATE(2025,3,31)
)
</f>
        <v>45667</v>
      </c>
      <c r="R187" s="28" t="str">
        <f t="shared" si="3"/>
        <v>During Campaign</v>
      </c>
      <c r="S187" s="27">
        <f t="shared" si="4"/>
        <v>4735</v>
      </c>
      <c r="T187" s="29">
        <f t="shared" si="5"/>
        <v>0.08486271417</v>
      </c>
    </row>
    <row r="188">
      <c r="A188" s="10" t="s">
        <v>238</v>
      </c>
      <c r="B188" s="10" t="s">
        <v>13</v>
      </c>
      <c r="C188" s="26">
        <v>45648.0</v>
      </c>
      <c r="D188" s="10" t="s">
        <v>14</v>
      </c>
      <c r="E188" s="10" t="s">
        <v>15</v>
      </c>
      <c r="F188" s="27">
        <v>1644.0</v>
      </c>
      <c r="G188" s="27">
        <v>546.0</v>
      </c>
      <c r="H188" s="27">
        <v>150.0</v>
      </c>
      <c r="I188" s="27">
        <v>27948.0</v>
      </c>
      <c r="J188" s="27">
        <v>27184.0</v>
      </c>
      <c r="K188" s="27">
        <v>300.0</v>
      </c>
      <c r="L188" s="28" t="s">
        <v>30</v>
      </c>
      <c r="M188" s="10"/>
      <c r="N188" s="10"/>
      <c r="O188" s="28" t="s">
        <v>372</v>
      </c>
      <c r="P188" s="26">
        <f t="shared" si="60"/>
        <v>45651</v>
      </c>
      <c r="Q188" s="26">
        <f t="shared" si="61"/>
        <v>45667</v>
      </c>
      <c r="R188" s="28" t="str">
        <f t="shared" si="3"/>
        <v>During Campaign</v>
      </c>
      <c r="S188" s="27">
        <f t="shared" si="4"/>
        <v>2340</v>
      </c>
      <c r="T188" s="29">
        <f t="shared" si="5"/>
        <v>0.08372692143</v>
      </c>
    </row>
    <row r="189">
      <c r="A189" s="10" t="s">
        <v>239</v>
      </c>
      <c r="B189" s="10" t="s">
        <v>24</v>
      </c>
      <c r="C189" s="26">
        <v>45449.0</v>
      </c>
      <c r="D189" s="10" t="s">
        <v>14</v>
      </c>
      <c r="E189" s="10" t="s">
        <v>25</v>
      </c>
      <c r="F189" s="27">
        <v>2728.0</v>
      </c>
      <c r="G189" s="27">
        <v>533.0</v>
      </c>
      <c r="H189" s="27">
        <v>215.0</v>
      </c>
      <c r="I189" s="27">
        <v>40920.0</v>
      </c>
      <c r="J189" s="27">
        <v>40816.0</v>
      </c>
      <c r="K189" s="27">
        <v>137.0</v>
      </c>
      <c r="L189" s="28" t="s">
        <v>16</v>
      </c>
      <c r="M189" s="10"/>
      <c r="N189" s="10"/>
      <c r="O189" s="28" t="s">
        <v>368</v>
      </c>
      <c r="P189" s="26">
        <f t="shared" si="60"/>
        <v>45566</v>
      </c>
      <c r="Q189" s="26">
        <f t="shared" si="61"/>
        <v>45596</v>
      </c>
      <c r="R189" s="28" t="str">
        <f t="shared" si="3"/>
        <v>During Campaign</v>
      </c>
      <c r="S189" s="27">
        <f t="shared" si="4"/>
        <v>3476</v>
      </c>
      <c r="T189" s="29">
        <f t="shared" si="5"/>
        <v>0.08494623656</v>
      </c>
    </row>
    <row r="190">
      <c r="A190" s="10" t="s">
        <v>240</v>
      </c>
      <c r="B190" s="10" t="s">
        <v>33</v>
      </c>
      <c r="C190" s="26">
        <v>45740.0</v>
      </c>
      <c r="D190" s="10" t="s">
        <v>14</v>
      </c>
      <c r="E190" s="10" t="s">
        <v>47</v>
      </c>
      <c r="F190" s="27">
        <v>3360.0</v>
      </c>
      <c r="G190" s="27">
        <v>525.0</v>
      </c>
      <c r="H190" s="27">
        <v>500.0</v>
      </c>
      <c r="I190" s="27">
        <v>60480.0</v>
      </c>
      <c r="J190" s="27">
        <v>59610.0</v>
      </c>
      <c r="K190" s="27">
        <v>192.0</v>
      </c>
      <c r="L190" s="28" t="s">
        <v>21</v>
      </c>
      <c r="M190" s="10"/>
      <c r="N190" s="10"/>
      <c r="O190" s="28" t="s">
        <v>365</v>
      </c>
      <c r="P190" s="26">
        <f t="shared" si="60"/>
        <v>45458</v>
      </c>
      <c r="Q190" s="26">
        <f t="shared" si="61"/>
        <v>45488</v>
      </c>
      <c r="R190" s="28" t="str">
        <f t="shared" si="3"/>
        <v>During Campaign</v>
      </c>
      <c r="S190" s="27">
        <f t="shared" si="4"/>
        <v>4385</v>
      </c>
      <c r="T190" s="29">
        <f t="shared" si="5"/>
        <v>0.07250330688</v>
      </c>
    </row>
    <row r="191">
      <c r="A191" s="10" t="s">
        <v>241</v>
      </c>
      <c r="B191" s="10" t="s">
        <v>24</v>
      </c>
      <c r="C191" s="26">
        <v>45569.0</v>
      </c>
      <c r="D191" s="10" t="s">
        <v>19</v>
      </c>
      <c r="E191" s="10" t="s">
        <v>70</v>
      </c>
      <c r="F191" s="27">
        <v>1963.0</v>
      </c>
      <c r="G191" s="27">
        <v>213.0</v>
      </c>
      <c r="H191" s="27">
        <v>19.0</v>
      </c>
      <c r="I191" s="27">
        <v>39260.0</v>
      </c>
      <c r="J191" s="27">
        <v>38771.0</v>
      </c>
      <c r="K191" s="27">
        <v>145.0</v>
      </c>
      <c r="L191" s="28" t="s">
        <v>16</v>
      </c>
      <c r="M191" s="10"/>
      <c r="N191" s="10"/>
      <c r="O191" s="28"/>
      <c r="P191" s="86"/>
      <c r="Q191" s="86"/>
      <c r="R191" s="28" t="str">
        <f t="shared" si="3"/>
        <v>After Campaign</v>
      </c>
      <c r="S191" s="27">
        <f t="shared" si="4"/>
        <v>2195</v>
      </c>
      <c r="T191" s="29">
        <f t="shared" si="5"/>
        <v>0.05590932247</v>
      </c>
    </row>
    <row r="192">
      <c r="A192" s="10" t="s">
        <v>242</v>
      </c>
      <c r="B192" s="10" t="s">
        <v>24</v>
      </c>
      <c r="C192" s="26">
        <v>45629.0</v>
      </c>
      <c r="D192" s="10" t="s">
        <v>28</v>
      </c>
      <c r="E192" s="10" t="s">
        <v>98</v>
      </c>
      <c r="F192" s="27">
        <v>4285.0</v>
      </c>
      <c r="G192" s="27">
        <v>886.0</v>
      </c>
      <c r="H192" s="27">
        <v>376.0</v>
      </c>
      <c r="I192" s="27">
        <v>55705.0</v>
      </c>
      <c r="J192" s="27">
        <v>55556.0</v>
      </c>
      <c r="K192" s="27">
        <v>51.0</v>
      </c>
      <c r="L192" s="28" t="s">
        <v>16</v>
      </c>
      <c r="M192" s="10"/>
      <c r="N192" s="10"/>
      <c r="O192" s="28" t="s">
        <v>372</v>
      </c>
      <c r="P192" s="26">
        <f>IFS(
  O192="SummerSplash", DATE(2024,6,15),
  O192="FestiveRadiance", DATE(2024,10,1),
  O192="NewYearRefresh", DATE(2024,12,25),
  O192="DailyWellness", DATE(2025,3,1)
)
</f>
        <v>45651</v>
      </c>
      <c r="Q192" s="26">
        <f>IFS(
  O192="SummerSplash", DATE(2024,7,15),
  O192="FestiveRadiance", DATE(2024,10,31),
  O192="NewYearRefresh", DATE(2025,1,10),
  O192="DailyWellness", DATE(2025,3,31)
)
</f>
        <v>45667</v>
      </c>
      <c r="R192" s="28" t="str">
        <f t="shared" si="3"/>
        <v>During Campaign</v>
      </c>
      <c r="S192" s="27">
        <f t="shared" si="4"/>
        <v>5547</v>
      </c>
      <c r="T192" s="29">
        <f t="shared" si="5"/>
        <v>0.09957813482</v>
      </c>
    </row>
    <row r="193">
      <c r="A193" s="10" t="s">
        <v>243</v>
      </c>
      <c r="B193" s="10" t="s">
        <v>27</v>
      </c>
      <c r="C193" s="26">
        <v>45625.0</v>
      </c>
      <c r="D193" s="10" t="s">
        <v>53</v>
      </c>
      <c r="E193" s="10" t="s">
        <v>60</v>
      </c>
      <c r="F193" s="27">
        <v>1176.0</v>
      </c>
      <c r="G193" s="27">
        <v>464.0</v>
      </c>
      <c r="H193" s="27">
        <v>394.0</v>
      </c>
      <c r="I193" s="27">
        <v>14112.0</v>
      </c>
      <c r="J193" s="27">
        <v>13588.0</v>
      </c>
      <c r="K193" s="27">
        <v>272.0</v>
      </c>
      <c r="L193" s="28" t="s">
        <v>30</v>
      </c>
      <c r="M193" s="10"/>
      <c r="N193" s="10"/>
      <c r="O193" s="28"/>
      <c r="P193" s="86"/>
      <c r="Q193" s="86"/>
      <c r="R193" s="28" t="str">
        <f t="shared" si="3"/>
        <v>After Campaign</v>
      </c>
      <c r="S193" s="27">
        <f t="shared" si="4"/>
        <v>2034</v>
      </c>
      <c r="T193" s="29">
        <f t="shared" si="5"/>
        <v>0.1441326531</v>
      </c>
    </row>
    <row r="194">
      <c r="A194" s="10" t="s">
        <v>244</v>
      </c>
      <c r="B194" s="10" t="s">
        <v>13</v>
      </c>
      <c r="C194" s="26">
        <v>45546.0</v>
      </c>
      <c r="D194" s="10" t="s">
        <v>39</v>
      </c>
      <c r="E194" s="10" t="s">
        <v>85</v>
      </c>
      <c r="F194" s="27">
        <v>4858.0</v>
      </c>
      <c r="G194" s="27">
        <v>317.0</v>
      </c>
      <c r="H194" s="27">
        <v>129.0</v>
      </c>
      <c r="I194" s="27">
        <v>53438.0</v>
      </c>
      <c r="J194" s="27">
        <v>52687.0</v>
      </c>
      <c r="K194" s="27">
        <v>223.0</v>
      </c>
      <c r="L194" s="28" t="s">
        <v>30</v>
      </c>
      <c r="M194" s="10"/>
      <c r="N194" s="10"/>
      <c r="O194" s="28" t="s">
        <v>372</v>
      </c>
      <c r="P194" s="26">
        <f t="shared" ref="P194:P217" si="62">IFS(
  O194="SummerSplash", DATE(2024,6,15),
  O194="FestiveRadiance", DATE(2024,10,1),
  O194="NewYearRefresh", DATE(2024,12,25),
  O194="DailyWellness", DATE(2025,3,1)
)
</f>
        <v>45651</v>
      </c>
      <c r="Q194" s="26">
        <f t="shared" ref="Q194:Q217" si="63">IFS(
  O194="SummerSplash", DATE(2024,7,15),
  O194="FestiveRadiance", DATE(2024,10,31),
  O194="NewYearRefresh", DATE(2025,1,10),
  O194="DailyWellness", DATE(2025,3,31)
)
</f>
        <v>45667</v>
      </c>
      <c r="R194" s="28" t="str">
        <f t="shared" si="3"/>
        <v>During Campaign</v>
      </c>
      <c r="S194" s="27">
        <f t="shared" si="4"/>
        <v>5304</v>
      </c>
      <c r="T194" s="29">
        <f t="shared" si="5"/>
        <v>0.09925521165</v>
      </c>
    </row>
    <row r="195">
      <c r="A195" s="10" t="s">
        <v>245</v>
      </c>
      <c r="B195" s="10" t="s">
        <v>24</v>
      </c>
      <c r="C195" s="26">
        <v>45567.0</v>
      </c>
      <c r="D195" s="10" t="s">
        <v>28</v>
      </c>
      <c r="E195" s="10" t="s">
        <v>98</v>
      </c>
      <c r="F195" s="27">
        <v>4350.0</v>
      </c>
      <c r="G195" s="27">
        <v>771.0</v>
      </c>
      <c r="H195" s="27">
        <v>7.0</v>
      </c>
      <c r="I195" s="27">
        <v>60900.0</v>
      </c>
      <c r="J195" s="27">
        <v>60592.0</v>
      </c>
      <c r="K195" s="27">
        <v>195.0</v>
      </c>
      <c r="L195" s="28" t="s">
        <v>30</v>
      </c>
      <c r="M195" s="10"/>
      <c r="N195" s="10"/>
      <c r="O195" s="28" t="s">
        <v>365</v>
      </c>
      <c r="P195" s="26">
        <f t="shared" si="62"/>
        <v>45458</v>
      </c>
      <c r="Q195" s="26">
        <f t="shared" si="63"/>
        <v>45488</v>
      </c>
      <c r="R195" s="28" t="str">
        <f t="shared" si="3"/>
        <v>During Campaign</v>
      </c>
      <c r="S195" s="27">
        <f t="shared" si="4"/>
        <v>5128</v>
      </c>
      <c r="T195" s="29">
        <f t="shared" si="5"/>
        <v>0.08420361248</v>
      </c>
    </row>
    <row r="196">
      <c r="A196" s="10" t="s">
        <v>246</v>
      </c>
      <c r="B196" s="10" t="s">
        <v>27</v>
      </c>
      <c r="C196" s="26">
        <v>45519.0</v>
      </c>
      <c r="D196" s="10" t="s">
        <v>34</v>
      </c>
      <c r="E196" s="10" t="s">
        <v>62</v>
      </c>
      <c r="F196" s="27">
        <v>914.0</v>
      </c>
      <c r="G196" s="27">
        <v>464.0</v>
      </c>
      <c r="H196" s="27">
        <v>246.0</v>
      </c>
      <c r="I196" s="27">
        <v>11882.0</v>
      </c>
      <c r="J196" s="27">
        <v>11500.0</v>
      </c>
      <c r="K196" s="27">
        <v>282.0</v>
      </c>
      <c r="L196" s="28" t="s">
        <v>16</v>
      </c>
      <c r="M196" s="28" t="s">
        <v>21</v>
      </c>
      <c r="N196" s="28" t="s">
        <v>17</v>
      </c>
      <c r="O196" s="28" t="s">
        <v>375</v>
      </c>
      <c r="P196" s="26">
        <f t="shared" si="62"/>
        <v>45717</v>
      </c>
      <c r="Q196" s="26">
        <f t="shared" si="63"/>
        <v>45747</v>
      </c>
      <c r="R196" s="28" t="str">
        <f t="shared" si="3"/>
        <v>Before Campaign</v>
      </c>
      <c r="S196" s="27">
        <f t="shared" si="4"/>
        <v>1624</v>
      </c>
      <c r="T196" s="29">
        <f t="shared" si="5"/>
        <v>0.136677327</v>
      </c>
    </row>
    <row r="197">
      <c r="A197" s="10" t="s">
        <v>247</v>
      </c>
      <c r="B197" s="10" t="s">
        <v>27</v>
      </c>
      <c r="C197" s="26">
        <v>45645.0</v>
      </c>
      <c r="D197" s="10" t="s">
        <v>19</v>
      </c>
      <c r="E197" s="10" t="s">
        <v>75</v>
      </c>
      <c r="F197" s="27">
        <v>1813.0</v>
      </c>
      <c r="G197" s="27">
        <v>623.0</v>
      </c>
      <c r="H197" s="27">
        <v>72.0</v>
      </c>
      <c r="I197" s="27">
        <v>19943.0</v>
      </c>
      <c r="J197" s="27">
        <v>18959.0</v>
      </c>
      <c r="K197" s="27">
        <v>85.0</v>
      </c>
      <c r="L197" s="28" t="s">
        <v>30</v>
      </c>
      <c r="M197" s="10"/>
      <c r="N197" s="10"/>
      <c r="O197" s="28" t="s">
        <v>372</v>
      </c>
      <c r="P197" s="26">
        <f t="shared" si="62"/>
        <v>45651</v>
      </c>
      <c r="Q197" s="26">
        <f t="shared" si="63"/>
        <v>45667</v>
      </c>
      <c r="R197" s="28" t="str">
        <f t="shared" si="3"/>
        <v>During Campaign</v>
      </c>
      <c r="S197" s="27">
        <f t="shared" si="4"/>
        <v>2508</v>
      </c>
      <c r="T197" s="29">
        <f t="shared" si="5"/>
        <v>0.1257584115</v>
      </c>
    </row>
    <row r="198">
      <c r="A198" s="10" t="s">
        <v>248</v>
      </c>
      <c r="B198" s="10" t="s">
        <v>13</v>
      </c>
      <c r="C198" s="26">
        <v>45587.0</v>
      </c>
      <c r="D198" s="10" t="s">
        <v>14</v>
      </c>
      <c r="E198" s="10" t="s">
        <v>15</v>
      </c>
      <c r="F198" s="27">
        <v>4782.0</v>
      </c>
      <c r="G198" s="27">
        <v>721.0</v>
      </c>
      <c r="H198" s="27">
        <v>82.0</v>
      </c>
      <c r="I198" s="27">
        <v>86076.0</v>
      </c>
      <c r="J198" s="27">
        <v>85339.0</v>
      </c>
      <c r="K198" s="27">
        <v>19.0</v>
      </c>
      <c r="L198" s="28" t="s">
        <v>30</v>
      </c>
      <c r="M198" s="10"/>
      <c r="N198" s="10"/>
      <c r="O198" s="28" t="s">
        <v>365</v>
      </c>
      <c r="P198" s="26">
        <f t="shared" si="62"/>
        <v>45458</v>
      </c>
      <c r="Q198" s="26">
        <f t="shared" si="63"/>
        <v>45488</v>
      </c>
      <c r="R198" s="28" t="str">
        <f t="shared" si="3"/>
        <v>During Campaign</v>
      </c>
      <c r="S198" s="27">
        <f t="shared" si="4"/>
        <v>5585</v>
      </c>
      <c r="T198" s="29">
        <f t="shared" si="5"/>
        <v>0.06488452066</v>
      </c>
    </row>
    <row r="199">
      <c r="A199" s="10" t="s">
        <v>249</v>
      </c>
      <c r="B199" s="10" t="s">
        <v>13</v>
      </c>
      <c r="C199" s="26">
        <v>45549.0</v>
      </c>
      <c r="D199" s="10" t="s">
        <v>39</v>
      </c>
      <c r="E199" s="10" t="s">
        <v>85</v>
      </c>
      <c r="F199" s="27">
        <v>1048.0</v>
      </c>
      <c r="G199" s="27">
        <v>374.0</v>
      </c>
      <c r="H199" s="27">
        <v>450.0</v>
      </c>
      <c r="I199" s="27">
        <v>9432.0</v>
      </c>
      <c r="J199" s="27">
        <v>8882.0</v>
      </c>
      <c r="K199" s="27">
        <v>158.0</v>
      </c>
      <c r="L199" s="28" t="s">
        <v>21</v>
      </c>
      <c r="M199" s="10"/>
      <c r="N199" s="10"/>
      <c r="O199" s="28" t="s">
        <v>372</v>
      </c>
      <c r="P199" s="26">
        <f t="shared" si="62"/>
        <v>45651</v>
      </c>
      <c r="Q199" s="26">
        <f t="shared" si="63"/>
        <v>45667</v>
      </c>
      <c r="R199" s="28" t="str">
        <f t="shared" si="3"/>
        <v>During Campaign</v>
      </c>
      <c r="S199" s="27">
        <f t="shared" si="4"/>
        <v>1872</v>
      </c>
      <c r="T199" s="29">
        <f t="shared" si="5"/>
        <v>0.1984732824</v>
      </c>
    </row>
    <row r="200">
      <c r="A200" s="10" t="s">
        <v>250</v>
      </c>
      <c r="B200" s="10" t="s">
        <v>24</v>
      </c>
      <c r="C200" s="26">
        <v>45626.0</v>
      </c>
      <c r="D200" s="10" t="s">
        <v>34</v>
      </c>
      <c r="E200" s="10" t="s">
        <v>49</v>
      </c>
      <c r="F200" s="27">
        <v>2509.0</v>
      </c>
      <c r="G200" s="27">
        <v>324.0</v>
      </c>
      <c r="H200" s="27">
        <v>171.0</v>
      </c>
      <c r="I200" s="27">
        <v>35126.0</v>
      </c>
      <c r="J200" s="27">
        <v>34685.0</v>
      </c>
      <c r="K200" s="27">
        <v>277.0</v>
      </c>
      <c r="L200" s="28" t="s">
        <v>21</v>
      </c>
      <c r="M200" s="10"/>
      <c r="N200" s="10"/>
      <c r="O200" s="28" t="s">
        <v>368</v>
      </c>
      <c r="P200" s="26">
        <f t="shared" si="62"/>
        <v>45566</v>
      </c>
      <c r="Q200" s="26">
        <f t="shared" si="63"/>
        <v>45596</v>
      </c>
      <c r="R200" s="28" t="str">
        <f t="shared" si="3"/>
        <v>During Campaign</v>
      </c>
      <c r="S200" s="27">
        <f t="shared" si="4"/>
        <v>3004</v>
      </c>
      <c r="T200" s="29">
        <f t="shared" si="5"/>
        <v>0.08552069692</v>
      </c>
    </row>
    <row r="201">
      <c r="A201" s="10" t="s">
        <v>251</v>
      </c>
      <c r="B201" s="10" t="s">
        <v>33</v>
      </c>
      <c r="C201" s="26">
        <v>45754.0</v>
      </c>
      <c r="D201" s="10" t="s">
        <v>14</v>
      </c>
      <c r="E201" s="10" t="s">
        <v>47</v>
      </c>
      <c r="F201" s="27">
        <v>3718.0</v>
      </c>
      <c r="G201" s="27">
        <v>385.0</v>
      </c>
      <c r="H201" s="27">
        <v>310.0</v>
      </c>
      <c r="I201" s="27">
        <v>70642.0</v>
      </c>
      <c r="J201" s="27">
        <v>69749.0</v>
      </c>
      <c r="K201" s="27">
        <v>233.0</v>
      </c>
      <c r="L201" s="28" t="s">
        <v>21</v>
      </c>
      <c r="M201" s="10"/>
      <c r="N201" s="10"/>
      <c r="O201" s="28" t="s">
        <v>368</v>
      </c>
      <c r="P201" s="26">
        <f t="shared" si="62"/>
        <v>45566</v>
      </c>
      <c r="Q201" s="26">
        <f t="shared" si="63"/>
        <v>45596</v>
      </c>
      <c r="R201" s="28" t="str">
        <f t="shared" si="3"/>
        <v>During Campaign</v>
      </c>
      <c r="S201" s="27">
        <f t="shared" si="4"/>
        <v>4413</v>
      </c>
      <c r="T201" s="29">
        <f t="shared" si="5"/>
        <v>0.06246991875</v>
      </c>
    </row>
    <row r="202">
      <c r="A202" s="10" t="s">
        <v>252</v>
      </c>
      <c r="B202" s="10" t="s">
        <v>13</v>
      </c>
      <c r="C202" s="26">
        <v>45672.0</v>
      </c>
      <c r="D202" s="10" t="s">
        <v>14</v>
      </c>
      <c r="E202" s="10" t="s">
        <v>15</v>
      </c>
      <c r="F202" s="27">
        <v>802.0</v>
      </c>
      <c r="G202" s="27">
        <v>262.0</v>
      </c>
      <c r="H202" s="27">
        <v>244.0</v>
      </c>
      <c r="I202" s="27">
        <v>14436.0</v>
      </c>
      <c r="J202" s="27">
        <v>14280.0</v>
      </c>
      <c r="K202" s="27">
        <v>49.0</v>
      </c>
      <c r="L202" s="28" t="s">
        <v>30</v>
      </c>
      <c r="M202" s="10"/>
      <c r="N202" s="10"/>
      <c r="O202" s="28" t="s">
        <v>365</v>
      </c>
      <c r="P202" s="26">
        <f t="shared" si="62"/>
        <v>45458</v>
      </c>
      <c r="Q202" s="26">
        <f t="shared" si="63"/>
        <v>45488</v>
      </c>
      <c r="R202" s="28" t="str">
        <f t="shared" si="3"/>
        <v>During Campaign</v>
      </c>
      <c r="S202" s="27">
        <f t="shared" si="4"/>
        <v>1308</v>
      </c>
      <c r="T202" s="29">
        <f t="shared" si="5"/>
        <v>0.09060681629</v>
      </c>
    </row>
    <row r="203">
      <c r="A203" s="10" t="s">
        <v>253</v>
      </c>
      <c r="B203" s="10" t="s">
        <v>33</v>
      </c>
      <c r="C203" s="26">
        <v>45445.0</v>
      </c>
      <c r="D203" s="10" t="s">
        <v>39</v>
      </c>
      <c r="E203" s="10" t="s">
        <v>44</v>
      </c>
      <c r="F203" s="27">
        <v>1871.0</v>
      </c>
      <c r="G203" s="27">
        <v>252.0</v>
      </c>
      <c r="H203" s="27">
        <v>335.0</v>
      </c>
      <c r="I203" s="27">
        <v>29936.0</v>
      </c>
      <c r="J203" s="27">
        <v>29576.0</v>
      </c>
      <c r="K203" s="27">
        <v>288.0</v>
      </c>
      <c r="L203" s="28" t="s">
        <v>30</v>
      </c>
      <c r="M203" s="10"/>
      <c r="N203" s="10"/>
      <c r="O203" s="28" t="s">
        <v>372</v>
      </c>
      <c r="P203" s="26">
        <f t="shared" si="62"/>
        <v>45651</v>
      </c>
      <c r="Q203" s="26">
        <f t="shared" si="63"/>
        <v>45667</v>
      </c>
      <c r="R203" s="28" t="str">
        <f t="shared" si="3"/>
        <v>During Campaign</v>
      </c>
      <c r="S203" s="27">
        <f t="shared" si="4"/>
        <v>2458</v>
      </c>
      <c r="T203" s="29">
        <f t="shared" si="5"/>
        <v>0.08210849813</v>
      </c>
    </row>
    <row r="204">
      <c r="A204" s="10" t="s">
        <v>254</v>
      </c>
      <c r="B204" s="10" t="s">
        <v>27</v>
      </c>
      <c r="C204" s="26">
        <v>45617.0</v>
      </c>
      <c r="D204" s="10" t="s">
        <v>34</v>
      </c>
      <c r="E204" s="10" t="s">
        <v>62</v>
      </c>
      <c r="F204" s="27">
        <v>3773.0</v>
      </c>
      <c r="G204" s="27">
        <v>299.0</v>
      </c>
      <c r="H204" s="27">
        <v>38.0</v>
      </c>
      <c r="I204" s="27">
        <v>71687.0</v>
      </c>
      <c r="J204" s="27">
        <v>71447.0</v>
      </c>
      <c r="K204" s="27">
        <v>286.0</v>
      </c>
      <c r="L204" s="28" t="s">
        <v>16</v>
      </c>
      <c r="M204" s="10"/>
      <c r="N204" s="10"/>
      <c r="O204" s="28" t="s">
        <v>365</v>
      </c>
      <c r="P204" s="26">
        <f t="shared" si="62"/>
        <v>45458</v>
      </c>
      <c r="Q204" s="26">
        <f t="shared" si="63"/>
        <v>45488</v>
      </c>
      <c r="R204" s="28" t="str">
        <f t="shared" si="3"/>
        <v>During Campaign</v>
      </c>
      <c r="S204" s="27">
        <f t="shared" si="4"/>
        <v>4110</v>
      </c>
      <c r="T204" s="29">
        <f t="shared" si="5"/>
        <v>0.05733257076</v>
      </c>
    </row>
    <row r="205">
      <c r="A205" s="10" t="s">
        <v>255</v>
      </c>
      <c r="B205" s="10" t="s">
        <v>27</v>
      </c>
      <c r="C205" s="26">
        <v>45658.0</v>
      </c>
      <c r="D205" s="10" t="s">
        <v>34</v>
      </c>
      <c r="E205" s="10" t="s">
        <v>62</v>
      </c>
      <c r="F205" s="27">
        <v>2234.0</v>
      </c>
      <c r="G205" s="27">
        <v>653.0</v>
      </c>
      <c r="H205" s="27">
        <v>432.0</v>
      </c>
      <c r="I205" s="27">
        <v>11170.0</v>
      </c>
      <c r="J205" s="27">
        <v>10569.0</v>
      </c>
      <c r="K205" s="27">
        <v>198.0</v>
      </c>
      <c r="L205" s="28" t="s">
        <v>16</v>
      </c>
      <c r="M205" s="10"/>
      <c r="N205" s="10"/>
      <c r="O205" s="28" t="s">
        <v>372</v>
      </c>
      <c r="P205" s="26">
        <f t="shared" si="62"/>
        <v>45651</v>
      </c>
      <c r="Q205" s="26">
        <f t="shared" si="63"/>
        <v>45667</v>
      </c>
      <c r="R205" s="28" t="str">
        <f t="shared" si="3"/>
        <v>During Campaign</v>
      </c>
      <c r="S205" s="27">
        <f t="shared" si="4"/>
        <v>3319</v>
      </c>
      <c r="T205" s="29">
        <f t="shared" si="5"/>
        <v>0.2971351835</v>
      </c>
    </row>
    <row r="206">
      <c r="A206" s="10" t="s">
        <v>256</v>
      </c>
      <c r="B206" s="10" t="s">
        <v>13</v>
      </c>
      <c r="C206" s="26">
        <v>45771.0</v>
      </c>
      <c r="D206" s="10" t="s">
        <v>53</v>
      </c>
      <c r="E206" s="10" t="s">
        <v>92</v>
      </c>
      <c r="F206" s="27">
        <v>3820.0</v>
      </c>
      <c r="G206" s="27">
        <v>697.0</v>
      </c>
      <c r="H206" s="27">
        <v>268.0</v>
      </c>
      <c r="I206" s="27">
        <v>45840.0</v>
      </c>
      <c r="J206" s="27">
        <v>45631.0</v>
      </c>
      <c r="K206" s="27">
        <v>171.0</v>
      </c>
      <c r="L206" s="28" t="s">
        <v>21</v>
      </c>
      <c r="M206" s="28" t="s">
        <v>191</v>
      </c>
      <c r="N206" s="10"/>
      <c r="O206" s="28" t="s">
        <v>375</v>
      </c>
      <c r="P206" s="26">
        <f t="shared" si="62"/>
        <v>45717</v>
      </c>
      <c r="Q206" s="26">
        <f t="shared" si="63"/>
        <v>45747</v>
      </c>
      <c r="R206" s="28" t="str">
        <f t="shared" si="3"/>
        <v>During Campaign</v>
      </c>
      <c r="S206" s="27">
        <f t="shared" si="4"/>
        <v>4785</v>
      </c>
      <c r="T206" s="29">
        <f t="shared" si="5"/>
        <v>0.1043848168</v>
      </c>
    </row>
    <row r="207">
      <c r="A207" s="10" t="s">
        <v>257</v>
      </c>
      <c r="B207" s="10" t="s">
        <v>13</v>
      </c>
      <c r="C207" s="26">
        <v>45467.0</v>
      </c>
      <c r="D207" s="10" t="s">
        <v>19</v>
      </c>
      <c r="E207" s="10" t="s">
        <v>20</v>
      </c>
      <c r="F207" s="27">
        <v>941.0</v>
      </c>
      <c r="G207" s="27">
        <v>121.0</v>
      </c>
      <c r="H207" s="27">
        <v>458.0</v>
      </c>
      <c r="I207" s="27">
        <v>14115.0</v>
      </c>
      <c r="J207" s="27">
        <v>13838.0</v>
      </c>
      <c r="K207" s="27">
        <v>87.0</v>
      </c>
      <c r="L207" s="28" t="s">
        <v>30</v>
      </c>
      <c r="M207" s="10"/>
      <c r="N207" s="10"/>
      <c r="O207" s="28" t="s">
        <v>365</v>
      </c>
      <c r="P207" s="26">
        <f t="shared" si="62"/>
        <v>45458</v>
      </c>
      <c r="Q207" s="26">
        <f t="shared" si="63"/>
        <v>45488</v>
      </c>
      <c r="R207" s="28" t="str">
        <f t="shared" si="3"/>
        <v>During Campaign</v>
      </c>
      <c r="S207" s="27">
        <f t="shared" si="4"/>
        <v>1520</v>
      </c>
      <c r="T207" s="29">
        <f t="shared" si="5"/>
        <v>0.107686858</v>
      </c>
    </row>
    <row r="208">
      <c r="A208" s="10" t="s">
        <v>258</v>
      </c>
      <c r="B208" s="10" t="s">
        <v>13</v>
      </c>
      <c r="C208" s="26">
        <v>45655.0</v>
      </c>
      <c r="D208" s="10" t="s">
        <v>34</v>
      </c>
      <c r="E208" s="10" t="s">
        <v>37</v>
      </c>
      <c r="F208" s="27">
        <v>4274.0</v>
      </c>
      <c r="G208" s="27">
        <v>340.0</v>
      </c>
      <c r="H208" s="27">
        <v>281.0</v>
      </c>
      <c r="I208" s="27">
        <v>34192.0</v>
      </c>
      <c r="J208" s="27">
        <v>33446.0</v>
      </c>
      <c r="K208" s="27">
        <v>129.0</v>
      </c>
      <c r="L208" s="28" t="s">
        <v>21</v>
      </c>
      <c r="M208" s="28" t="s">
        <v>191</v>
      </c>
      <c r="N208" s="10"/>
      <c r="O208" s="28" t="s">
        <v>372</v>
      </c>
      <c r="P208" s="26">
        <f t="shared" si="62"/>
        <v>45651</v>
      </c>
      <c r="Q208" s="26">
        <f t="shared" si="63"/>
        <v>45667</v>
      </c>
      <c r="R208" s="28" t="str">
        <f t="shared" si="3"/>
        <v>During Campaign</v>
      </c>
      <c r="S208" s="27">
        <f t="shared" si="4"/>
        <v>4895</v>
      </c>
      <c r="T208" s="29">
        <f t="shared" si="5"/>
        <v>0.1431621432</v>
      </c>
    </row>
    <row r="209">
      <c r="A209" s="10" t="s">
        <v>259</v>
      </c>
      <c r="B209" s="10" t="s">
        <v>24</v>
      </c>
      <c r="C209" s="26">
        <v>45467.0</v>
      </c>
      <c r="D209" s="10" t="s">
        <v>53</v>
      </c>
      <c r="E209" s="10" t="s">
        <v>133</v>
      </c>
      <c r="F209" s="27">
        <v>2949.0</v>
      </c>
      <c r="G209" s="27">
        <v>476.0</v>
      </c>
      <c r="H209" s="27">
        <v>403.0</v>
      </c>
      <c r="I209" s="27">
        <v>44235.0</v>
      </c>
      <c r="J209" s="27">
        <v>43705.0</v>
      </c>
      <c r="K209" s="27">
        <v>135.0</v>
      </c>
      <c r="L209" s="28" t="s">
        <v>21</v>
      </c>
      <c r="M209" s="10"/>
      <c r="N209" s="10"/>
      <c r="O209" s="28" t="s">
        <v>368</v>
      </c>
      <c r="P209" s="26">
        <f t="shared" si="62"/>
        <v>45566</v>
      </c>
      <c r="Q209" s="26">
        <f t="shared" si="63"/>
        <v>45596</v>
      </c>
      <c r="R209" s="28" t="str">
        <f t="shared" si="3"/>
        <v>During Campaign</v>
      </c>
      <c r="S209" s="27">
        <f t="shared" si="4"/>
        <v>3828</v>
      </c>
      <c r="T209" s="29">
        <f t="shared" si="5"/>
        <v>0.08653780943</v>
      </c>
    </row>
    <row r="210">
      <c r="A210" s="10" t="s">
        <v>260</v>
      </c>
      <c r="B210" s="10" t="s">
        <v>13</v>
      </c>
      <c r="C210" s="26">
        <v>45735.0</v>
      </c>
      <c r="D210" s="10" t="s">
        <v>53</v>
      </c>
      <c r="E210" s="10" t="s">
        <v>92</v>
      </c>
      <c r="F210" s="27">
        <v>3160.0</v>
      </c>
      <c r="G210" s="27">
        <v>204.0</v>
      </c>
      <c r="H210" s="27">
        <v>297.0</v>
      </c>
      <c r="I210" s="27">
        <v>44240.0</v>
      </c>
      <c r="J210" s="27">
        <v>43666.0</v>
      </c>
      <c r="K210" s="27">
        <v>49.0</v>
      </c>
      <c r="L210" s="28" t="s">
        <v>16</v>
      </c>
      <c r="M210" s="28" t="s">
        <v>17</v>
      </c>
      <c r="N210" s="10"/>
      <c r="O210" s="28" t="s">
        <v>375</v>
      </c>
      <c r="P210" s="26">
        <f t="shared" si="62"/>
        <v>45717</v>
      </c>
      <c r="Q210" s="26">
        <f t="shared" si="63"/>
        <v>45747</v>
      </c>
      <c r="R210" s="28" t="str">
        <f t="shared" si="3"/>
        <v>During Campaign</v>
      </c>
      <c r="S210" s="27">
        <f t="shared" si="4"/>
        <v>3661</v>
      </c>
      <c r="T210" s="29">
        <f t="shared" si="5"/>
        <v>0.08275316456</v>
      </c>
    </row>
    <row r="211">
      <c r="A211" s="10" t="s">
        <v>261</v>
      </c>
      <c r="B211" s="10" t="s">
        <v>24</v>
      </c>
      <c r="C211" s="26">
        <v>45707.0</v>
      </c>
      <c r="D211" s="10" t="s">
        <v>39</v>
      </c>
      <c r="E211" s="10" t="s">
        <v>40</v>
      </c>
      <c r="F211" s="27">
        <v>257.0</v>
      </c>
      <c r="G211" s="27">
        <v>966.0</v>
      </c>
      <c r="H211" s="27">
        <v>398.0</v>
      </c>
      <c r="I211" s="27">
        <v>3341.0</v>
      </c>
      <c r="J211" s="27">
        <v>2753.0</v>
      </c>
      <c r="K211" s="27">
        <v>287.0</v>
      </c>
      <c r="L211" s="28" t="s">
        <v>16</v>
      </c>
      <c r="M211" s="10"/>
      <c r="N211" s="10"/>
      <c r="O211" s="28" t="s">
        <v>365</v>
      </c>
      <c r="P211" s="26">
        <f t="shared" si="62"/>
        <v>45458</v>
      </c>
      <c r="Q211" s="26">
        <f t="shared" si="63"/>
        <v>45488</v>
      </c>
      <c r="R211" s="28" t="str">
        <f t="shared" si="3"/>
        <v>During Campaign</v>
      </c>
      <c r="S211" s="27">
        <f t="shared" si="4"/>
        <v>1621</v>
      </c>
      <c r="T211" s="29">
        <f t="shared" si="5"/>
        <v>0.4851840766</v>
      </c>
    </row>
    <row r="212">
      <c r="A212" s="10" t="s">
        <v>262</v>
      </c>
      <c r="B212" s="10" t="s">
        <v>13</v>
      </c>
      <c r="C212" s="26">
        <v>45491.0</v>
      </c>
      <c r="D212" s="10" t="s">
        <v>34</v>
      </c>
      <c r="E212" s="10" t="s">
        <v>37</v>
      </c>
      <c r="F212" s="27">
        <v>2120.0</v>
      </c>
      <c r="G212" s="27">
        <v>38.0</v>
      </c>
      <c r="H212" s="27">
        <v>212.0</v>
      </c>
      <c r="I212" s="27">
        <v>12720.0</v>
      </c>
      <c r="J212" s="27">
        <v>12564.0</v>
      </c>
      <c r="K212" s="27">
        <v>21.0</v>
      </c>
      <c r="L212" s="28" t="s">
        <v>16</v>
      </c>
      <c r="M212" s="10"/>
      <c r="N212" s="10"/>
      <c r="O212" s="28" t="s">
        <v>375</v>
      </c>
      <c r="P212" s="26">
        <f t="shared" si="62"/>
        <v>45717</v>
      </c>
      <c r="Q212" s="26">
        <f t="shared" si="63"/>
        <v>45747</v>
      </c>
      <c r="R212" s="28" t="str">
        <f t="shared" si="3"/>
        <v>During Campaign</v>
      </c>
      <c r="S212" s="27">
        <f t="shared" si="4"/>
        <v>2370</v>
      </c>
      <c r="T212" s="29">
        <f t="shared" si="5"/>
        <v>0.1863207547</v>
      </c>
    </row>
    <row r="213">
      <c r="A213" s="10" t="s">
        <v>263</v>
      </c>
      <c r="B213" s="10" t="s">
        <v>24</v>
      </c>
      <c r="C213" s="26">
        <v>45719.0</v>
      </c>
      <c r="D213" s="10" t="s">
        <v>53</v>
      </c>
      <c r="E213" s="10" t="s">
        <v>133</v>
      </c>
      <c r="F213" s="27">
        <v>3874.0</v>
      </c>
      <c r="G213" s="27">
        <v>884.0</v>
      </c>
      <c r="H213" s="27">
        <v>19.0</v>
      </c>
      <c r="I213" s="27">
        <v>38740.0</v>
      </c>
      <c r="J213" s="27">
        <v>38552.0</v>
      </c>
      <c r="K213" s="27">
        <v>219.0</v>
      </c>
      <c r="L213" s="28" t="s">
        <v>21</v>
      </c>
      <c r="M213" s="10"/>
      <c r="N213" s="10"/>
      <c r="O213" s="28" t="s">
        <v>368</v>
      </c>
      <c r="P213" s="26">
        <f t="shared" si="62"/>
        <v>45566</v>
      </c>
      <c r="Q213" s="26">
        <f t="shared" si="63"/>
        <v>45596</v>
      </c>
      <c r="R213" s="28" t="str">
        <f t="shared" si="3"/>
        <v>During Campaign</v>
      </c>
      <c r="S213" s="27">
        <f t="shared" si="4"/>
        <v>4777</v>
      </c>
      <c r="T213" s="29">
        <f t="shared" si="5"/>
        <v>0.1233092411</v>
      </c>
    </row>
    <row r="214">
      <c r="A214" s="10" t="s">
        <v>264</v>
      </c>
      <c r="B214" s="10" t="s">
        <v>33</v>
      </c>
      <c r="C214" s="26">
        <v>45778.0</v>
      </c>
      <c r="D214" s="10" t="s">
        <v>34</v>
      </c>
      <c r="E214" s="10" t="s">
        <v>35</v>
      </c>
      <c r="F214" s="27">
        <v>2696.0</v>
      </c>
      <c r="G214" s="27">
        <v>628.0</v>
      </c>
      <c r="H214" s="27">
        <v>443.0</v>
      </c>
      <c r="I214" s="27">
        <v>45832.0</v>
      </c>
      <c r="J214" s="27">
        <v>45632.0</v>
      </c>
      <c r="K214" s="27">
        <v>248.0</v>
      </c>
      <c r="L214" s="28" t="s">
        <v>30</v>
      </c>
      <c r="M214" s="10"/>
      <c r="N214" s="10"/>
      <c r="O214" s="28" t="s">
        <v>375</v>
      </c>
      <c r="P214" s="26">
        <f t="shared" si="62"/>
        <v>45717</v>
      </c>
      <c r="Q214" s="26">
        <f t="shared" si="63"/>
        <v>45747</v>
      </c>
      <c r="R214" s="28" t="str">
        <f t="shared" si="3"/>
        <v>During Campaign</v>
      </c>
      <c r="S214" s="27">
        <f t="shared" si="4"/>
        <v>3767</v>
      </c>
      <c r="T214" s="29">
        <f t="shared" si="5"/>
        <v>0.08219148193</v>
      </c>
    </row>
    <row r="215">
      <c r="A215" s="10" t="s">
        <v>265</v>
      </c>
      <c r="B215" s="10" t="s">
        <v>27</v>
      </c>
      <c r="C215" s="26">
        <v>45649.0</v>
      </c>
      <c r="D215" s="10" t="s">
        <v>39</v>
      </c>
      <c r="E215" s="10" t="s">
        <v>131</v>
      </c>
      <c r="F215" s="27">
        <v>521.0</v>
      </c>
      <c r="G215" s="27">
        <v>746.0</v>
      </c>
      <c r="H215" s="27">
        <v>315.0</v>
      </c>
      <c r="I215" s="27">
        <v>4168.0</v>
      </c>
      <c r="J215" s="27">
        <v>3399.0</v>
      </c>
      <c r="K215" s="27">
        <v>282.0</v>
      </c>
      <c r="L215" s="28" t="s">
        <v>16</v>
      </c>
      <c r="M215" s="10"/>
      <c r="N215" s="10"/>
      <c r="O215" s="28" t="s">
        <v>368</v>
      </c>
      <c r="P215" s="26">
        <f t="shared" si="62"/>
        <v>45566</v>
      </c>
      <c r="Q215" s="26">
        <f t="shared" si="63"/>
        <v>45596</v>
      </c>
      <c r="R215" s="28" t="str">
        <f t="shared" si="3"/>
        <v>During Campaign</v>
      </c>
      <c r="S215" s="27">
        <f t="shared" si="4"/>
        <v>1582</v>
      </c>
      <c r="T215" s="29">
        <f t="shared" si="5"/>
        <v>0.3795585413</v>
      </c>
    </row>
    <row r="216">
      <c r="A216" s="10" t="s">
        <v>266</v>
      </c>
      <c r="B216" s="10" t="s">
        <v>33</v>
      </c>
      <c r="C216" s="26">
        <v>45783.0</v>
      </c>
      <c r="D216" s="10" t="s">
        <v>39</v>
      </c>
      <c r="E216" s="10" t="s">
        <v>44</v>
      </c>
      <c r="F216" s="27">
        <v>4872.0</v>
      </c>
      <c r="G216" s="27">
        <v>925.0</v>
      </c>
      <c r="H216" s="27">
        <v>176.0</v>
      </c>
      <c r="I216" s="27">
        <v>82824.0</v>
      </c>
      <c r="J216" s="27">
        <v>82543.0</v>
      </c>
      <c r="K216" s="27">
        <v>89.0</v>
      </c>
      <c r="L216" s="28" t="s">
        <v>30</v>
      </c>
      <c r="M216" s="10"/>
      <c r="N216" s="10"/>
      <c r="O216" s="28" t="s">
        <v>368</v>
      </c>
      <c r="P216" s="26">
        <f t="shared" si="62"/>
        <v>45566</v>
      </c>
      <c r="Q216" s="26">
        <f t="shared" si="63"/>
        <v>45596</v>
      </c>
      <c r="R216" s="28" t="str">
        <f t="shared" si="3"/>
        <v>During Campaign</v>
      </c>
      <c r="S216" s="27">
        <f t="shared" si="4"/>
        <v>5973</v>
      </c>
      <c r="T216" s="29">
        <f t="shared" si="5"/>
        <v>0.07211677775</v>
      </c>
    </row>
    <row r="217">
      <c r="A217" s="10" t="s">
        <v>267</v>
      </c>
      <c r="B217" s="10" t="s">
        <v>24</v>
      </c>
      <c r="C217" s="26">
        <v>45502.0</v>
      </c>
      <c r="D217" s="10" t="s">
        <v>28</v>
      </c>
      <c r="E217" s="10" t="s">
        <v>98</v>
      </c>
      <c r="F217" s="27">
        <v>1509.0</v>
      </c>
      <c r="G217" s="27">
        <v>88.0</v>
      </c>
      <c r="H217" s="27">
        <v>163.0</v>
      </c>
      <c r="I217" s="27">
        <v>30180.0</v>
      </c>
      <c r="J217" s="27">
        <v>29689.0</v>
      </c>
      <c r="K217" s="27">
        <v>119.0</v>
      </c>
      <c r="L217" s="28" t="s">
        <v>30</v>
      </c>
      <c r="M217" s="10"/>
      <c r="N217" s="10"/>
      <c r="O217" s="28" t="s">
        <v>368</v>
      </c>
      <c r="P217" s="26">
        <f t="shared" si="62"/>
        <v>45566</v>
      </c>
      <c r="Q217" s="26">
        <f t="shared" si="63"/>
        <v>45596</v>
      </c>
      <c r="R217" s="28" t="str">
        <f t="shared" si="3"/>
        <v>During Campaign</v>
      </c>
      <c r="S217" s="27">
        <f t="shared" si="4"/>
        <v>1760</v>
      </c>
      <c r="T217" s="29">
        <f t="shared" si="5"/>
        <v>0.05831676607</v>
      </c>
    </row>
    <row r="218">
      <c r="A218" s="10" t="s">
        <v>268</v>
      </c>
      <c r="B218" s="10" t="s">
        <v>33</v>
      </c>
      <c r="C218" s="26">
        <v>45629.0</v>
      </c>
      <c r="D218" s="10" t="s">
        <v>39</v>
      </c>
      <c r="E218" s="10" t="s">
        <v>44</v>
      </c>
      <c r="F218" s="27">
        <v>4606.0</v>
      </c>
      <c r="G218" s="27">
        <v>931.0</v>
      </c>
      <c r="H218" s="27">
        <v>230.0</v>
      </c>
      <c r="I218" s="27">
        <v>92120.0</v>
      </c>
      <c r="J218" s="27">
        <v>91440.0</v>
      </c>
      <c r="K218" s="27">
        <v>56.0</v>
      </c>
      <c r="L218" s="28" t="s">
        <v>21</v>
      </c>
      <c r="M218" s="10"/>
      <c r="N218" s="10"/>
      <c r="O218" s="28"/>
      <c r="P218" s="86"/>
      <c r="Q218" s="86"/>
      <c r="R218" s="28" t="str">
        <f t="shared" si="3"/>
        <v>After Campaign</v>
      </c>
      <c r="S218" s="27">
        <f t="shared" si="4"/>
        <v>5767</v>
      </c>
      <c r="T218" s="29">
        <f t="shared" si="5"/>
        <v>0.06260312636</v>
      </c>
    </row>
    <row r="219">
      <c r="A219" s="10" t="s">
        <v>269</v>
      </c>
      <c r="B219" s="10" t="s">
        <v>33</v>
      </c>
      <c r="C219" s="26">
        <v>45454.0</v>
      </c>
      <c r="D219" s="10" t="s">
        <v>34</v>
      </c>
      <c r="E219" s="10" t="s">
        <v>35</v>
      </c>
      <c r="F219" s="27">
        <v>1869.0</v>
      </c>
      <c r="G219" s="27">
        <v>453.0</v>
      </c>
      <c r="H219" s="27">
        <v>490.0</v>
      </c>
      <c r="I219" s="27">
        <v>14952.0</v>
      </c>
      <c r="J219" s="27">
        <v>14309.0</v>
      </c>
      <c r="K219" s="27">
        <v>275.0</v>
      </c>
      <c r="L219" s="28" t="s">
        <v>21</v>
      </c>
      <c r="M219" s="10"/>
      <c r="N219" s="10"/>
      <c r="O219" s="28" t="s">
        <v>375</v>
      </c>
      <c r="P219" s="26">
        <f t="shared" ref="P219:P220" si="64">IFS(
  O219="SummerSplash", DATE(2024,6,15),
  O219="FestiveRadiance", DATE(2024,10,1),
  O219="NewYearRefresh", DATE(2024,12,25),
  O219="DailyWellness", DATE(2025,3,1)
)
</f>
        <v>45717</v>
      </c>
      <c r="Q219" s="26">
        <f t="shared" ref="Q219:Q220" si="65">IFS(
  O219="SummerSplash", DATE(2024,7,15),
  O219="FestiveRadiance", DATE(2024,10,31),
  O219="NewYearRefresh", DATE(2025,1,10),
  O219="DailyWellness", DATE(2025,3,31)
)
</f>
        <v>45747</v>
      </c>
      <c r="R219" s="28" t="str">
        <f t="shared" si="3"/>
        <v>During Campaign</v>
      </c>
      <c r="S219" s="27">
        <f t="shared" si="4"/>
        <v>2812</v>
      </c>
      <c r="T219" s="29">
        <f t="shared" si="5"/>
        <v>0.1880684858</v>
      </c>
    </row>
    <row r="220">
      <c r="A220" s="10" t="s">
        <v>270</v>
      </c>
      <c r="B220" s="10" t="s">
        <v>13</v>
      </c>
      <c r="C220" s="26">
        <v>45685.0</v>
      </c>
      <c r="D220" s="10" t="s">
        <v>14</v>
      </c>
      <c r="E220" s="10" t="s">
        <v>15</v>
      </c>
      <c r="F220" s="27">
        <v>1188.0</v>
      </c>
      <c r="G220" s="27">
        <v>470.0</v>
      </c>
      <c r="H220" s="27">
        <v>174.0</v>
      </c>
      <c r="I220" s="27">
        <v>7128.0</v>
      </c>
      <c r="J220" s="27">
        <v>6145.0</v>
      </c>
      <c r="K220" s="27">
        <v>270.0</v>
      </c>
      <c r="L220" s="28" t="s">
        <v>21</v>
      </c>
      <c r="M220" s="10"/>
      <c r="N220" s="10"/>
      <c r="O220" s="28" t="s">
        <v>375</v>
      </c>
      <c r="P220" s="26">
        <f t="shared" si="64"/>
        <v>45717</v>
      </c>
      <c r="Q220" s="26">
        <f t="shared" si="65"/>
        <v>45747</v>
      </c>
      <c r="R220" s="28" t="str">
        <f t="shared" si="3"/>
        <v>During Campaign</v>
      </c>
      <c r="S220" s="27">
        <f t="shared" si="4"/>
        <v>1832</v>
      </c>
      <c r="T220" s="29">
        <f t="shared" si="5"/>
        <v>0.2570145903</v>
      </c>
    </row>
    <row r="221">
      <c r="A221" s="10" t="s">
        <v>271</v>
      </c>
      <c r="B221" s="10" t="s">
        <v>27</v>
      </c>
      <c r="C221" s="26">
        <v>45445.0</v>
      </c>
      <c r="D221" s="10" t="s">
        <v>28</v>
      </c>
      <c r="E221" s="10" t="s">
        <v>29</v>
      </c>
      <c r="F221" s="27">
        <v>84.0</v>
      </c>
      <c r="G221" s="27">
        <v>897.0</v>
      </c>
      <c r="H221" s="27">
        <v>85.0</v>
      </c>
      <c r="I221" s="27">
        <v>588.0</v>
      </c>
      <c r="J221" s="27">
        <v>8.0</v>
      </c>
      <c r="K221" s="27">
        <v>12.0</v>
      </c>
      <c r="L221" s="28" t="s">
        <v>30</v>
      </c>
      <c r="M221" s="10"/>
      <c r="N221" s="10"/>
      <c r="O221" s="28"/>
      <c r="P221" s="86"/>
      <c r="Q221" s="86"/>
      <c r="R221" s="28" t="str">
        <f t="shared" si="3"/>
        <v>After Campaign</v>
      </c>
      <c r="S221" s="27">
        <f t="shared" si="4"/>
        <v>1066</v>
      </c>
      <c r="T221" s="29">
        <f t="shared" si="5"/>
        <v>1.81292517</v>
      </c>
    </row>
    <row r="222">
      <c r="A222" s="10" t="s">
        <v>272</v>
      </c>
      <c r="B222" s="10" t="s">
        <v>33</v>
      </c>
      <c r="C222" s="26">
        <v>45739.0</v>
      </c>
      <c r="D222" s="10" t="s">
        <v>53</v>
      </c>
      <c r="E222" s="10" t="s">
        <v>54</v>
      </c>
      <c r="F222" s="27">
        <v>4453.0</v>
      </c>
      <c r="G222" s="27">
        <v>111.0</v>
      </c>
      <c r="H222" s="27">
        <v>420.0</v>
      </c>
      <c r="I222" s="27">
        <v>31171.0</v>
      </c>
      <c r="J222" s="27">
        <v>30565.0</v>
      </c>
      <c r="K222" s="27">
        <v>23.0</v>
      </c>
      <c r="L222" s="28" t="s">
        <v>21</v>
      </c>
      <c r="M222" s="10"/>
      <c r="N222" s="10"/>
      <c r="O222" s="28"/>
      <c r="P222" s="86"/>
      <c r="Q222" s="86"/>
      <c r="R222" s="28" t="str">
        <f t="shared" si="3"/>
        <v>After Campaign</v>
      </c>
      <c r="S222" s="27">
        <f t="shared" si="4"/>
        <v>4984</v>
      </c>
      <c r="T222" s="29">
        <f t="shared" si="5"/>
        <v>0.1598922075</v>
      </c>
    </row>
    <row r="223">
      <c r="A223" s="10" t="s">
        <v>273</v>
      </c>
      <c r="B223" s="10" t="s">
        <v>33</v>
      </c>
      <c r="C223" s="26">
        <v>45573.0</v>
      </c>
      <c r="D223" s="10" t="s">
        <v>14</v>
      </c>
      <c r="E223" s="10" t="s">
        <v>47</v>
      </c>
      <c r="F223" s="27">
        <v>1814.0</v>
      </c>
      <c r="G223" s="27">
        <v>653.0</v>
      </c>
      <c r="H223" s="27">
        <v>363.0</v>
      </c>
      <c r="I223" s="27">
        <v>25396.0</v>
      </c>
      <c r="J223" s="27">
        <v>25286.0</v>
      </c>
      <c r="K223" s="27">
        <v>39.0</v>
      </c>
      <c r="L223" s="28" t="s">
        <v>16</v>
      </c>
      <c r="M223" s="28" t="s">
        <v>191</v>
      </c>
      <c r="N223" s="10"/>
      <c r="O223" s="28" t="s">
        <v>365</v>
      </c>
      <c r="P223" s="26">
        <f>IFS(
  O223="SummerSplash", DATE(2024,6,15),
  O223="FestiveRadiance", DATE(2024,10,1),
  O223="NewYearRefresh", DATE(2024,12,25),
  O223="DailyWellness", DATE(2025,3,1)
)
</f>
        <v>45458</v>
      </c>
      <c r="Q223" s="26">
        <f>IFS(
  O223="SummerSplash", DATE(2024,7,15),
  O223="FestiveRadiance", DATE(2024,10,31),
  O223="NewYearRefresh", DATE(2025,1,10),
  O223="DailyWellness", DATE(2025,3,31)
)
</f>
        <v>45488</v>
      </c>
      <c r="R223" s="28" t="str">
        <f t="shared" si="3"/>
        <v>During Campaign</v>
      </c>
      <c r="S223" s="27">
        <f t="shared" si="4"/>
        <v>2830</v>
      </c>
      <c r="T223" s="29">
        <f t="shared" si="5"/>
        <v>0.1114348716</v>
      </c>
    </row>
    <row r="224">
      <c r="A224" s="10" t="s">
        <v>274</v>
      </c>
      <c r="B224" s="10" t="s">
        <v>13</v>
      </c>
      <c r="C224" s="26">
        <v>45608.0</v>
      </c>
      <c r="D224" s="10" t="s">
        <v>39</v>
      </c>
      <c r="E224" s="10" t="s">
        <v>85</v>
      </c>
      <c r="F224" s="27">
        <v>3338.0</v>
      </c>
      <c r="G224" s="27">
        <v>277.0</v>
      </c>
      <c r="H224" s="27">
        <v>118.0</v>
      </c>
      <c r="I224" s="27">
        <v>60084.0</v>
      </c>
      <c r="J224" s="27">
        <v>59842.0</v>
      </c>
      <c r="K224" s="27">
        <v>252.0</v>
      </c>
      <c r="L224" s="28" t="s">
        <v>21</v>
      </c>
      <c r="M224" s="10"/>
      <c r="N224" s="10"/>
      <c r="O224" s="28"/>
      <c r="P224" s="86"/>
      <c r="Q224" s="86"/>
      <c r="R224" s="28" t="str">
        <f t="shared" si="3"/>
        <v>After Campaign</v>
      </c>
      <c r="S224" s="27">
        <f t="shared" si="4"/>
        <v>3733</v>
      </c>
      <c r="T224" s="29">
        <f t="shared" si="5"/>
        <v>0.06212968511</v>
      </c>
    </row>
    <row r="225">
      <c r="A225" s="10" t="s">
        <v>275</v>
      </c>
      <c r="B225" s="10" t="s">
        <v>33</v>
      </c>
      <c r="C225" s="26">
        <v>45790.0</v>
      </c>
      <c r="D225" s="10" t="s">
        <v>39</v>
      </c>
      <c r="E225" s="10" t="s">
        <v>44</v>
      </c>
      <c r="F225" s="27">
        <v>602.0</v>
      </c>
      <c r="G225" s="27">
        <v>594.0</v>
      </c>
      <c r="H225" s="27">
        <v>156.0</v>
      </c>
      <c r="I225" s="27">
        <v>4214.0</v>
      </c>
      <c r="J225" s="27">
        <v>3363.0</v>
      </c>
      <c r="K225" s="27">
        <v>164.0</v>
      </c>
      <c r="L225" s="28" t="s">
        <v>21</v>
      </c>
      <c r="M225" s="10"/>
      <c r="N225" s="10"/>
      <c r="O225" s="28" t="s">
        <v>372</v>
      </c>
      <c r="P225" s="26">
        <f>IFS(
  O225="SummerSplash", DATE(2024,6,15),
  O225="FestiveRadiance", DATE(2024,10,1),
  O225="NewYearRefresh", DATE(2024,12,25),
  O225="DailyWellness", DATE(2025,3,1)
)
</f>
        <v>45651</v>
      </c>
      <c r="Q225" s="26">
        <f>IFS(
  O225="SummerSplash", DATE(2024,7,15),
  O225="FestiveRadiance", DATE(2024,10,31),
  O225="NewYearRefresh", DATE(2025,1,10),
  O225="DailyWellness", DATE(2025,3,31)
)
</f>
        <v>45667</v>
      </c>
      <c r="R225" s="28" t="str">
        <f t="shared" si="3"/>
        <v>During Campaign</v>
      </c>
      <c r="S225" s="27">
        <f t="shared" si="4"/>
        <v>1352</v>
      </c>
      <c r="T225" s="29">
        <f t="shared" si="5"/>
        <v>0.3208353109</v>
      </c>
    </row>
    <row r="226">
      <c r="A226" s="10" t="s">
        <v>276</v>
      </c>
      <c r="B226" s="10" t="s">
        <v>13</v>
      </c>
      <c r="C226" s="26">
        <v>45463.0</v>
      </c>
      <c r="D226" s="10" t="s">
        <v>34</v>
      </c>
      <c r="E226" s="10" t="s">
        <v>37</v>
      </c>
      <c r="F226" s="27">
        <v>4672.0</v>
      </c>
      <c r="G226" s="27">
        <v>325.0</v>
      </c>
      <c r="H226" s="27">
        <v>32.0</v>
      </c>
      <c r="I226" s="27">
        <v>88768.0</v>
      </c>
      <c r="J226" s="27">
        <v>87833.0</v>
      </c>
      <c r="K226" s="27">
        <v>118.0</v>
      </c>
      <c r="L226" s="28" t="s">
        <v>30</v>
      </c>
      <c r="M226" s="10"/>
      <c r="N226" s="10"/>
      <c r="O226" s="28"/>
      <c r="P226" s="86"/>
      <c r="Q226" s="86"/>
      <c r="R226" s="28" t="str">
        <f t="shared" si="3"/>
        <v>After Campaign</v>
      </c>
      <c r="S226" s="27">
        <f t="shared" si="4"/>
        <v>5029</v>
      </c>
      <c r="T226" s="29">
        <f t="shared" si="5"/>
        <v>0.05665329849</v>
      </c>
    </row>
    <row r="227">
      <c r="A227" s="10" t="s">
        <v>277</v>
      </c>
      <c r="B227" s="10" t="s">
        <v>27</v>
      </c>
      <c r="C227" s="26">
        <v>45511.0</v>
      </c>
      <c r="D227" s="10" t="s">
        <v>34</v>
      </c>
      <c r="E227" s="10" t="s">
        <v>62</v>
      </c>
      <c r="F227" s="27">
        <v>1741.0</v>
      </c>
      <c r="G227" s="27">
        <v>164.0</v>
      </c>
      <c r="H227" s="27">
        <v>318.0</v>
      </c>
      <c r="I227" s="27">
        <v>8705.0</v>
      </c>
      <c r="J227" s="27">
        <v>8272.0</v>
      </c>
      <c r="K227" s="27">
        <v>121.0</v>
      </c>
      <c r="L227" s="28" t="s">
        <v>21</v>
      </c>
      <c r="M227" s="10"/>
      <c r="N227" s="10"/>
      <c r="O227" s="28"/>
      <c r="P227" s="86"/>
      <c r="Q227" s="86"/>
      <c r="R227" s="28" t="str">
        <f t="shared" si="3"/>
        <v>After Campaign</v>
      </c>
      <c r="S227" s="27">
        <f t="shared" si="4"/>
        <v>2223</v>
      </c>
      <c r="T227" s="29">
        <f t="shared" si="5"/>
        <v>0.2553704767</v>
      </c>
    </row>
    <row r="228">
      <c r="A228" s="10" t="s">
        <v>278</v>
      </c>
      <c r="B228" s="10" t="s">
        <v>27</v>
      </c>
      <c r="C228" s="26">
        <v>45455.0</v>
      </c>
      <c r="D228" s="10" t="s">
        <v>19</v>
      </c>
      <c r="E228" s="10" t="s">
        <v>75</v>
      </c>
      <c r="F228" s="27">
        <v>246.0</v>
      </c>
      <c r="G228" s="27">
        <v>149.0</v>
      </c>
      <c r="H228" s="27">
        <v>130.0</v>
      </c>
      <c r="I228" s="27">
        <v>4674.0</v>
      </c>
      <c r="J228" s="27">
        <v>4390.0</v>
      </c>
      <c r="K228" s="27">
        <v>217.0</v>
      </c>
      <c r="L228" s="28" t="s">
        <v>16</v>
      </c>
      <c r="M228" s="10"/>
      <c r="N228" s="10"/>
      <c r="O228" s="28" t="s">
        <v>372</v>
      </c>
      <c r="P228" s="26">
        <f t="shared" ref="P228:P229" si="66">IFS(
  O228="SummerSplash", DATE(2024,6,15),
  O228="FestiveRadiance", DATE(2024,10,1),
  O228="NewYearRefresh", DATE(2024,12,25),
  O228="DailyWellness", DATE(2025,3,1)
)
</f>
        <v>45651</v>
      </c>
      <c r="Q228" s="26">
        <f t="shared" ref="Q228:Q229" si="67">IFS(
  O228="SummerSplash", DATE(2024,7,15),
  O228="FestiveRadiance", DATE(2024,10,31),
  O228="NewYearRefresh", DATE(2025,1,10),
  O228="DailyWellness", DATE(2025,3,31)
)
</f>
        <v>45667</v>
      </c>
      <c r="R228" s="28" t="str">
        <f t="shared" si="3"/>
        <v>During Campaign</v>
      </c>
      <c r="S228" s="27">
        <f t="shared" si="4"/>
        <v>525</v>
      </c>
      <c r="T228" s="29">
        <f t="shared" si="5"/>
        <v>0.1123234917</v>
      </c>
    </row>
    <row r="229">
      <c r="A229" s="10" t="s">
        <v>279</v>
      </c>
      <c r="B229" s="10" t="s">
        <v>27</v>
      </c>
      <c r="C229" s="26">
        <v>45474.0</v>
      </c>
      <c r="D229" s="10" t="s">
        <v>28</v>
      </c>
      <c r="E229" s="10" t="s">
        <v>29</v>
      </c>
      <c r="F229" s="27">
        <v>4808.0</v>
      </c>
      <c r="G229" s="27">
        <v>772.0</v>
      </c>
      <c r="H229" s="27">
        <v>320.0</v>
      </c>
      <c r="I229" s="27">
        <v>72120.0</v>
      </c>
      <c r="J229" s="27">
        <v>71696.0</v>
      </c>
      <c r="K229" s="27">
        <v>195.0</v>
      </c>
      <c r="L229" s="28" t="s">
        <v>30</v>
      </c>
      <c r="M229" s="10"/>
      <c r="N229" s="10"/>
      <c r="O229" s="28" t="s">
        <v>365</v>
      </c>
      <c r="P229" s="26">
        <f t="shared" si="66"/>
        <v>45458</v>
      </c>
      <c r="Q229" s="26">
        <f t="shared" si="67"/>
        <v>45488</v>
      </c>
      <c r="R229" s="28" t="str">
        <f t="shared" si="3"/>
        <v>During Campaign</v>
      </c>
      <c r="S229" s="27">
        <f t="shared" si="4"/>
        <v>5900</v>
      </c>
      <c r="T229" s="29">
        <f t="shared" si="5"/>
        <v>0.08180809762</v>
      </c>
    </row>
    <row r="230">
      <c r="A230" s="10" t="s">
        <v>280</v>
      </c>
      <c r="B230" s="10" t="s">
        <v>27</v>
      </c>
      <c r="C230" s="26">
        <v>45476.0</v>
      </c>
      <c r="D230" s="10" t="s">
        <v>34</v>
      </c>
      <c r="E230" s="10" t="s">
        <v>62</v>
      </c>
      <c r="F230" s="27">
        <v>4799.0</v>
      </c>
      <c r="G230" s="27">
        <v>694.0</v>
      </c>
      <c r="H230" s="27">
        <v>289.0</v>
      </c>
      <c r="I230" s="27">
        <v>43191.0</v>
      </c>
      <c r="J230" s="27">
        <v>42228.0</v>
      </c>
      <c r="K230" s="27">
        <v>118.0</v>
      </c>
      <c r="L230" s="28" t="s">
        <v>21</v>
      </c>
      <c r="M230" s="10"/>
      <c r="N230" s="10"/>
      <c r="O230" s="28"/>
      <c r="P230" s="86"/>
      <c r="Q230" s="86"/>
      <c r="R230" s="28" t="str">
        <f t="shared" si="3"/>
        <v>After Campaign</v>
      </c>
      <c r="S230" s="27">
        <f t="shared" si="4"/>
        <v>5782</v>
      </c>
      <c r="T230" s="29">
        <f t="shared" si="5"/>
        <v>0.1338704823</v>
      </c>
    </row>
    <row r="231">
      <c r="A231" s="10" t="s">
        <v>281</v>
      </c>
      <c r="B231" s="10" t="s">
        <v>33</v>
      </c>
      <c r="C231" s="26">
        <v>45488.0</v>
      </c>
      <c r="D231" s="10" t="s">
        <v>14</v>
      </c>
      <c r="E231" s="10" t="s">
        <v>47</v>
      </c>
      <c r="F231" s="27">
        <v>3663.0</v>
      </c>
      <c r="G231" s="27">
        <v>17.0</v>
      </c>
      <c r="H231" s="27">
        <v>295.0</v>
      </c>
      <c r="I231" s="27">
        <v>51282.0</v>
      </c>
      <c r="J231" s="27">
        <v>50567.0</v>
      </c>
      <c r="K231" s="27">
        <v>84.0</v>
      </c>
      <c r="L231" s="28" t="s">
        <v>30</v>
      </c>
      <c r="M231" s="10"/>
      <c r="N231" s="10"/>
      <c r="O231" s="28" t="s">
        <v>372</v>
      </c>
      <c r="P231" s="26">
        <f t="shared" ref="P231:P234" si="68">IFS(
  O231="SummerSplash", DATE(2024,6,15),
  O231="FestiveRadiance", DATE(2024,10,1),
  O231="NewYearRefresh", DATE(2024,12,25),
  O231="DailyWellness", DATE(2025,3,1)
)
</f>
        <v>45651</v>
      </c>
      <c r="Q231" s="26">
        <f t="shared" ref="Q231:Q234" si="69">IFS(
  O231="SummerSplash", DATE(2024,7,15),
  O231="FestiveRadiance", DATE(2024,10,31),
  O231="NewYearRefresh", DATE(2025,1,10),
  O231="DailyWellness", DATE(2025,3,31)
)
</f>
        <v>45667</v>
      </c>
      <c r="R231" s="28" t="str">
        <f t="shared" si="3"/>
        <v>During Campaign</v>
      </c>
      <c r="S231" s="27">
        <f t="shared" si="4"/>
        <v>3975</v>
      </c>
      <c r="T231" s="29">
        <f t="shared" si="5"/>
        <v>0.07751257751</v>
      </c>
    </row>
    <row r="232">
      <c r="A232" s="10" t="s">
        <v>282</v>
      </c>
      <c r="B232" s="10" t="s">
        <v>27</v>
      </c>
      <c r="C232" s="26">
        <v>45778.0</v>
      </c>
      <c r="D232" s="10" t="s">
        <v>19</v>
      </c>
      <c r="E232" s="10" t="s">
        <v>75</v>
      </c>
      <c r="F232" s="27">
        <v>1430.0</v>
      </c>
      <c r="G232" s="27">
        <v>376.0</v>
      </c>
      <c r="H232" s="27">
        <v>33.0</v>
      </c>
      <c r="I232" s="27">
        <v>21450.0</v>
      </c>
      <c r="J232" s="27">
        <v>20509.0</v>
      </c>
      <c r="K232" s="27">
        <v>251.0</v>
      </c>
      <c r="L232" s="28" t="s">
        <v>16</v>
      </c>
      <c r="M232" s="10"/>
      <c r="N232" s="10"/>
      <c r="O232" s="28" t="s">
        <v>365</v>
      </c>
      <c r="P232" s="26">
        <f t="shared" si="68"/>
        <v>45458</v>
      </c>
      <c r="Q232" s="26">
        <f t="shared" si="69"/>
        <v>45488</v>
      </c>
      <c r="R232" s="28" t="str">
        <f t="shared" si="3"/>
        <v>During Campaign</v>
      </c>
      <c r="S232" s="27">
        <f t="shared" si="4"/>
        <v>1839</v>
      </c>
      <c r="T232" s="29">
        <f t="shared" si="5"/>
        <v>0.08573426573</v>
      </c>
    </row>
    <row r="233">
      <c r="A233" s="10" t="s">
        <v>283</v>
      </c>
      <c r="B233" s="10" t="s">
        <v>13</v>
      </c>
      <c r="C233" s="26">
        <v>45776.0</v>
      </c>
      <c r="D233" s="10" t="s">
        <v>28</v>
      </c>
      <c r="E233" s="10" t="s">
        <v>95</v>
      </c>
      <c r="F233" s="27">
        <v>249.0</v>
      </c>
      <c r="G233" s="27">
        <v>592.0</v>
      </c>
      <c r="H233" s="27">
        <v>230.0</v>
      </c>
      <c r="I233" s="27">
        <v>1494.0</v>
      </c>
      <c r="J233" s="27">
        <v>1044.0</v>
      </c>
      <c r="K233" s="27">
        <v>201.0</v>
      </c>
      <c r="L233" s="28" t="s">
        <v>30</v>
      </c>
      <c r="M233" s="10"/>
      <c r="N233" s="10"/>
      <c r="O233" s="28" t="s">
        <v>375</v>
      </c>
      <c r="P233" s="26">
        <f t="shared" si="68"/>
        <v>45717</v>
      </c>
      <c r="Q233" s="26">
        <f t="shared" si="69"/>
        <v>45747</v>
      </c>
      <c r="R233" s="28" t="str">
        <f t="shared" si="3"/>
        <v>During Campaign</v>
      </c>
      <c r="S233" s="27">
        <f t="shared" si="4"/>
        <v>1071</v>
      </c>
      <c r="T233" s="29">
        <f t="shared" si="5"/>
        <v>0.7168674699</v>
      </c>
    </row>
    <row r="234">
      <c r="A234" s="10" t="s">
        <v>284</v>
      </c>
      <c r="B234" s="10" t="s">
        <v>33</v>
      </c>
      <c r="C234" s="26">
        <v>45724.0</v>
      </c>
      <c r="D234" s="10" t="s">
        <v>39</v>
      </c>
      <c r="E234" s="10" t="s">
        <v>44</v>
      </c>
      <c r="F234" s="27">
        <v>2382.0</v>
      </c>
      <c r="G234" s="27">
        <v>265.0</v>
      </c>
      <c r="H234" s="27">
        <v>134.0</v>
      </c>
      <c r="I234" s="27">
        <v>38112.0</v>
      </c>
      <c r="J234" s="27">
        <v>37437.0</v>
      </c>
      <c r="K234" s="27">
        <v>249.0</v>
      </c>
      <c r="L234" s="28" t="s">
        <v>16</v>
      </c>
      <c r="M234" s="10"/>
      <c r="N234" s="10"/>
      <c r="O234" s="28" t="s">
        <v>375</v>
      </c>
      <c r="P234" s="26">
        <f t="shared" si="68"/>
        <v>45717</v>
      </c>
      <c r="Q234" s="26">
        <f t="shared" si="69"/>
        <v>45747</v>
      </c>
      <c r="R234" s="28" t="str">
        <f t="shared" si="3"/>
        <v>During Campaign</v>
      </c>
      <c r="S234" s="27">
        <f t="shared" si="4"/>
        <v>2781</v>
      </c>
      <c r="T234" s="29">
        <f t="shared" si="5"/>
        <v>0.07296914358</v>
      </c>
    </row>
    <row r="235">
      <c r="A235" s="10" t="s">
        <v>285</v>
      </c>
      <c r="B235" s="10" t="s">
        <v>33</v>
      </c>
      <c r="C235" s="26">
        <v>45444.0</v>
      </c>
      <c r="D235" s="10" t="s">
        <v>19</v>
      </c>
      <c r="E235" s="10" t="s">
        <v>42</v>
      </c>
      <c r="F235" s="27">
        <v>1272.0</v>
      </c>
      <c r="G235" s="27">
        <v>465.0</v>
      </c>
      <c r="H235" s="27">
        <v>99.0</v>
      </c>
      <c r="I235" s="27">
        <v>24168.0</v>
      </c>
      <c r="J235" s="27">
        <v>23719.0</v>
      </c>
      <c r="K235" s="27">
        <v>42.0</v>
      </c>
      <c r="L235" s="28" t="s">
        <v>21</v>
      </c>
      <c r="M235" s="10"/>
      <c r="N235" s="10"/>
      <c r="O235" s="28"/>
      <c r="P235" s="86"/>
      <c r="Q235" s="86"/>
      <c r="R235" s="28" t="str">
        <f t="shared" si="3"/>
        <v>After Campaign</v>
      </c>
      <c r="S235" s="27">
        <f t="shared" si="4"/>
        <v>1836</v>
      </c>
      <c r="T235" s="29">
        <f t="shared" si="5"/>
        <v>0.07596822244</v>
      </c>
    </row>
    <row r="236">
      <c r="A236" s="10" t="s">
        <v>286</v>
      </c>
      <c r="B236" s="10" t="s">
        <v>33</v>
      </c>
      <c r="C236" s="26">
        <v>45648.0</v>
      </c>
      <c r="D236" s="10" t="s">
        <v>39</v>
      </c>
      <c r="E236" s="10" t="s">
        <v>44</v>
      </c>
      <c r="F236" s="27">
        <v>3196.0</v>
      </c>
      <c r="G236" s="27">
        <v>941.0</v>
      </c>
      <c r="H236" s="27">
        <v>376.0</v>
      </c>
      <c r="I236" s="27">
        <v>35156.0</v>
      </c>
      <c r="J236" s="27">
        <v>34444.0</v>
      </c>
      <c r="K236" s="27">
        <v>241.0</v>
      </c>
      <c r="L236" s="28" t="s">
        <v>21</v>
      </c>
      <c r="M236" s="10"/>
      <c r="N236" s="10"/>
      <c r="O236" s="28" t="s">
        <v>372</v>
      </c>
      <c r="P236" s="26">
        <f t="shared" ref="P236:P239" si="70">IFS(
  O236="SummerSplash", DATE(2024,6,15),
  O236="FestiveRadiance", DATE(2024,10,1),
  O236="NewYearRefresh", DATE(2024,12,25),
  O236="DailyWellness", DATE(2025,3,1)
)
</f>
        <v>45651</v>
      </c>
      <c r="Q236" s="26">
        <f t="shared" ref="Q236:Q239" si="71">IFS(
  O236="SummerSplash", DATE(2024,7,15),
  O236="FestiveRadiance", DATE(2024,10,31),
  O236="NewYearRefresh", DATE(2025,1,10),
  O236="DailyWellness", DATE(2025,3,31)
)
</f>
        <v>45667</v>
      </c>
      <c r="R236" s="28" t="str">
        <f t="shared" si="3"/>
        <v>During Campaign</v>
      </c>
      <c r="S236" s="27">
        <f t="shared" si="4"/>
        <v>4513</v>
      </c>
      <c r="T236" s="29">
        <f t="shared" si="5"/>
        <v>0.1283706906</v>
      </c>
    </row>
    <row r="237">
      <c r="A237" s="10" t="s">
        <v>287</v>
      </c>
      <c r="B237" s="10" t="s">
        <v>33</v>
      </c>
      <c r="C237" s="26">
        <v>45523.0</v>
      </c>
      <c r="D237" s="10" t="s">
        <v>19</v>
      </c>
      <c r="E237" s="10" t="s">
        <v>42</v>
      </c>
      <c r="F237" s="27">
        <v>1257.0</v>
      </c>
      <c r="G237" s="27">
        <v>19.0</v>
      </c>
      <c r="H237" s="27">
        <v>351.0</v>
      </c>
      <c r="I237" s="27">
        <v>12570.0</v>
      </c>
      <c r="J237" s="27">
        <v>11660.0</v>
      </c>
      <c r="K237" s="27">
        <v>194.0</v>
      </c>
      <c r="L237" s="28" t="s">
        <v>16</v>
      </c>
      <c r="M237" s="28" t="s">
        <v>17</v>
      </c>
      <c r="N237" s="28" t="s">
        <v>30</v>
      </c>
      <c r="O237" s="28" t="s">
        <v>368</v>
      </c>
      <c r="P237" s="26">
        <f t="shared" si="70"/>
        <v>45566</v>
      </c>
      <c r="Q237" s="26">
        <f t="shared" si="71"/>
        <v>45596</v>
      </c>
      <c r="R237" s="28" t="str">
        <f t="shared" si="3"/>
        <v>Before Campaign</v>
      </c>
      <c r="S237" s="27">
        <f t="shared" si="4"/>
        <v>1627</v>
      </c>
      <c r="T237" s="29">
        <f t="shared" si="5"/>
        <v>0.1294351631</v>
      </c>
    </row>
    <row r="238">
      <c r="A238" s="10" t="s">
        <v>288</v>
      </c>
      <c r="B238" s="10" t="s">
        <v>27</v>
      </c>
      <c r="C238" s="26">
        <v>45587.0</v>
      </c>
      <c r="D238" s="10" t="s">
        <v>28</v>
      </c>
      <c r="E238" s="10" t="s">
        <v>29</v>
      </c>
      <c r="F238" s="27">
        <v>3770.0</v>
      </c>
      <c r="G238" s="27">
        <v>917.0</v>
      </c>
      <c r="H238" s="27">
        <v>129.0</v>
      </c>
      <c r="I238" s="27">
        <v>71630.0</v>
      </c>
      <c r="J238" s="27">
        <v>71322.0</v>
      </c>
      <c r="K238" s="27">
        <v>76.0</v>
      </c>
      <c r="L238" s="28" t="s">
        <v>16</v>
      </c>
      <c r="M238" s="10"/>
      <c r="N238" s="10"/>
      <c r="O238" s="28" t="s">
        <v>365</v>
      </c>
      <c r="P238" s="26">
        <f t="shared" si="70"/>
        <v>45458</v>
      </c>
      <c r="Q238" s="26">
        <f t="shared" si="71"/>
        <v>45488</v>
      </c>
      <c r="R238" s="28" t="str">
        <f t="shared" si="3"/>
        <v>During Campaign</v>
      </c>
      <c r="S238" s="27">
        <f t="shared" si="4"/>
        <v>4816</v>
      </c>
      <c r="T238" s="29">
        <f t="shared" si="5"/>
        <v>0.06723439899</v>
      </c>
    </row>
    <row r="239">
      <c r="A239" s="10" t="s">
        <v>289</v>
      </c>
      <c r="B239" s="10" t="s">
        <v>13</v>
      </c>
      <c r="C239" s="26">
        <v>45489.0</v>
      </c>
      <c r="D239" s="10" t="s">
        <v>19</v>
      </c>
      <c r="E239" s="10" t="s">
        <v>20</v>
      </c>
      <c r="F239" s="27">
        <v>4725.0</v>
      </c>
      <c r="G239" s="27">
        <v>400.0</v>
      </c>
      <c r="H239" s="27">
        <v>362.0</v>
      </c>
      <c r="I239" s="27">
        <v>75600.0</v>
      </c>
      <c r="J239" s="27">
        <v>74927.0</v>
      </c>
      <c r="K239" s="27">
        <v>43.0</v>
      </c>
      <c r="L239" s="28" t="s">
        <v>16</v>
      </c>
      <c r="M239" s="10"/>
      <c r="N239" s="10"/>
      <c r="O239" s="28" t="s">
        <v>375</v>
      </c>
      <c r="P239" s="26">
        <f t="shared" si="70"/>
        <v>45717</v>
      </c>
      <c r="Q239" s="26">
        <f t="shared" si="71"/>
        <v>45747</v>
      </c>
      <c r="R239" s="28" t="str">
        <f t="shared" si="3"/>
        <v>During Campaign</v>
      </c>
      <c r="S239" s="27">
        <f t="shared" si="4"/>
        <v>5487</v>
      </c>
      <c r="T239" s="29">
        <f t="shared" si="5"/>
        <v>0.07257936508</v>
      </c>
    </row>
    <row r="240">
      <c r="A240" s="10" t="s">
        <v>290</v>
      </c>
      <c r="B240" s="10" t="s">
        <v>24</v>
      </c>
      <c r="C240" s="26">
        <v>45712.0</v>
      </c>
      <c r="D240" s="10" t="s">
        <v>19</v>
      </c>
      <c r="E240" s="10" t="s">
        <v>70</v>
      </c>
      <c r="F240" s="27">
        <v>4188.0</v>
      </c>
      <c r="G240" s="27">
        <v>942.0</v>
      </c>
      <c r="H240" s="27">
        <v>118.0</v>
      </c>
      <c r="I240" s="27">
        <v>20940.0</v>
      </c>
      <c r="J240" s="27">
        <v>20471.0</v>
      </c>
      <c r="K240" s="27">
        <v>102.0</v>
      </c>
      <c r="L240" s="28" t="s">
        <v>16</v>
      </c>
      <c r="M240" s="10"/>
      <c r="N240" s="10"/>
      <c r="O240" s="28"/>
      <c r="P240" s="86"/>
      <c r="Q240" s="86"/>
      <c r="R240" s="28" t="str">
        <f t="shared" si="3"/>
        <v>After Campaign</v>
      </c>
      <c r="S240" s="27">
        <f t="shared" si="4"/>
        <v>5248</v>
      </c>
      <c r="T240" s="29">
        <f t="shared" si="5"/>
        <v>0.2506208214</v>
      </c>
    </row>
    <row r="241">
      <c r="A241" s="10" t="s">
        <v>291</v>
      </c>
      <c r="B241" s="10" t="s">
        <v>13</v>
      </c>
      <c r="C241" s="26">
        <v>45530.0</v>
      </c>
      <c r="D241" s="10" t="s">
        <v>34</v>
      </c>
      <c r="E241" s="10" t="s">
        <v>37</v>
      </c>
      <c r="F241" s="27">
        <v>929.0</v>
      </c>
      <c r="G241" s="27">
        <v>192.0</v>
      </c>
      <c r="H241" s="27">
        <v>322.0</v>
      </c>
      <c r="I241" s="27">
        <v>16722.0</v>
      </c>
      <c r="J241" s="27">
        <v>15996.0</v>
      </c>
      <c r="K241" s="27">
        <v>145.0</v>
      </c>
      <c r="L241" s="28" t="s">
        <v>30</v>
      </c>
      <c r="M241" s="28" t="s">
        <v>21</v>
      </c>
      <c r="N241" s="28" t="s">
        <v>17</v>
      </c>
      <c r="O241" s="28" t="s">
        <v>372</v>
      </c>
      <c r="P241" s="26">
        <f t="shared" ref="P241:P247" si="72">IFS(
  O241="SummerSplash", DATE(2024,6,15),
  O241="FestiveRadiance", DATE(2024,10,1),
  O241="NewYearRefresh", DATE(2024,12,25),
  O241="DailyWellness", DATE(2025,3,1)
)
</f>
        <v>45651</v>
      </c>
      <c r="Q241" s="26">
        <f t="shared" ref="Q241:Q247" si="73">IFS(
  O241="SummerSplash", DATE(2024,7,15),
  O241="FestiveRadiance", DATE(2024,10,31),
  O241="NewYearRefresh", DATE(2025,1,10),
  O241="DailyWellness", DATE(2025,3,31)
)
</f>
        <v>45667</v>
      </c>
      <c r="R241" s="28" t="str">
        <f t="shared" si="3"/>
        <v>Before Campaign</v>
      </c>
      <c r="S241" s="27">
        <f t="shared" si="4"/>
        <v>1443</v>
      </c>
      <c r="T241" s="29">
        <f t="shared" si="5"/>
        <v>0.08629350556</v>
      </c>
    </row>
    <row r="242">
      <c r="A242" s="10" t="s">
        <v>292</v>
      </c>
      <c r="B242" s="10" t="s">
        <v>33</v>
      </c>
      <c r="C242" s="26">
        <v>45675.0</v>
      </c>
      <c r="D242" s="10" t="s">
        <v>28</v>
      </c>
      <c r="E242" s="10" t="s">
        <v>51</v>
      </c>
      <c r="F242" s="27">
        <v>4321.0</v>
      </c>
      <c r="G242" s="27">
        <v>874.0</v>
      </c>
      <c r="H242" s="27">
        <v>172.0</v>
      </c>
      <c r="I242" s="27">
        <v>30247.0</v>
      </c>
      <c r="J242" s="27">
        <v>29254.0</v>
      </c>
      <c r="K242" s="27">
        <v>122.0</v>
      </c>
      <c r="L242" s="28" t="s">
        <v>21</v>
      </c>
      <c r="M242" s="10"/>
      <c r="N242" s="10"/>
      <c r="O242" s="28" t="s">
        <v>375</v>
      </c>
      <c r="P242" s="26">
        <f t="shared" si="72"/>
        <v>45717</v>
      </c>
      <c r="Q242" s="26">
        <f t="shared" si="73"/>
        <v>45747</v>
      </c>
      <c r="R242" s="28" t="str">
        <f t="shared" si="3"/>
        <v>During Campaign</v>
      </c>
      <c r="S242" s="27">
        <f t="shared" si="4"/>
        <v>5367</v>
      </c>
      <c r="T242" s="29">
        <f t="shared" si="5"/>
        <v>0.1774390849</v>
      </c>
    </row>
    <row r="243">
      <c r="A243" s="10" t="s">
        <v>293</v>
      </c>
      <c r="B243" s="10" t="s">
        <v>33</v>
      </c>
      <c r="C243" s="26">
        <v>45480.0</v>
      </c>
      <c r="D243" s="10" t="s">
        <v>14</v>
      </c>
      <c r="E243" s="10" t="s">
        <v>47</v>
      </c>
      <c r="F243" s="27">
        <v>4767.0</v>
      </c>
      <c r="G243" s="27">
        <v>190.0</v>
      </c>
      <c r="H243" s="27">
        <v>340.0</v>
      </c>
      <c r="I243" s="27">
        <v>28602.0</v>
      </c>
      <c r="J243" s="27">
        <v>28044.0</v>
      </c>
      <c r="K243" s="27">
        <v>210.0</v>
      </c>
      <c r="L243" s="28" t="s">
        <v>30</v>
      </c>
      <c r="M243" s="10"/>
      <c r="N243" s="10"/>
      <c r="O243" s="28" t="s">
        <v>372</v>
      </c>
      <c r="P243" s="26">
        <f t="shared" si="72"/>
        <v>45651</v>
      </c>
      <c r="Q243" s="26">
        <f t="shared" si="73"/>
        <v>45667</v>
      </c>
      <c r="R243" s="28" t="str">
        <f t="shared" si="3"/>
        <v>During Campaign</v>
      </c>
      <c r="S243" s="27">
        <f t="shared" si="4"/>
        <v>5297</v>
      </c>
      <c r="T243" s="29">
        <f t="shared" si="5"/>
        <v>0.1851968394</v>
      </c>
    </row>
    <row r="244">
      <c r="A244" s="10" t="s">
        <v>294</v>
      </c>
      <c r="B244" s="10" t="s">
        <v>13</v>
      </c>
      <c r="C244" s="26">
        <v>45722.0</v>
      </c>
      <c r="D244" s="10" t="s">
        <v>39</v>
      </c>
      <c r="E244" s="10" t="s">
        <v>85</v>
      </c>
      <c r="F244" s="27">
        <v>3592.0</v>
      </c>
      <c r="G244" s="27">
        <v>911.0</v>
      </c>
      <c r="H244" s="27">
        <v>375.0</v>
      </c>
      <c r="I244" s="27">
        <v>50288.0</v>
      </c>
      <c r="J244" s="27">
        <v>49490.0</v>
      </c>
      <c r="K244" s="27">
        <v>32.0</v>
      </c>
      <c r="L244" s="28" t="s">
        <v>16</v>
      </c>
      <c r="M244" s="10"/>
      <c r="N244" s="10"/>
      <c r="O244" s="28" t="s">
        <v>375</v>
      </c>
      <c r="P244" s="26">
        <f t="shared" si="72"/>
        <v>45717</v>
      </c>
      <c r="Q244" s="26">
        <f t="shared" si="73"/>
        <v>45747</v>
      </c>
      <c r="R244" s="28" t="str">
        <f t="shared" si="3"/>
        <v>During Campaign</v>
      </c>
      <c r="S244" s="27">
        <f t="shared" si="4"/>
        <v>4878</v>
      </c>
      <c r="T244" s="29">
        <f t="shared" si="5"/>
        <v>0.09700127267</v>
      </c>
    </row>
    <row r="245">
      <c r="A245" s="10" t="s">
        <v>295</v>
      </c>
      <c r="B245" s="10" t="s">
        <v>24</v>
      </c>
      <c r="C245" s="26">
        <v>45590.0</v>
      </c>
      <c r="D245" s="10" t="s">
        <v>53</v>
      </c>
      <c r="E245" s="10" t="s">
        <v>133</v>
      </c>
      <c r="F245" s="27">
        <v>4661.0</v>
      </c>
      <c r="G245" s="27">
        <v>935.0</v>
      </c>
      <c r="H245" s="27">
        <v>433.0</v>
      </c>
      <c r="I245" s="27">
        <v>23305.0</v>
      </c>
      <c r="J245" s="27">
        <v>22583.0</v>
      </c>
      <c r="K245" s="27">
        <v>63.0</v>
      </c>
      <c r="L245" s="28" t="s">
        <v>16</v>
      </c>
      <c r="M245" s="10"/>
      <c r="N245" s="10"/>
      <c r="O245" s="28" t="s">
        <v>372</v>
      </c>
      <c r="P245" s="26">
        <f t="shared" si="72"/>
        <v>45651</v>
      </c>
      <c r="Q245" s="26">
        <f t="shared" si="73"/>
        <v>45667</v>
      </c>
      <c r="R245" s="28" t="str">
        <f t="shared" si="3"/>
        <v>During Campaign</v>
      </c>
      <c r="S245" s="27">
        <f t="shared" si="4"/>
        <v>6029</v>
      </c>
      <c r="T245" s="29">
        <f t="shared" si="5"/>
        <v>0.2586998498</v>
      </c>
    </row>
    <row r="246">
      <c r="A246" s="10" t="s">
        <v>296</v>
      </c>
      <c r="B246" s="10" t="s">
        <v>33</v>
      </c>
      <c r="C246" s="26">
        <v>45669.0</v>
      </c>
      <c r="D246" s="10" t="s">
        <v>14</v>
      </c>
      <c r="E246" s="10" t="s">
        <v>47</v>
      </c>
      <c r="F246" s="27">
        <v>4134.0</v>
      </c>
      <c r="G246" s="27">
        <v>824.0</v>
      </c>
      <c r="H246" s="27">
        <v>99.0</v>
      </c>
      <c r="I246" s="27">
        <v>41340.0</v>
      </c>
      <c r="J246" s="27">
        <v>41050.0</v>
      </c>
      <c r="K246" s="27">
        <v>177.0</v>
      </c>
      <c r="L246" s="28" t="s">
        <v>30</v>
      </c>
      <c r="M246" s="10"/>
      <c r="N246" s="10"/>
      <c r="O246" s="28" t="s">
        <v>365</v>
      </c>
      <c r="P246" s="26">
        <f t="shared" si="72"/>
        <v>45458</v>
      </c>
      <c r="Q246" s="26">
        <f t="shared" si="73"/>
        <v>45488</v>
      </c>
      <c r="R246" s="28" t="str">
        <f t="shared" si="3"/>
        <v>During Campaign</v>
      </c>
      <c r="S246" s="27">
        <f t="shared" si="4"/>
        <v>5057</v>
      </c>
      <c r="T246" s="29">
        <f t="shared" si="5"/>
        <v>0.122327044</v>
      </c>
    </row>
    <row r="247">
      <c r="A247" s="10" t="s">
        <v>297</v>
      </c>
      <c r="B247" s="10" t="s">
        <v>33</v>
      </c>
      <c r="C247" s="26">
        <v>45576.0</v>
      </c>
      <c r="D247" s="10" t="s">
        <v>39</v>
      </c>
      <c r="E247" s="10" t="s">
        <v>44</v>
      </c>
      <c r="F247" s="27">
        <v>400.0</v>
      </c>
      <c r="G247" s="27">
        <v>680.0</v>
      </c>
      <c r="H247" s="27">
        <v>434.0</v>
      </c>
      <c r="I247" s="27">
        <v>6400.0</v>
      </c>
      <c r="J247" s="27">
        <v>5472.0</v>
      </c>
      <c r="K247" s="27">
        <v>160.0</v>
      </c>
      <c r="L247" s="28" t="s">
        <v>16</v>
      </c>
      <c r="M247" s="10"/>
      <c r="N247" s="10"/>
      <c r="O247" s="28" t="s">
        <v>368</v>
      </c>
      <c r="P247" s="26">
        <f t="shared" si="72"/>
        <v>45566</v>
      </c>
      <c r="Q247" s="26">
        <f t="shared" si="73"/>
        <v>45596</v>
      </c>
      <c r="R247" s="28" t="str">
        <f t="shared" si="3"/>
        <v>During Campaign</v>
      </c>
      <c r="S247" s="27">
        <f t="shared" si="4"/>
        <v>1514</v>
      </c>
      <c r="T247" s="29">
        <f t="shared" si="5"/>
        <v>0.2365625</v>
      </c>
    </row>
    <row r="248">
      <c r="A248" s="10" t="s">
        <v>298</v>
      </c>
      <c r="B248" s="10" t="s">
        <v>33</v>
      </c>
      <c r="C248" s="26">
        <v>45531.0</v>
      </c>
      <c r="D248" s="10" t="s">
        <v>14</v>
      </c>
      <c r="E248" s="10" t="s">
        <v>47</v>
      </c>
      <c r="F248" s="27">
        <v>3960.0</v>
      </c>
      <c r="G248" s="27">
        <v>266.0</v>
      </c>
      <c r="H248" s="27">
        <v>8.0</v>
      </c>
      <c r="I248" s="27">
        <v>35640.0</v>
      </c>
      <c r="J248" s="27">
        <v>34850.0</v>
      </c>
      <c r="K248" s="27">
        <v>208.0</v>
      </c>
      <c r="L248" s="28" t="s">
        <v>16</v>
      </c>
      <c r="M248" s="28" t="s">
        <v>30</v>
      </c>
      <c r="N248" s="28" t="s">
        <v>22</v>
      </c>
      <c r="O248" s="28"/>
      <c r="P248" s="86"/>
      <c r="Q248" s="86"/>
      <c r="R248" s="28" t="str">
        <f t="shared" si="3"/>
        <v>Before Campaign</v>
      </c>
      <c r="S248" s="27">
        <f t="shared" si="4"/>
        <v>4234</v>
      </c>
      <c r="T248" s="29">
        <f t="shared" si="5"/>
        <v>0.1187991021</v>
      </c>
    </row>
    <row r="249">
      <c r="A249" s="10" t="s">
        <v>299</v>
      </c>
      <c r="B249" s="10" t="s">
        <v>33</v>
      </c>
      <c r="C249" s="26">
        <v>45690.0</v>
      </c>
      <c r="D249" s="10" t="s">
        <v>28</v>
      </c>
      <c r="E249" s="10" t="s">
        <v>51</v>
      </c>
      <c r="F249" s="27">
        <v>886.0</v>
      </c>
      <c r="G249" s="27">
        <v>126.0</v>
      </c>
      <c r="H249" s="27">
        <v>153.0</v>
      </c>
      <c r="I249" s="27">
        <v>4430.0</v>
      </c>
      <c r="J249" s="27">
        <v>4037.0</v>
      </c>
      <c r="K249" s="27">
        <v>212.0</v>
      </c>
      <c r="L249" s="28" t="s">
        <v>30</v>
      </c>
      <c r="M249" s="10"/>
      <c r="N249" s="10"/>
      <c r="O249" s="28"/>
      <c r="P249" s="86"/>
      <c r="Q249" s="86"/>
      <c r="R249" s="28" t="str">
        <f t="shared" si="3"/>
        <v>After Campaign</v>
      </c>
      <c r="S249" s="27">
        <f t="shared" si="4"/>
        <v>1165</v>
      </c>
      <c r="T249" s="29">
        <f t="shared" si="5"/>
        <v>0.262979684</v>
      </c>
    </row>
    <row r="250">
      <c r="A250" s="10" t="s">
        <v>300</v>
      </c>
      <c r="B250" s="10" t="s">
        <v>13</v>
      </c>
      <c r="C250" s="26">
        <v>45491.0</v>
      </c>
      <c r="D250" s="10" t="s">
        <v>39</v>
      </c>
      <c r="E250" s="10" t="s">
        <v>85</v>
      </c>
      <c r="F250" s="27">
        <v>827.0</v>
      </c>
      <c r="G250" s="27">
        <v>77.0</v>
      </c>
      <c r="H250" s="27">
        <v>402.0</v>
      </c>
      <c r="I250" s="27">
        <v>14886.0</v>
      </c>
      <c r="J250" s="27">
        <v>14129.0</v>
      </c>
      <c r="K250" s="27">
        <v>254.0</v>
      </c>
      <c r="L250" s="28" t="s">
        <v>30</v>
      </c>
      <c r="M250" s="10"/>
      <c r="N250" s="10"/>
      <c r="O250" s="28" t="s">
        <v>368</v>
      </c>
      <c r="P250" s="26">
        <f>IFS(
  O250="SummerSplash", DATE(2024,6,15),
  O250="FestiveRadiance", DATE(2024,10,1),
  O250="NewYearRefresh", DATE(2024,12,25),
  O250="DailyWellness", DATE(2025,3,1)
)
</f>
        <v>45566</v>
      </c>
      <c r="Q250" s="26">
        <f>IFS(
  O250="SummerSplash", DATE(2024,7,15),
  O250="FestiveRadiance", DATE(2024,10,31),
  O250="NewYearRefresh", DATE(2025,1,10),
  O250="DailyWellness", DATE(2025,3,31)
)
</f>
        <v>45596</v>
      </c>
      <c r="R250" s="28" t="str">
        <f t="shared" si="3"/>
        <v>During Campaign</v>
      </c>
      <c r="S250" s="27">
        <f t="shared" si="4"/>
        <v>1306</v>
      </c>
      <c r="T250" s="29">
        <f t="shared" si="5"/>
        <v>0.08773344082</v>
      </c>
    </row>
    <row r="251">
      <c r="A251" s="10" t="s">
        <v>301</v>
      </c>
      <c r="B251" s="10" t="s">
        <v>33</v>
      </c>
      <c r="C251" s="26">
        <v>45465.0</v>
      </c>
      <c r="D251" s="10" t="s">
        <v>14</v>
      </c>
      <c r="E251" s="10" t="s">
        <v>47</v>
      </c>
      <c r="F251" s="27">
        <v>3813.0</v>
      </c>
      <c r="G251" s="27">
        <v>935.0</v>
      </c>
      <c r="H251" s="27">
        <v>274.0</v>
      </c>
      <c r="I251" s="27">
        <v>68634.0</v>
      </c>
      <c r="J251" s="27">
        <v>68488.0</v>
      </c>
      <c r="K251" s="27">
        <v>251.0</v>
      </c>
      <c r="L251" s="28" t="s">
        <v>16</v>
      </c>
      <c r="M251" s="10"/>
      <c r="N251" s="10"/>
      <c r="O251" s="28"/>
      <c r="P251" s="86"/>
      <c r="Q251" s="86"/>
      <c r="R251" s="28" t="str">
        <f t="shared" si="3"/>
        <v>After Campaign</v>
      </c>
      <c r="S251" s="27">
        <f t="shared" si="4"/>
        <v>5022</v>
      </c>
      <c r="T251" s="29">
        <f t="shared" si="5"/>
        <v>0.07317073171</v>
      </c>
    </row>
    <row r="252">
      <c r="A252" s="10" t="s">
        <v>302</v>
      </c>
      <c r="B252" s="10" t="s">
        <v>27</v>
      </c>
      <c r="C252" s="26">
        <v>45743.0</v>
      </c>
      <c r="D252" s="10" t="s">
        <v>34</v>
      </c>
      <c r="E252" s="10" t="s">
        <v>62</v>
      </c>
      <c r="F252" s="27">
        <v>1377.0</v>
      </c>
      <c r="G252" s="27">
        <v>796.0</v>
      </c>
      <c r="H252" s="27">
        <v>387.0</v>
      </c>
      <c r="I252" s="27">
        <v>22032.0</v>
      </c>
      <c r="J252" s="27">
        <v>21869.0</v>
      </c>
      <c r="K252" s="27">
        <v>189.0</v>
      </c>
      <c r="L252" s="28" t="s">
        <v>16</v>
      </c>
      <c r="M252" s="10"/>
      <c r="N252" s="10"/>
      <c r="O252" s="28"/>
      <c r="P252" s="86"/>
      <c r="Q252" s="86"/>
      <c r="R252" s="28" t="str">
        <f t="shared" si="3"/>
        <v>After Campaign</v>
      </c>
      <c r="S252" s="27">
        <f t="shared" si="4"/>
        <v>2560</v>
      </c>
      <c r="T252" s="29">
        <f t="shared" si="5"/>
        <v>0.116194626</v>
      </c>
    </row>
    <row r="253">
      <c r="A253" s="10" t="s">
        <v>303</v>
      </c>
      <c r="B253" s="10" t="s">
        <v>33</v>
      </c>
      <c r="C253" s="26">
        <v>45775.0</v>
      </c>
      <c r="D253" s="10" t="s">
        <v>34</v>
      </c>
      <c r="E253" s="10" t="s">
        <v>35</v>
      </c>
      <c r="F253" s="27">
        <v>2089.0</v>
      </c>
      <c r="G253" s="27">
        <v>476.0</v>
      </c>
      <c r="H253" s="27">
        <v>69.0</v>
      </c>
      <c r="I253" s="27">
        <v>16712.0</v>
      </c>
      <c r="J253" s="27">
        <v>16309.0</v>
      </c>
      <c r="K253" s="27">
        <v>64.0</v>
      </c>
      <c r="L253" s="28" t="s">
        <v>16</v>
      </c>
      <c r="M253" s="10"/>
      <c r="N253" s="10"/>
      <c r="O253" s="28" t="s">
        <v>372</v>
      </c>
      <c r="P253" s="26">
        <f t="shared" ref="P253:P262" si="74">IFS(
  O253="SummerSplash", DATE(2024,6,15),
  O253="FestiveRadiance", DATE(2024,10,1),
  O253="NewYearRefresh", DATE(2024,12,25),
  O253="DailyWellness", DATE(2025,3,1)
)
</f>
        <v>45651</v>
      </c>
      <c r="Q253" s="26">
        <f t="shared" ref="Q253:Q262" si="75">IFS(
  O253="SummerSplash", DATE(2024,7,15),
  O253="FestiveRadiance", DATE(2024,10,31),
  O253="NewYearRefresh", DATE(2025,1,10),
  O253="DailyWellness", DATE(2025,3,31)
)
</f>
        <v>45667</v>
      </c>
      <c r="R253" s="28" t="str">
        <f t="shared" si="3"/>
        <v>During Campaign</v>
      </c>
      <c r="S253" s="27">
        <f t="shared" si="4"/>
        <v>2634</v>
      </c>
      <c r="T253" s="29">
        <f t="shared" si="5"/>
        <v>0.1576112973</v>
      </c>
    </row>
    <row r="254">
      <c r="A254" s="10" t="s">
        <v>304</v>
      </c>
      <c r="B254" s="10" t="s">
        <v>13</v>
      </c>
      <c r="C254" s="26">
        <v>45507.0</v>
      </c>
      <c r="D254" s="10" t="s">
        <v>14</v>
      </c>
      <c r="E254" s="10" t="s">
        <v>15</v>
      </c>
      <c r="F254" s="27">
        <v>3791.0</v>
      </c>
      <c r="G254" s="27">
        <v>593.0</v>
      </c>
      <c r="H254" s="27">
        <v>228.0</v>
      </c>
      <c r="I254" s="27">
        <v>53074.0</v>
      </c>
      <c r="J254" s="27">
        <v>52613.0</v>
      </c>
      <c r="K254" s="27">
        <v>205.0</v>
      </c>
      <c r="L254" s="28" t="s">
        <v>30</v>
      </c>
      <c r="M254" s="10"/>
      <c r="N254" s="10"/>
      <c r="O254" s="28"/>
      <c r="P254" s="86" t="str">
        <f t="shared" si="74"/>
        <v>#N/A</v>
      </c>
      <c r="Q254" s="86" t="str">
        <f t="shared" si="75"/>
        <v>#N/A</v>
      </c>
      <c r="R254" s="28" t="str">
        <f t="shared" si="3"/>
        <v>After Campaign</v>
      </c>
      <c r="S254" s="27">
        <f t="shared" si="4"/>
        <v>4612</v>
      </c>
      <c r="T254" s="29">
        <f t="shared" si="5"/>
        <v>0.08689753928</v>
      </c>
    </row>
    <row r="255">
      <c r="A255" s="10" t="s">
        <v>305</v>
      </c>
      <c r="B255" s="10" t="s">
        <v>13</v>
      </c>
      <c r="C255" s="26">
        <v>45671.0</v>
      </c>
      <c r="D255" s="10" t="s">
        <v>39</v>
      </c>
      <c r="E255" s="10" t="s">
        <v>85</v>
      </c>
      <c r="F255" s="27">
        <v>2692.0</v>
      </c>
      <c r="G255" s="27">
        <v>115.0</v>
      </c>
      <c r="H255" s="27">
        <v>64.0</v>
      </c>
      <c r="I255" s="27">
        <v>21536.0</v>
      </c>
      <c r="J255" s="27">
        <v>21120.0</v>
      </c>
      <c r="K255" s="27">
        <v>224.0</v>
      </c>
      <c r="L255" s="28" t="s">
        <v>16</v>
      </c>
      <c r="M255" s="10"/>
      <c r="N255" s="10"/>
      <c r="O255" s="28" t="s">
        <v>368</v>
      </c>
      <c r="P255" s="26">
        <f t="shared" si="74"/>
        <v>45566</v>
      </c>
      <c r="Q255" s="26">
        <f t="shared" si="75"/>
        <v>45596</v>
      </c>
      <c r="R255" s="28" t="str">
        <f t="shared" si="3"/>
        <v>During Campaign</v>
      </c>
      <c r="S255" s="27">
        <f t="shared" si="4"/>
        <v>2871</v>
      </c>
      <c r="T255" s="29">
        <f t="shared" si="5"/>
        <v>0.1333116642</v>
      </c>
    </row>
    <row r="256">
      <c r="A256" s="10" t="s">
        <v>306</v>
      </c>
      <c r="B256" s="10" t="s">
        <v>33</v>
      </c>
      <c r="C256" s="26">
        <v>45750.0</v>
      </c>
      <c r="D256" s="10" t="s">
        <v>28</v>
      </c>
      <c r="E256" s="10" t="s">
        <v>51</v>
      </c>
      <c r="F256" s="27">
        <v>3767.0</v>
      </c>
      <c r="G256" s="27">
        <v>514.0</v>
      </c>
      <c r="H256" s="27">
        <v>238.0</v>
      </c>
      <c r="I256" s="27">
        <v>37670.0</v>
      </c>
      <c r="J256" s="27">
        <v>36807.0</v>
      </c>
      <c r="K256" s="27">
        <v>226.0</v>
      </c>
      <c r="L256" s="28" t="s">
        <v>16</v>
      </c>
      <c r="M256" s="10"/>
      <c r="N256" s="10"/>
      <c r="O256" s="28" t="s">
        <v>375</v>
      </c>
      <c r="P256" s="26">
        <f t="shared" si="74"/>
        <v>45717</v>
      </c>
      <c r="Q256" s="26">
        <f t="shared" si="75"/>
        <v>45747</v>
      </c>
      <c r="R256" s="28" t="str">
        <f t="shared" si="3"/>
        <v>During Campaign</v>
      </c>
      <c r="S256" s="27">
        <f t="shared" si="4"/>
        <v>4519</v>
      </c>
      <c r="T256" s="29">
        <f t="shared" si="5"/>
        <v>0.1199628351</v>
      </c>
    </row>
    <row r="257">
      <c r="A257" s="10" t="s">
        <v>307</v>
      </c>
      <c r="B257" s="10" t="s">
        <v>24</v>
      </c>
      <c r="C257" s="26">
        <v>45553.0</v>
      </c>
      <c r="D257" s="10" t="s">
        <v>34</v>
      </c>
      <c r="E257" s="10" t="s">
        <v>49</v>
      </c>
      <c r="F257" s="27">
        <v>2143.0</v>
      </c>
      <c r="G257" s="27">
        <v>12.0</v>
      </c>
      <c r="H257" s="27">
        <v>204.0</v>
      </c>
      <c r="I257" s="27">
        <v>40717.0</v>
      </c>
      <c r="J257" s="27">
        <v>40125.0</v>
      </c>
      <c r="K257" s="27">
        <v>248.0</v>
      </c>
      <c r="L257" s="28" t="s">
        <v>30</v>
      </c>
      <c r="M257" s="10"/>
      <c r="N257" s="10"/>
      <c r="O257" s="28" t="s">
        <v>368</v>
      </c>
      <c r="P257" s="26">
        <f t="shared" si="74"/>
        <v>45566</v>
      </c>
      <c r="Q257" s="26">
        <f t="shared" si="75"/>
        <v>45596</v>
      </c>
      <c r="R257" s="28" t="str">
        <f t="shared" si="3"/>
        <v>During Campaign</v>
      </c>
      <c r="S257" s="27">
        <f t="shared" si="4"/>
        <v>2359</v>
      </c>
      <c r="T257" s="29">
        <f t="shared" si="5"/>
        <v>0.05793648844</v>
      </c>
    </row>
    <row r="258">
      <c r="A258" s="10" t="s">
        <v>308</v>
      </c>
      <c r="B258" s="10" t="s">
        <v>33</v>
      </c>
      <c r="C258" s="26">
        <v>45753.0</v>
      </c>
      <c r="D258" s="10" t="s">
        <v>39</v>
      </c>
      <c r="E258" s="10" t="s">
        <v>44</v>
      </c>
      <c r="F258" s="27">
        <v>3090.0</v>
      </c>
      <c r="G258" s="27">
        <v>697.0</v>
      </c>
      <c r="H258" s="27">
        <v>164.0</v>
      </c>
      <c r="I258" s="27">
        <v>49440.0</v>
      </c>
      <c r="J258" s="27">
        <v>48524.0</v>
      </c>
      <c r="K258" s="27">
        <v>25.0</v>
      </c>
      <c r="L258" s="28" t="s">
        <v>30</v>
      </c>
      <c r="M258" s="28" t="s">
        <v>30</v>
      </c>
      <c r="N258" s="28" t="s">
        <v>22</v>
      </c>
      <c r="O258" s="28" t="s">
        <v>368</v>
      </c>
      <c r="P258" s="26">
        <f t="shared" si="74"/>
        <v>45566</v>
      </c>
      <c r="Q258" s="26">
        <f t="shared" si="75"/>
        <v>45596</v>
      </c>
      <c r="R258" s="28" t="str">
        <f t="shared" si="3"/>
        <v>Before Campaign</v>
      </c>
      <c r="S258" s="27">
        <f t="shared" si="4"/>
        <v>3951</v>
      </c>
      <c r="T258" s="29">
        <f t="shared" si="5"/>
        <v>0.07991504854</v>
      </c>
    </row>
    <row r="259">
      <c r="A259" s="10" t="s">
        <v>309</v>
      </c>
      <c r="B259" s="10" t="s">
        <v>27</v>
      </c>
      <c r="C259" s="26">
        <v>45509.0</v>
      </c>
      <c r="D259" s="10" t="s">
        <v>28</v>
      </c>
      <c r="E259" s="10" t="s">
        <v>29</v>
      </c>
      <c r="F259" s="27">
        <v>3601.0</v>
      </c>
      <c r="G259" s="27">
        <v>695.0</v>
      </c>
      <c r="H259" s="27">
        <v>75.0</v>
      </c>
      <c r="I259" s="27">
        <v>21606.0</v>
      </c>
      <c r="J259" s="27">
        <v>21454.0</v>
      </c>
      <c r="K259" s="27">
        <v>172.0</v>
      </c>
      <c r="L259" s="28" t="s">
        <v>30</v>
      </c>
      <c r="M259" s="10"/>
      <c r="N259" s="10"/>
      <c r="O259" s="28" t="s">
        <v>368</v>
      </c>
      <c r="P259" s="26">
        <f t="shared" si="74"/>
        <v>45566</v>
      </c>
      <c r="Q259" s="26">
        <f t="shared" si="75"/>
        <v>45596</v>
      </c>
      <c r="R259" s="28" t="str">
        <f t="shared" si="3"/>
        <v>During Campaign</v>
      </c>
      <c r="S259" s="27">
        <f t="shared" si="4"/>
        <v>4371</v>
      </c>
      <c r="T259" s="29">
        <f t="shared" si="5"/>
        <v>0.2023049153</v>
      </c>
    </row>
    <row r="260">
      <c r="A260" s="10" t="s">
        <v>310</v>
      </c>
      <c r="B260" s="10" t="s">
        <v>33</v>
      </c>
      <c r="C260" s="26">
        <v>45698.0</v>
      </c>
      <c r="D260" s="10" t="s">
        <v>19</v>
      </c>
      <c r="E260" s="10" t="s">
        <v>42</v>
      </c>
      <c r="F260" s="27">
        <v>562.0</v>
      </c>
      <c r="G260" s="27">
        <v>158.0</v>
      </c>
      <c r="H260" s="27">
        <v>149.0</v>
      </c>
      <c r="I260" s="27">
        <v>3372.0</v>
      </c>
      <c r="J260" s="27">
        <v>2940.0</v>
      </c>
      <c r="K260" s="27">
        <v>93.0</v>
      </c>
      <c r="L260" s="28" t="s">
        <v>21</v>
      </c>
      <c r="M260" s="10"/>
      <c r="N260" s="10"/>
      <c r="O260" s="28" t="s">
        <v>365</v>
      </c>
      <c r="P260" s="26">
        <f t="shared" si="74"/>
        <v>45458</v>
      </c>
      <c r="Q260" s="26">
        <f t="shared" si="75"/>
        <v>45488</v>
      </c>
      <c r="R260" s="28" t="str">
        <f t="shared" si="3"/>
        <v>During Campaign</v>
      </c>
      <c r="S260" s="27">
        <f t="shared" si="4"/>
        <v>869</v>
      </c>
      <c r="T260" s="29">
        <f t="shared" si="5"/>
        <v>0.2577105575</v>
      </c>
    </row>
    <row r="261">
      <c r="A261" s="10" t="s">
        <v>311</v>
      </c>
      <c r="B261" s="10" t="s">
        <v>27</v>
      </c>
      <c r="C261" s="26">
        <v>45700.0</v>
      </c>
      <c r="D261" s="10" t="s">
        <v>28</v>
      </c>
      <c r="E261" s="10" t="s">
        <v>29</v>
      </c>
      <c r="F261" s="27">
        <v>4332.0</v>
      </c>
      <c r="G261" s="27">
        <v>771.0</v>
      </c>
      <c r="H261" s="27">
        <v>219.0</v>
      </c>
      <c r="I261" s="27">
        <v>60648.0</v>
      </c>
      <c r="J261" s="27">
        <v>60397.0</v>
      </c>
      <c r="K261" s="27">
        <v>10.0</v>
      </c>
      <c r="L261" s="28" t="s">
        <v>21</v>
      </c>
      <c r="M261" s="28" t="s">
        <v>30</v>
      </c>
      <c r="N261" s="28" t="s">
        <v>22</v>
      </c>
      <c r="O261" s="28" t="s">
        <v>372</v>
      </c>
      <c r="P261" s="26">
        <f t="shared" si="74"/>
        <v>45651</v>
      </c>
      <c r="Q261" s="26">
        <f t="shared" si="75"/>
        <v>45667</v>
      </c>
      <c r="R261" s="28" t="str">
        <f t="shared" si="3"/>
        <v>Before Campaign</v>
      </c>
      <c r="S261" s="27">
        <f t="shared" si="4"/>
        <v>5322</v>
      </c>
      <c r="T261" s="29">
        <f t="shared" si="5"/>
        <v>0.08775227543</v>
      </c>
    </row>
    <row r="262">
      <c r="A262" s="10" t="s">
        <v>312</v>
      </c>
      <c r="B262" s="10" t="s">
        <v>27</v>
      </c>
      <c r="C262" s="26">
        <v>45592.0</v>
      </c>
      <c r="D262" s="10" t="s">
        <v>39</v>
      </c>
      <c r="E262" s="10" t="s">
        <v>131</v>
      </c>
      <c r="F262" s="27">
        <v>4853.0</v>
      </c>
      <c r="G262" s="27">
        <v>837.0</v>
      </c>
      <c r="H262" s="27">
        <v>340.0</v>
      </c>
      <c r="I262" s="27">
        <v>72795.0</v>
      </c>
      <c r="J262" s="27">
        <v>72237.0</v>
      </c>
      <c r="K262" s="27">
        <v>170.0</v>
      </c>
      <c r="L262" s="28" t="s">
        <v>30</v>
      </c>
      <c r="M262" s="10"/>
      <c r="N262" s="10"/>
      <c r="O262" s="28" t="s">
        <v>365</v>
      </c>
      <c r="P262" s="26">
        <f t="shared" si="74"/>
        <v>45458</v>
      </c>
      <c r="Q262" s="26">
        <f t="shared" si="75"/>
        <v>45488</v>
      </c>
      <c r="R262" s="28" t="str">
        <f t="shared" si="3"/>
        <v>During Campaign</v>
      </c>
      <c r="S262" s="27">
        <f t="shared" si="4"/>
        <v>6030</v>
      </c>
      <c r="T262" s="29">
        <f t="shared" si="5"/>
        <v>0.08283535957</v>
      </c>
    </row>
    <row r="263">
      <c r="A263" s="10" t="s">
        <v>313</v>
      </c>
      <c r="B263" s="10" t="s">
        <v>24</v>
      </c>
      <c r="C263" s="26">
        <v>45675.0</v>
      </c>
      <c r="D263" s="10" t="s">
        <v>39</v>
      </c>
      <c r="E263" s="10" t="s">
        <v>40</v>
      </c>
      <c r="F263" s="27">
        <v>1206.0</v>
      </c>
      <c r="G263" s="27">
        <v>238.0</v>
      </c>
      <c r="H263" s="27">
        <v>36.0</v>
      </c>
      <c r="I263" s="27">
        <v>9648.0</v>
      </c>
      <c r="J263" s="27">
        <v>9417.0</v>
      </c>
      <c r="K263" s="27">
        <v>237.0</v>
      </c>
      <c r="L263" s="28" t="s">
        <v>21</v>
      </c>
      <c r="M263" s="10"/>
      <c r="N263" s="10"/>
      <c r="O263" s="28"/>
      <c r="P263" s="86"/>
      <c r="Q263" s="86"/>
      <c r="R263" s="28" t="str">
        <f t="shared" si="3"/>
        <v>After Campaign</v>
      </c>
      <c r="S263" s="27">
        <f t="shared" si="4"/>
        <v>1480</v>
      </c>
      <c r="T263" s="29">
        <f t="shared" si="5"/>
        <v>0.1533996683</v>
      </c>
    </row>
    <row r="264">
      <c r="A264" s="10" t="s">
        <v>314</v>
      </c>
      <c r="B264" s="10" t="s">
        <v>27</v>
      </c>
      <c r="C264" s="26">
        <v>45524.0</v>
      </c>
      <c r="D264" s="10" t="s">
        <v>14</v>
      </c>
      <c r="E264" s="10" t="s">
        <v>58</v>
      </c>
      <c r="F264" s="27">
        <v>2603.0</v>
      </c>
      <c r="G264" s="27">
        <v>690.0</v>
      </c>
      <c r="H264" s="27">
        <v>205.0</v>
      </c>
      <c r="I264" s="27">
        <v>13015.0</v>
      </c>
      <c r="J264" s="27">
        <v>12130.0</v>
      </c>
      <c r="K264" s="27">
        <v>20.0</v>
      </c>
      <c r="L264" s="28" t="s">
        <v>16</v>
      </c>
      <c r="M264" s="10"/>
      <c r="N264" s="10"/>
      <c r="O264" s="28" t="s">
        <v>368</v>
      </c>
      <c r="P264" s="26">
        <f t="shared" ref="P264:P267" si="76">IFS(
  O264="SummerSplash", DATE(2024,6,15),
  O264="FestiveRadiance", DATE(2024,10,1),
  O264="NewYearRefresh", DATE(2024,12,25),
  O264="DailyWellness", DATE(2025,3,1)
)
</f>
        <v>45566</v>
      </c>
      <c r="Q264" s="26">
        <f t="shared" ref="Q264:Q267" si="77">IFS(
  O264="SummerSplash", DATE(2024,7,15),
  O264="FestiveRadiance", DATE(2024,10,31),
  O264="NewYearRefresh", DATE(2025,1,10),
  O264="DailyWellness", DATE(2025,3,31)
)
</f>
        <v>45596</v>
      </c>
      <c r="R264" s="28" t="str">
        <f t="shared" si="3"/>
        <v>During Campaign</v>
      </c>
      <c r="S264" s="27">
        <f t="shared" si="4"/>
        <v>3498</v>
      </c>
      <c r="T264" s="29">
        <f t="shared" si="5"/>
        <v>0.2687668075</v>
      </c>
    </row>
    <row r="265">
      <c r="A265" s="10" t="s">
        <v>315</v>
      </c>
      <c r="B265" s="10" t="s">
        <v>13</v>
      </c>
      <c r="C265" s="26">
        <v>45687.0</v>
      </c>
      <c r="D265" s="10" t="s">
        <v>39</v>
      </c>
      <c r="E265" s="10" t="s">
        <v>85</v>
      </c>
      <c r="F265" s="27">
        <v>59.0</v>
      </c>
      <c r="G265" s="27">
        <v>163.0</v>
      </c>
      <c r="H265" s="27">
        <v>93.0</v>
      </c>
      <c r="I265" s="27">
        <v>590.0</v>
      </c>
      <c r="J265" s="27">
        <v>475.0</v>
      </c>
      <c r="K265" s="27">
        <v>293.0</v>
      </c>
      <c r="L265" s="28" t="s">
        <v>21</v>
      </c>
      <c r="M265" s="10"/>
      <c r="N265" s="10"/>
      <c r="O265" s="28" t="s">
        <v>368</v>
      </c>
      <c r="P265" s="26">
        <f t="shared" si="76"/>
        <v>45566</v>
      </c>
      <c r="Q265" s="26">
        <f t="shared" si="77"/>
        <v>45596</v>
      </c>
      <c r="R265" s="28" t="str">
        <f t="shared" si="3"/>
        <v>During Campaign</v>
      </c>
      <c r="S265" s="27">
        <f t="shared" si="4"/>
        <v>315</v>
      </c>
      <c r="T265" s="29">
        <f t="shared" si="5"/>
        <v>0.5338983051</v>
      </c>
    </row>
    <row r="266">
      <c r="A266" s="10" t="s">
        <v>316</v>
      </c>
      <c r="B266" s="10" t="s">
        <v>13</v>
      </c>
      <c r="C266" s="26">
        <v>45708.0</v>
      </c>
      <c r="D266" s="10" t="s">
        <v>34</v>
      </c>
      <c r="E266" s="10" t="s">
        <v>37</v>
      </c>
      <c r="F266" s="27">
        <v>1877.0</v>
      </c>
      <c r="G266" s="27">
        <v>745.0</v>
      </c>
      <c r="H266" s="27">
        <v>225.0</v>
      </c>
      <c r="I266" s="27">
        <v>11262.0</v>
      </c>
      <c r="J266" s="27">
        <v>10967.0</v>
      </c>
      <c r="K266" s="27">
        <v>41.0</v>
      </c>
      <c r="L266" s="28" t="s">
        <v>30</v>
      </c>
      <c r="M266" s="10"/>
      <c r="N266" s="10"/>
      <c r="O266" s="28" t="s">
        <v>375</v>
      </c>
      <c r="P266" s="26">
        <f t="shared" si="76"/>
        <v>45717</v>
      </c>
      <c r="Q266" s="26">
        <f t="shared" si="77"/>
        <v>45747</v>
      </c>
      <c r="R266" s="28" t="str">
        <f t="shared" si="3"/>
        <v>During Campaign</v>
      </c>
      <c r="S266" s="27">
        <f t="shared" si="4"/>
        <v>2847</v>
      </c>
      <c r="T266" s="29">
        <f t="shared" si="5"/>
        <v>0.2527970165</v>
      </c>
    </row>
    <row r="267">
      <c r="A267" s="10" t="s">
        <v>317</v>
      </c>
      <c r="B267" s="10" t="s">
        <v>33</v>
      </c>
      <c r="C267" s="26">
        <v>45621.0</v>
      </c>
      <c r="D267" s="10" t="s">
        <v>28</v>
      </c>
      <c r="E267" s="10" t="s">
        <v>51</v>
      </c>
      <c r="F267" s="27">
        <v>4182.0</v>
      </c>
      <c r="G267" s="27">
        <v>640.0</v>
      </c>
      <c r="H267" s="27">
        <v>240.0</v>
      </c>
      <c r="I267" s="27">
        <v>50184.0</v>
      </c>
      <c r="J267" s="27">
        <v>49351.0</v>
      </c>
      <c r="K267" s="27">
        <v>10.0</v>
      </c>
      <c r="L267" s="28" t="s">
        <v>21</v>
      </c>
      <c r="M267" s="10"/>
      <c r="N267" s="10"/>
      <c r="O267" s="28" t="s">
        <v>372</v>
      </c>
      <c r="P267" s="26">
        <f t="shared" si="76"/>
        <v>45651</v>
      </c>
      <c r="Q267" s="26">
        <f t="shared" si="77"/>
        <v>45667</v>
      </c>
      <c r="R267" s="28" t="str">
        <f t="shared" si="3"/>
        <v>During Campaign</v>
      </c>
      <c r="S267" s="27">
        <f t="shared" si="4"/>
        <v>5062</v>
      </c>
      <c r="T267" s="29">
        <f t="shared" si="5"/>
        <v>0.1008688028</v>
      </c>
    </row>
    <row r="268">
      <c r="A268" s="10" t="s">
        <v>318</v>
      </c>
      <c r="B268" s="10" t="s">
        <v>13</v>
      </c>
      <c r="C268" s="26">
        <v>45569.0</v>
      </c>
      <c r="D268" s="10" t="s">
        <v>14</v>
      </c>
      <c r="E268" s="10" t="s">
        <v>15</v>
      </c>
      <c r="F268" s="27">
        <v>4187.0</v>
      </c>
      <c r="G268" s="27">
        <v>66.0</v>
      </c>
      <c r="H268" s="27">
        <v>31.0</v>
      </c>
      <c r="I268" s="27">
        <v>66992.0</v>
      </c>
      <c r="J268" s="27">
        <v>66614.0</v>
      </c>
      <c r="K268" s="27">
        <v>62.0</v>
      </c>
      <c r="L268" s="28" t="s">
        <v>16</v>
      </c>
      <c r="M268" s="10"/>
      <c r="N268" s="10"/>
      <c r="O268" s="28"/>
      <c r="P268" s="86"/>
      <c r="Q268" s="86"/>
      <c r="R268" s="28" t="str">
        <f t="shared" si="3"/>
        <v>After Campaign</v>
      </c>
      <c r="S268" s="27">
        <f t="shared" si="4"/>
        <v>4284</v>
      </c>
      <c r="T268" s="29">
        <f t="shared" si="5"/>
        <v>0.06394793408</v>
      </c>
    </row>
    <row r="269">
      <c r="A269" s="10" t="s">
        <v>319</v>
      </c>
      <c r="B269" s="10" t="s">
        <v>27</v>
      </c>
      <c r="C269" s="26">
        <v>45760.0</v>
      </c>
      <c r="D269" s="10" t="s">
        <v>14</v>
      </c>
      <c r="E269" s="10" t="s">
        <v>58</v>
      </c>
      <c r="F269" s="27">
        <v>4579.0</v>
      </c>
      <c r="G269" s="27">
        <v>125.0</v>
      </c>
      <c r="H269" s="27">
        <v>300.0</v>
      </c>
      <c r="I269" s="27">
        <v>59527.0</v>
      </c>
      <c r="J269" s="27">
        <v>59400.0</v>
      </c>
      <c r="K269" s="27">
        <v>269.0</v>
      </c>
      <c r="L269" s="28" t="s">
        <v>30</v>
      </c>
      <c r="M269" s="10"/>
      <c r="N269" s="10"/>
      <c r="O269" s="28" t="s">
        <v>365</v>
      </c>
      <c r="P269" s="26">
        <f t="shared" ref="P269:P285" si="78">IFS(
  O269="SummerSplash", DATE(2024,6,15),
  O269="FestiveRadiance", DATE(2024,10,1),
  O269="NewYearRefresh", DATE(2024,12,25),
  O269="DailyWellness", DATE(2025,3,1)
)
</f>
        <v>45458</v>
      </c>
      <c r="Q269" s="26">
        <f t="shared" ref="Q269:Q285" si="79">IFS(
  O269="SummerSplash", DATE(2024,7,15),
  O269="FestiveRadiance", DATE(2024,10,31),
  O269="NewYearRefresh", DATE(2025,1,10),
  O269="DailyWellness", DATE(2025,3,31)
)
</f>
        <v>45488</v>
      </c>
      <c r="R269" s="28" t="str">
        <f t="shared" si="3"/>
        <v>During Campaign</v>
      </c>
      <c r="S269" s="27">
        <f t="shared" si="4"/>
        <v>5004</v>
      </c>
      <c r="T269" s="29">
        <f t="shared" si="5"/>
        <v>0.08406269424</v>
      </c>
    </row>
    <row r="270">
      <c r="A270" s="10" t="s">
        <v>320</v>
      </c>
      <c r="B270" s="10" t="s">
        <v>27</v>
      </c>
      <c r="C270" s="26">
        <v>45601.0</v>
      </c>
      <c r="D270" s="10" t="s">
        <v>53</v>
      </c>
      <c r="E270" s="10" t="s">
        <v>60</v>
      </c>
      <c r="F270" s="27">
        <v>4561.0</v>
      </c>
      <c r="G270" s="27">
        <v>51.0</v>
      </c>
      <c r="H270" s="27">
        <v>441.0</v>
      </c>
      <c r="I270" s="27">
        <v>22805.0</v>
      </c>
      <c r="J270" s="27">
        <v>21890.0</v>
      </c>
      <c r="K270" s="27">
        <v>45.0</v>
      </c>
      <c r="L270" s="28" t="s">
        <v>21</v>
      </c>
      <c r="M270" s="10"/>
      <c r="N270" s="10"/>
      <c r="O270" s="28" t="s">
        <v>368</v>
      </c>
      <c r="P270" s="26">
        <f t="shared" si="78"/>
        <v>45566</v>
      </c>
      <c r="Q270" s="26">
        <f t="shared" si="79"/>
        <v>45596</v>
      </c>
      <c r="R270" s="28" t="str">
        <f t="shared" si="3"/>
        <v>During Campaign</v>
      </c>
      <c r="S270" s="27">
        <f t="shared" si="4"/>
        <v>5053</v>
      </c>
      <c r="T270" s="29">
        <f t="shared" si="5"/>
        <v>0.2215742162</v>
      </c>
    </row>
    <row r="271">
      <c r="A271" s="10" t="s">
        <v>321</v>
      </c>
      <c r="B271" s="10" t="s">
        <v>24</v>
      </c>
      <c r="C271" s="26">
        <v>45672.0</v>
      </c>
      <c r="D271" s="10" t="s">
        <v>14</v>
      </c>
      <c r="E271" s="10" t="s">
        <v>25</v>
      </c>
      <c r="F271" s="27">
        <v>3774.0</v>
      </c>
      <c r="G271" s="27">
        <v>239.0</v>
      </c>
      <c r="H271" s="27">
        <v>39.0</v>
      </c>
      <c r="I271" s="27">
        <v>60384.0</v>
      </c>
      <c r="J271" s="27">
        <v>59490.0</v>
      </c>
      <c r="K271" s="27">
        <v>241.0</v>
      </c>
      <c r="L271" s="28" t="s">
        <v>21</v>
      </c>
      <c r="M271" s="10"/>
      <c r="N271" s="10"/>
      <c r="O271" s="28" t="s">
        <v>372</v>
      </c>
      <c r="P271" s="26">
        <f t="shared" si="78"/>
        <v>45651</v>
      </c>
      <c r="Q271" s="26">
        <f t="shared" si="79"/>
        <v>45667</v>
      </c>
      <c r="R271" s="28" t="str">
        <f t="shared" si="3"/>
        <v>During Campaign</v>
      </c>
      <c r="S271" s="27">
        <f t="shared" si="4"/>
        <v>4052</v>
      </c>
      <c r="T271" s="29">
        <f t="shared" si="5"/>
        <v>0.06710386857</v>
      </c>
    </row>
    <row r="272">
      <c r="A272" s="10" t="s">
        <v>322</v>
      </c>
      <c r="B272" s="10" t="s">
        <v>27</v>
      </c>
      <c r="C272" s="26">
        <v>45582.0</v>
      </c>
      <c r="D272" s="10" t="s">
        <v>53</v>
      </c>
      <c r="E272" s="10" t="s">
        <v>60</v>
      </c>
      <c r="F272" s="27">
        <v>3575.0</v>
      </c>
      <c r="G272" s="27">
        <v>749.0</v>
      </c>
      <c r="H272" s="27">
        <v>111.0</v>
      </c>
      <c r="I272" s="27">
        <v>21450.0</v>
      </c>
      <c r="J272" s="27">
        <v>20785.0</v>
      </c>
      <c r="K272" s="27">
        <v>195.0</v>
      </c>
      <c r="L272" s="28" t="s">
        <v>30</v>
      </c>
      <c r="M272" s="10"/>
      <c r="N272" s="10"/>
      <c r="O272" s="28" t="s">
        <v>368</v>
      </c>
      <c r="P272" s="26">
        <f t="shared" si="78"/>
        <v>45566</v>
      </c>
      <c r="Q272" s="26">
        <f t="shared" si="79"/>
        <v>45596</v>
      </c>
      <c r="R272" s="28" t="str">
        <f t="shared" si="3"/>
        <v>During Campaign</v>
      </c>
      <c r="S272" s="27">
        <f t="shared" si="4"/>
        <v>4435</v>
      </c>
      <c r="T272" s="29">
        <f t="shared" si="5"/>
        <v>0.2067599068</v>
      </c>
    </row>
    <row r="273">
      <c r="A273" s="10" t="s">
        <v>323</v>
      </c>
      <c r="B273" s="10" t="s">
        <v>27</v>
      </c>
      <c r="C273" s="26">
        <v>45743.0</v>
      </c>
      <c r="D273" s="10" t="s">
        <v>19</v>
      </c>
      <c r="E273" s="10" t="s">
        <v>75</v>
      </c>
      <c r="F273" s="27">
        <v>4941.0</v>
      </c>
      <c r="G273" s="27">
        <v>414.0</v>
      </c>
      <c r="H273" s="27">
        <v>266.0</v>
      </c>
      <c r="I273" s="27">
        <v>39528.0</v>
      </c>
      <c r="J273" s="27">
        <v>39154.0</v>
      </c>
      <c r="K273" s="27">
        <v>217.0</v>
      </c>
      <c r="L273" s="28" t="s">
        <v>21</v>
      </c>
      <c r="M273" s="10"/>
      <c r="N273" s="10"/>
      <c r="O273" s="28" t="s">
        <v>372</v>
      </c>
      <c r="P273" s="26">
        <f t="shared" si="78"/>
        <v>45651</v>
      </c>
      <c r="Q273" s="26">
        <f t="shared" si="79"/>
        <v>45667</v>
      </c>
      <c r="R273" s="28" t="str">
        <f t="shared" si="3"/>
        <v>During Campaign</v>
      </c>
      <c r="S273" s="27">
        <f t="shared" si="4"/>
        <v>5621</v>
      </c>
      <c r="T273" s="29">
        <f t="shared" si="5"/>
        <v>0.1422029953</v>
      </c>
    </row>
    <row r="274">
      <c r="A274" s="10" t="s">
        <v>324</v>
      </c>
      <c r="B274" s="10" t="s">
        <v>24</v>
      </c>
      <c r="C274" s="26">
        <v>45577.0</v>
      </c>
      <c r="D274" s="10" t="s">
        <v>28</v>
      </c>
      <c r="E274" s="10" t="s">
        <v>98</v>
      </c>
      <c r="F274" s="27">
        <v>3641.0</v>
      </c>
      <c r="G274" s="27">
        <v>226.0</v>
      </c>
      <c r="H274" s="27">
        <v>46.0</v>
      </c>
      <c r="I274" s="27">
        <v>40051.0</v>
      </c>
      <c r="J274" s="27">
        <v>39319.0</v>
      </c>
      <c r="K274" s="27">
        <v>296.0</v>
      </c>
      <c r="L274" s="28" t="s">
        <v>30</v>
      </c>
      <c r="M274" s="10"/>
      <c r="N274" s="10"/>
      <c r="O274" s="28" t="s">
        <v>375</v>
      </c>
      <c r="P274" s="26">
        <f t="shared" si="78"/>
        <v>45717</v>
      </c>
      <c r="Q274" s="26">
        <f t="shared" si="79"/>
        <v>45747</v>
      </c>
      <c r="R274" s="28" t="str">
        <f t="shared" si="3"/>
        <v>During Campaign</v>
      </c>
      <c r="S274" s="27">
        <f t="shared" si="4"/>
        <v>3913</v>
      </c>
      <c r="T274" s="29">
        <f t="shared" si="5"/>
        <v>0.09770043195</v>
      </c>
    </row>
    <row r="275">
      <c r="A275" s="10" t="s">
        <v>325</v>
      </c>
      <c r="B275" s="10" t="s">
        <v>13</v>
      </c>
      <c r="C275" s="26">
        <v>45658.0</v>
      </c>
      <c r="D275" s="10" t="s">
        <v>34</v>
      </c>
      <c r="E275" s="10" t="s">
        <v>37</v>
      </c>
      <c r="F275" s="27">
        <v>3535.0</v>
      </c>
      <c r="G275" s="27">
        <v>494.0</v>
      </c>
      <c r="H275" s="27">
        <v>152.0</v>
      </c>
      <c r="I275" s="27">
        <v>53025.0</v>
      </c>
      <c r="J275" s="27">
        <v>52791.0</v>
      </c>
      <c r="K275" s="27">
        <v>44.0</v>
      </c>
      <c r="L275" s="28" t="s">
        <v>21</v>
      </c>
      <c r="M275" s="10"/>
      <c r="N275" s="10"/>
      <c r="O275" s="28" t="s">
        <v>375</v>
      </c>
      <c r="P275" s="26">
        <f t="shared" si="78"/>
        <v>45717</v>
      </c>
      <c r="Q275" s="26">
        <f t="shared" si="79"/>
        <v>45747</v>
      </c>
      <c r="R275" s="28" t="str">
        <f t="shared" si="3"/>
        <v>During Campaign</v>
      </c>
      <c r="S275" s="27">
        <f t="shared" si="4"/>
        <v>4181</v>
      </c>
      <c r="T275" s="29">
        <f t="shared" si="5"/>
        <v>0.07884959925</v>
      </c>
    </row>
    <row r="276">
      <c r="A276" s="10" t="s">
        <v>326</v>
      </c>
      <c r="B276" s="10" t="s">
        <v>33</v>
      </c>
      <c r="C276" s="26">
        <v>45509.0</v>
      </c>
      <c r="D276" s="10" t="s">
        <v>14</v>
      </c>
      <c r="E276" s="10" t="s">
        <v>47</v>
      </c>
      <c r="F276" s="27">
        <v>1741.0</v>
      </c>
      <c r="G276" s="27">
        <v>831.0</v>
      </c>
      <c r="H276" s="27">
        <v>345.0</v>
      </c>
      <c r="I276" s="27">
        <v>17410.0</v>
      </c>
      <c r="J276" s="27">
        <v>16844.0</v>
      </c>
      <c r="K276" s="27">
        <v>58.0</v>
      </c>
      <c r="L276" s="28" t="s">
        <v>30</v>
      </c>
      <c r="M276" s="10"/>
      <c r="N276" s="10"/>
      <c r="O276" s="28" t="s">
        <v>372</v>
      </c>
      <c r="P276" s="26">
        <f t="shared" si="78"/>
        <v>45651</v>
      </c>
      <c r="Q276" s="26">
        <f t="shared" si="79"/>
        <v>45667</v>
      </c>
      <c r="R276" s="28" t="str">
        <f t="shared" si="3"/>
        <v>During Campaign</v>
      </c>
      <c r="S276" s="27">
        <f t="shared" si="4"/>
        <v>2917</v>
      </c>
      <c r="T276" s="29">
        <f t="shared" si="5"/>
        <v>0.1675473866</v>
      </c>
    </row>
    <row r="277">
      <c r="A277" s="10" t="s">
        <v>327</v>
      </c>
      <c r="B277" s="10" t="s">
        <v>13</v>
      </c>
      <c r="C277" s="26">
        <v>45450.0</v>
      </c>
      <c r="D277" s="10" t="s">
        <v>34</v>
      </c>
      <c r="E277" s="10" t="s">
        <v>37</v>
      </c>
      <c r="F277" s="27">
        <v>1556.0</v>
      </c>
      <c r="G277" s="27">
        <v>195.0</v>
      </c>
      <c r="H277" s="27">
        <v>131.0</v>
      </c>
      <c r="I277" s="27">
        <v>9336.0</v>
      </c>
      <c r="J277" s="27">
        <v>8875.0</v>
      </c>
      <c r="K277" s="27">
        <v>137.0</v>
      </c>
      <c r="L277" s="28" t="s">
        <v>21</v>
      </c>
      <c r="M277" s="10"/>
      <c r="N277" s="10"/>
      <c r="O277" s="28" t="s">
        <v>368</v>
      </c>
      <c r="P277" s="26">
        <f t="shared" si="78"/>
        <v>45566</v>
      </c>
      <c r="Q277" s="26">
        <f t="shared" si="79"/>
        <v>45596</v>
      </c>
      <c r="R277" s="28" t="str">
        <f t="shared" si="3"/>
        <v>During Campaign</v>
      </c>
      <c r="S277" s="27">
        <f t="shared" si="4"/>
        <v>1882</v>
      </c>
      <c r="T277" s="29">
        <f t="shared" si="5"/>
        <v>0.2015852614</v>
      </c>
    </row>
    <row r="278">
      <c r="A278" s="10" t="s">
        <v>328</v>
      </c>
      <c r="B278" s="10" t="s">
        <v>33</v>
      </c>
      <c r="C278" s="26">
        <v>45753.0</v>
      </c>
      <c r="D278" s="10" t="s">
        <v>39</v>
      </c>
      <c r="E278" s="10" t="s">
        <v>44</v>
      </c>
      <c r="F278" s="27">
        <v>4236.0</v>
      </c>
      <c r="G278" s="27">
        <v>711.0</v>
      </c>
      <c r="H278" s="27">
        <v>298.0</v>
      </c>
      <c r="I278" s="27">
        <v>21180.0</v>
      </c>
      <c r="J278" s="27">
        <v>20516.0</v>
      </c>
      <c r="K278" s="27">
        <v>238.0</v>
      </c>
      <c r="L278" s="28" t="s">
        <v>16</v>
      </c>
      <c r="M278" s="10"/>
      <c r="N278" s="10"/>
      <c r="O278" s="28" t="s">
        <v>365</v>
      </c>
      <c r="P278" s="26">
        <f t="shared" si="78"/>
        <v>45458</v>
      </c>
      <c r="Q278" s="26">
        <f t="shared" si="79"/>
        <v>45488</v>
      </c>
      <c r="R278" s="28" t="str">
        <f t="shared" si="3"/>
        <v>During Campaign</v>
      </c>
      <c r="S278" s="27">
        <f t="shared" si="4"/>
        <v>5245</v>
      </c>
      <c r="T278" s="29">
        <f t="shared" si="5"/>
        <v>0.2476392823</v>
      </c>
    </row>
    <row r="279">
      <c r="A279" s="10" t="s">
        <v>329</v>
      </c>
      <c r="B279" s="10" t="s">
        <v>13</v>
      </c>
      <c r="C279" s="26">
        <v>45622.0</v>
      </c>
      <c r="D279" s="10" t="s">
        <v>19</v>
      </c>
      <c r="E279" s="10" t="s">
        <v>20</v>
      </c>
      <c r="F279" s="27">
        <v>4516.0</v>
      </c>
      <c r="G279" s="27">
        <v>836.0</v>
      </c>
      <c r="H279" s="27">
        <v>169.0</v>
      </c>
      <c r="I279" s="27">
        <v>49676.0</v>
      </c>
      <c r="J279" s="27">
        <v>49257.0</v>
      </c>
      <c r="K279" s="27">
        <v>282.0</v>
      </c>
      <c r="L279" s="28" t="s">
        <v>30</v>
      </c>
      <c r="M279" s="10"/>
      <c r="N279" s="10"/>
      <c r="O279" s="28" t="s">
        <v>375</v>
      </c>
      <c r="P279" s="26">
        <f t="shared" si="78"/>
        <v>45717</v>
      </c>
      <c r="Q279" s="26">
        <f t="shared" si="79"/>
        <v>45747</v>
      </c>
      <c r="R279" s="28" t="str">
        <f t="shared" si="3"/>
        <v>During Campaign</v>
      </c>
      <c r="S279" s="27">
        <f t="shared" si="4"/>
        <v>5521</v>
      </c>
      <c r="T279" s="29">
        <f t="shared" si="5"/>
        <v>0.1111401884</v>
      </c>
    </row>
    <row r="280">
      <c r="A280" s="10" t="s">
        <v>330</v>
      </c>
      <c r="B280" s="10" t="s">
        <v>24</v>
      </c>
      <c r="C280" s="26">
        <v>45537.0</v>
      </c>
      <c r="D280" s="10" t="s">
        <v>39</v>
      </c>
      <c r="E280" s="10" t="s">
        <v>40</v>
      </c>
      <c r="F280" s="27">
        <v>4905.0</v>
      </c>
      <c r="G280" s="27">
        <v>845.0</v>
      </c>
      <c r="H280" s="27">
        <v>129.0</v>
      </c>
      <c r="I280" s="27">
        <v>98100.0</v>
      </c>
      <c r="J280" s="27">
        <v>97772.0</v>
      </c>
      <c r="K280" s="27">
        <v>279.0</v>
      </c>
      <c r="L280" s="28" t="s">
        <v>21</v>
      </c>
      <c r="M280" s="10"/>
      <c r="N280" s="10"/>
      <c r="O280" s="28" t="s">
        <v>368</v>
      </c>
      <c r="P280" s="26">
        <f t="shared" si="78"/>
        <v>45566</v>
      </c>
      <c r="Q280" s="26">
        <f t="shared" si="79"/>
        <v>45596</v>
      </c>
      <c r="R280" s="28" t="str">
        <f t="shared" si="3"/>
        <v>During Campaign</v>
      </c>
      <c r="S280" s="27">
        <f t="shared" si="4"/>
        <v>5879</v>
      </c>
      <c r="T280" s="29">
        <f t="shared" si="5"/>
        <v>0.05992864424</v>
      </c>
    </row>
    <row r="281">
      <c r="A281" s="10" t="s">
        <v>331</v>
      </c>
      <c r="B281" s="10" t="s">
        <v>24</v>
      </c>
      <c r="C281" s="26">
        <v>45586.0</v>
      </c>
      <c r="D281" s="10" t="s">
        <v>53</v>
      </c>
      <c r="E281" s="10" t="s">
        <v>133</v>
      </c>
      <c r="F281" s="27">
        <v>4275.0</v>
      </c>
      <c r="G281" s="27">
        <v>680.0</v>
      </c>
      <c r="H281" s="27">
        <v>385.0</v>
      </c>
      <c r="I281" s="27">
        <v>64125.0</v>
      </c>
      <c r="J281" s="27">
        <v>63650.0</v>
      </c>
      <c r="K281" s="27">
        <v>104.0</v>
      </c>
      <c r="L281" s="28" t="s">
        <v>30</v>
      </c>
      <c r="M281" s="28" t="s">
        <v>21</v>
      </c>
      <c r="N281" s="28" t="s">
        <v>17</v>
      </c>
      <c r="O281" s="28" t="s">
        <v>375</v>
      </c>
      <c r="P281" s="26">
        <f t="shared" si="78"/>
        <v>45717</v>
      </c>
      <c r="Q281" s="26">
        <f t="shared" si="79"/>
        <v>45747</v>
      </c>
      <c r="R281" s="28" t="str">
        <f t="shared" si="3"/>
        <v>Before Campaign</v>
      </c>
      <c r="S281" s="27">
        <f t="shared" si="4"/>
        <v>5340</v>
      </c>
      <c r="T281" s="29">
        <f t="shared" si="5"/>
        <v>0.0832748538</v>
      </c>
    </row>
    <row r="282">
      <c r="A282" s="10" t="s">
        <v>332</v>
      </c>
      <c r="B282" s="10" t="s">
        <v>24</v>
      </c>
      <c r="C282" s="26">
        <v>45738.0</v>
      </c>
      <c r="D282" s="10" t="s">
        <v>39</v>
      </c>
      <c r="E282" s="10" t="s">
        <v>40</v>
      </c>
      <c r="F282" s="27">
        <v>3166.0</v>
      </c>
      <c r="G282" s="27">
        <v>90.0</v>
      </c>
      <c r="H282" s="27">
        <v>341.0</v>
      </c>
      <c r="I282" s="27">
        <v>56988.0</v>
      </c>
      <c r="J282" s="27">
        <v>56125.0</v>
      </c>
      <c r="K282" s="27">
        <v>135.0</v>
      </c>
      <c r="L282" s="28" t="s">
        <v>30</v>
      </c>
      <c r="M282" s="10"/>
      <c r="N282" s="10"/>
      <c r="O282" s="28" t="s">
        <v>368</v>
      </c>
      <c r="P282" s="26">
        <f t="shared" si="78"/>
        <v>45566</v>
      </c>
      <c r="Q282" s="26">
        <f t="shared" si="79"/>
        <v>45596</v>
      </c>
      <c r="R282" s="28" t="str">
        <f t="shared" si="3"/>
        <v>During Campaign</v>
      </c>
      <c r="S282" s="27">
        <f t="shared" si="4"/>
        <v>3597</v>
      </c>
      <c r="T282" s="29">
        <f t="shared" si="5"/>
        <v>0.06311855127</v>
      </c>
    </row>
    <row r="283">
      <c r="A283" s="10" t="s">
        <v>333</v>
      </c>
      <c r="B283" s="10" t="s">
        <v>27</v>
      </c>
      <c r="C283" s="26">
        <v>45568.0</v>
      </c>
      <c r="D283" s="10" t="s">
        <v>53</v>
      </c>
      <c r="E283" s="10" t="s">
        <v>60</v>
      </c>
      <c r="F283" s="27">
        <v>1488.0</v>
      </c>
      <c r="G283" s="27">
        <v>417.0</v>
      </c>
      <c r="H283" s="27">
        <v>168.0</v>
      </c>
      <c r="I283" s="27">
        <v>19344.0</v>
      </c>
      <c r="J283" s="27">
        <v>18395.0</v>
      </c>
      <c r="K283" s="27">
        <v>30.0</v>
      </c>
      <c r="L283" s="28" t="s">
        <v>16</v>
      </c>
      <c r="M283" s="10"/>
      <c r="N283" s="10"/>
      <c r="O283" s="28" t="s">
        <v>372</v>
      </c>
      <c r="P283" s="26">
        <f t="shared" si="78"/>
        <v>45651</v>
      </c>
      <c r="Q283" s="26">
        <f t="shared" si="79"/>
        <v>45667</v>
      </c>
      <c r="R283" s="28" t="str">
        <f t="shared" si="3"/>
        <v>During Campaign</v>
      </c>
      <c r="S283" s="27">
        <f t="shared" si="4"/>
        <v>2073</v>
      </c>
      <c r="T283" s="29">
        <f t="shared" si="5"/>
        <v>0.1071650124</v>
      </c>
    </row>
    <row r="284">
      <c r="A284" s="10" t="s">
        <v>334</v>
      </c>
      <c r="B284" s="10" t="s">
        <v>13</v>
      </c>
      <c r="C284" s="26">
        <v>45786.0</v>
      </c>
      <c r="D284" s="10" t="s">
        <v>14</v>
      </c>
      <c r="E284" s="10" t="s">
        <v>15</v>
      </c>
      <c r="F284" s="27">
        <v>3367.0</v>
      </c>
      <c r="G284" s="27">
        <v>302.0</v>
      </c>
      <c r="H284" s="27">
        <v>57.0</v>
      </c>
      <c r="I284" s="27">
        <v>63973.0</v>
      </c>
      <c r="J284" s="27">
        <v>63789.0</v>
      </c>
      <c r="K284" s="27">
        <v>157.0</v>
      </c>
      <c r="L284" s="28" t="s">
        <v>16</v>
      </c>
      <c r="M284" s="10"/>
      <c r="N284" s="10"/>
      <c r="O284" s="28" t="s">
        <v>368</v>
      </c>
      <c r="P284" s="26">
        <f t="shared" si="78"/>
        <v>45566</v>
      </c>
      <c r="Q284" s="26">
        <f t="shared" si="79"/>
        <v>45596</v>
      </c>
      <c r="R284" s="28" t="str">
        <f t="shared" si="3"/>
        <v>During Campaign</v>
      </c>
      <c r="S284" s="27">
        <f t="shared" si="4"/>
        <v>3726</v>
      </c>
      <c r="T284" s="29">
        <f t="shared" si="5"/>
        <v>0.0582433214</v>
      </c>
    </row>
    <row r="285">
      <c r="A285" s="10" t="s">
        <v>335</v>
      </c>
      <c r="B285" s="10" t="s">
        <v>13</v>
      </c>
      <c r="C285" s="26">
        <v>45552.0</v>
      </c>
      <c r="D285" s="10" t="s">
        <v>19</v>
      </c>
      <c r="E285" s="10" t="s">
        <v>20</v>
      </c>
      <c r="F285" s="27">
        <v>571.0</v>
      </c>
      <c r="G285" s="27">
        <v>190.0</v>
      </c>
      <c r="H285" s="27">
        <v>352.0</v>
      </c>
      <c r="I285" s="27">
        <v>9707.0</v>
      </c>
      <c r="J285" s="27">
        <v>9418.0</v>
      </c>
      <c r="K285" s="27">
        <v>231.0</v>
      </c>
      <c r="L285" s="28" t="s">
        <v>21</v>
      </c>
      <c r="M285" s="10"/>
      <c r="N285" s="10"/>
      <c r="O285" s="28" t="s">
        <v>375</v>
      </c>
      <c r="P285" s="26">
        <f t="shared" si="78"/>
        <v>45717</v>
      </c>
      <c r="Q285" s="26">
        <f t="shared" si="79"/>
        <v>45747</v>
      </c>
      <c r="R285" s="28" t="str">
        <f t="shared" si="3"/>
        <v>During Campaign</v>
      </c>
      <c r="S285" s="27">
        <f t="shared" si="4"/>
        <v>1113</v>
      </c>
      <c r="T285" s="29">
        <f t="shared" si="5"/>
        <v>0.1146595241</v>
      </c>
    </row>
    <row r="286">
      <c r="A286" s="10" t="s">
        <v>336</v>
      </c>
      <c r="B286" s="10" t="s">
        <v>24</v>
      </c>
      <c r="C286" s="26">
        <v>45491.0</v>
      </c>
      <c r="D286" s="10" t="s">
        <v>19</v>
      </c>
      <c r="E286" s="10" t="s">
        <v>70</v>
      </c>
      <c r="F286" s="27">
        <v>4021.0</v>
      </c>
      <c r="G286" s="27">
        <v>794.0</v>
      </c>
      <c r="H286" s="27">
        <v>77.0</v>
      </c>
      <c r="I286" s="27">
        <v>36189.0</v>
      </c>
      <c r="J286" s="27">
        <v>35505.0</v>
      </c>
      <c r="K286" s="27">
        <v>174.0</v>
      </c>
      <c r="L286" s="28" t="s">
        <v>30</v>
      </c>
      <c r="M286" s="10"/>
      <c r="N286" s="10"/>
      <c r="O286" s="28"/>
      <c r="P286" s="86"/>
      <c r="Q286" s="86"/>
      <c r="R286" s="28" t="str">
        <f t="shared" si="3"/>
        <v>After Campaign</v>
      </c>
      <c r="S286" s="27">
        <f t="shared" si="4"/>
        <v>4892</v>
      </c>
      <c r="T286" s="29">
        <f t="shared" si="5"/>
        <v>0.1351791981</v>
      </c>
    </row>
    <row r="287">
      <c r="A287" s="10" t="s">
        <v>337</v>
      </c>
      <c r="B287" s="10" t="s">
        <v>24</v>
      </c>
      <c r="C287" s="26">
        <v>45560.0</v>
      </c>
      <c r="D287" s="10" t="s">
        <v>53</v>
      </c>
      <c r="E287" s="10" t="s">
        <v>133</v>
      </c>
      <c r="F287" s="27">
        <v>3389.0</v>
      </c>
      <c r="G287" s="27">
        <v>344.0</v>
      </c>
      <c r="H287" s="27">
        <v>229.0</v>
      </c>
      <c r="I287" s="27">
        <v>20334.0</v>
      </c>
      <c r="J287" s="27">
        <v>19443.0</v>
      </c>
      <c r="K287" s="27">
        <v>228.0</v>
      </c>
      <c r="L287" s="28" t="s">
        <v>16</v>
      </c>
      <c r="M287" s="10"/>
      <c r="N287" s="10"/>
      <c r="O287" s="28" t="s">
        <v>372</v>
      </c>
      <c r="P287" s="26">
        <f t="shared" ref="P287:P289" si="80">IFS(
  O287="SummerSplash", DATE(2024,6,15),
  O287="FestiveRadiance", DATE(2024,10,1),
  O287="NewYearRefresh", DATE(2024,12,25),
  O287="DailyWellness", DATE(2025,3,1)
)
</f>
        <v>45651</v>
      </c>
      <c r="Q287" s="26">
        <f t="shared" ref="Q287:Q289" si="81">IFS(
  O287="SummerSplash", DATE(2024,7,15),
  O287="FestiveRadiance", DATE(2024,10,31),
  O287="NewYearRefresh", DATE(2025,1,10),
  O287="DailyWellness", DATE(2025,3,31)
)
</f>
        <v>45667</v>
      </c>
      <c r="R287" s="28" t="str">
        <f t="shared" si="3"/>
        <v>During Campaign</v>
      </c>
      <c r="S287" s="27">
        <f t="shared" si="4"/>
        <v>3962</v>
      </c>
      <c r="T287" s="29">
        <f t="shared" si="5"/>
        <v>0.1948460706</v>
      </c>
    </row>
    <row r="288">
      <c r="A288" s="10" t="s">
        <v>338</v>
      </c>
      <c r="B288" s="10" t="s">
        <v>27</v>
      </c>
      <c r="C288" s="26">
        <v>45519.0</v>
      </c>
      <c r="D288" s="10" t="s">
        <v>14</v>
      </c>
      <c r="E288" s="10" t="s">
        <v>58</v>
      </c>
      <c r="F288" s="27">
        <v>1164.0</v>
      </c>
      <c r="G288" s="27">
        <v>616.0</v>
      </c>
      <c r="H288" s="27">
        <v>324.0</v>
      </c>
      <c r="I288" s="27">
        <v>6984.0</v>
      </c>
      <c r="J288" s="27">
        <v>6636.0</v>
      </c>
      <c r="K288" s="27">
        <v>82.0</v>
      </c>
      <c r="L288" s="28" t="s">
        <v>30</v>
      </c>
      <c r="M288" s="10"/>
      <c r="N288" s="10"/>
      <c r="O288" s="28" t="s">
        <v>365</v>
      </c>
      <c r="P288" s="26">
        <f t="shared" si="80"/>
        <v>45458</v>
      </c>
      <c r="Q288" s="26">
        <f t="shared" si="81"/>
        <v>45488</v>
      </c>
      <c r="R288" s="28" t="str">
        <f t="shared" si="3"/>
        <v>During Campaign</v>
      </c>
      <c r="S288" s="27">
        <f t="shared" si="4"/>
        <v>2104</v>
      </c>
      <c r="T288" s="29">
        <f t="shared" si="5"/>
        <v>0.3012600229</v>
      </c>
    </row>
    <row r="289">
      <c r="A289" s="10" t="s">
        <v>339</v>
      </c>
      <c r="B289" s="10" t="s">
        <v>24</v>
      </c>
      <c r="C289" s="26">
        <v>45764.0</v>
      </c>
      <c r="D289" s="10" t="s">
        <v>34</v>
      </c>
      <c r="E289" s="10" t="s">
        <v>49</v>
      </c>
      <c r="F289" s="27">
        <v>4780.0</v>
      </c>
      <c r="G289" s="27">
        <v>691.0</v>
      </c>
      <c r="H289" s="27">
        <v>380.0</v>
      </c>
      <c r="I289" s="27">
        <v>86040.0</v>
      </c>
      <c r="J289" s="27">
        <v>85743.0</v>
      </c>
      <c r="K289" s="27">
        <v>262.0</v>
      </c>
      <c r="L289" s="28" t="s">
        <v>16</v>
      </c>
      <c r="M289" s="10"/>
      <c r="N289" s="10"/>
      <c r="O289" s="28" t="s">
        <v>372</v>
      </c>
      <c r="P289" s="26">
        <f t="shared" si="80"/>
        <v>45651</v>
      </c>
      <c r="Q289" s="26">
        <f t="shared" si="81"/>
        <v>45667</v>
      </c>
      <c r="R289" s="28" t="str">
        <f t="shared" si="3"/>
        <v>During Campaign</v>
      </c>
      <c r="S289" s="27">
        <f t="shared" si="4"/>
        <v>5851</v>
      </c>
      <c r="T289" s="29">
        <f t="shared" si="5"/>
        <v>0.0680032543</v>
      </c>
    </row>
    <row r="290">
      <c r="A290" s="10" t="s">
        <v>340</v>
      </c>
      <c r="B290" s="10" t="s">
        <v>33</v>
      </c>
      <c r="C290" s="26">
        <v>45624.0</v>
      </c>
      <c r="D290" s="10" t="s">
        <v>34</v>
      </c>
      <c r="E290" s="10" t="s">
        <v>35</v>
      </c>
      <c r="F290" s="27">
        <v>2751.0</v>
      </c>
      <c r="G290" s="27">
        <v>33.0</v>
      </c>
      <c r="H290" s="27">
        <v>430.0</v>
      </c>
      <c r="I290" s="27">
        <v>44016.0</v>
      </c>
      <c r="J290" s="27">
        <v>43415.0</v>
      </c>
      <c r="K290" s="27">
        <v>129.0</v>
      </c>
      <c r="L290" s="28" t="s">
        <v>16</v>
      </c>
      <c r="M290" s="10"/>
      <c r="N290" s="10"/>
      <c r="O290" s="28"/>
      <c r="P290" s="86"/>
      <c r="Q290" s="86"/>
      <c r="R290" s="28" t="str">
        <f t="shared" si="3"/>
        <v>After Campaign</v>
      </c>
      <c r="S290" s="27">
        <f t="shared" si="4"/>
        <v>3214</v>
      </c>
      <c r="T290" s="29">
        <f t="shared" si="5"/>
        <v>0.07301890222</v>
      </c>
    </row>
    <row r="291">
      <c r="A291" s="10" t="s">
        <v>341</v>
      </c>
      <c r="B291" s="10" t="s">
        <v>27</v>
      </c>
      <c r="C291" s="26">
        <v>45646.0</v>
      </c>
      <c r="D291" s="10" t="s">
        <v>34</v>
      </c>
      <c r="E291" s="10" t="s">
        <v>62</v>
      </c>
      <c r="F291" s="27">
        <v>2107.0</v>
      </c>
      <c r="G291" s="27">
        <v>550.0</v>
      </c>
      <c r="H291" s="27">
        <v>349.0</v>
      </c>
      <c r="I291" s="27">
        <v>35819.0</v>
      </c>
      <c r="J291" s="27">
        <v>35340.0</v>
      </c>
      <c r="K291" s="27">
        <v>191.0</v>
      </c>
      <c r="L291" s="28" t="s">
        <v>30</v>
      </c>
      <c r="M291" s="10"/>
      <c r="N291" s="10"/>
      <c r="O291" s="28" t="s">
        <v>375</v>
      </c>
      <c r="P291" s="26">
        <f t="shared" ref="P291:P292" si="82">IFS(
  O291="SummerSplash", DATE(2024,6,15),
  O291="FestiveRadiance", DATE(2024,10,1),
  O291="NewYearRefresh", DATE(2024,12,25),
  O291="DailyWellness", DATE(2025,3,1)
)
</f>
        <v>45717</v>
      </c>
      <c r="Q291" s="26">
        <f t="shared" ref="Q291:Q292" si="83">IFS(
  O291="SummerSplash", DATE(2024,7,15),
  O291="FestiveRadiance", DATE(2024,10,31),
  O291="NewYearRefresh", DATE(2025,1,10),
  O291="DailyWellness", DATE(2025,3,31)
)
</f>
        <v>45747</v>
      </c>
      <c r="R291" s="28" t="str">
        <f t="shared" si="3"/>
        <v>During Campaign</v>
      </c>
      <c r="S291" s="27">
        <f t="shared" si="4"/>
        <v>3006</v>
      </c>
      <c r="T291" s="29">
        <f t="shared" si="5"/>
        <v>0.08392194087</v>
      </c>
    </row>
    <row r="292">
      <c r="A292" s="10" t="s">
        <v>342</v>
      </c>
      <c r="B292" s="10" t="s">
        <v>33</v>
      </c>
      <c r="C292" s="26">
        <v>45602.0</v>
      </c>
      <c r="D292" s="10" t="s">
        <v>53</v>
      </c>
      <c r="E292" s="10" t="s">
        <v>54</v>
      </c>
      <c r="F292" s="27">
        <v>4663.0</v>
      </c>
      <c r="G292" s="27">
        <v>145.0</v>
      </c>
      <c r="H292" s="27">
        <v>225.0</v>
      </c>
      <c r="I292" s="27">
        <v>69945.0</v>
      </c>
      <c r="J292" s="27">
        <v>69596.0</v>
      </c>
      <c r="K292" s="27">
        <v>35.0</v>
      </c>
      <c r="L292" s="28" t="s">
        <v>30</v>
      </c>
      <c r="M292" s="10"/>
      <c r="N292" s="10"/>
      <c r="O292" s="28" t="s">
        <v>375</v>
      </c>
      <c r="P292" s="26">
        <f t="shared" si="82"/>
        <v>45717</v>
      </c>
      <c r="Q292" s="26">
        <f t="shared" si="83"/>
        <v>45747</v>
      </c>
      <c r="R292" s="28" t="str">
        <f t="shared" si="3"/>
        <v>During Campaign</v>
      </c>
      <c r="S292" s="27">
        <f t="shared" si="4"/>
        <v>5033</v>
      </c>
      <c r="T292" s="29">
        <f t="shared" si="5"/>
        <v>0.07195653728</v>
      </c>
    </row>
    <row r="293">
      <c r="A293" s="10" t="s">
        <v>343</v>
      </c>
      <c r="B293" s="10" t="s">
        <v>33</v>
      </c>
      <c r="C293" s="26">
        <v>45613.0</v>
      </c>
      <c r="D293" s="10" t="s">
        <v>19</v>
      </c>
      <c r="E293" s="10" t="s">
        <v>42</v>
      </c>
      <c r="F293" s="27">
        <v>880.0</v>
      </c>
      <c r="G293" s="27">
        <v>297.0</v>
      </c>
      <c r="H293" s="27">
        <v>345.0</v>
      </c>
      <c r="I293" s="27">
        <v>12320.0</v>
      </c>
      <c r="J293" s="27">
        <v>11978.0</v>
      </c>
      <c r="K293" s="27">
        <v>238.0</v>
      </c>
      <c r="L293" s="28" t="s">
        <v>21</v>
      </c>
      <c r="M293" s="28" t="s">
        <v>17</v>
      </c>
      <c r="N293" s="10"/>
      <c r="O293" s="28"/>
      <c r="P293" s="86"/>
      <c r="Q293" s="86"/>
      <c r="R293" s="28" t="str">
        <f t="shared" si="3"/>
        <v>After Campaign</v>
      </c>
      <c r="S293" s="27">
        <f t="shared" si="4"/>
        <v>1522</v>
      </c>
      <c r="T293" s="29">
        <f t="shared" si="5"/>
        <v>0.123538961</v>
      </c>
    </row>
    <row r="294">
      <c r="A294" s="10" t="s">
        <v>344</v>
      </c>
      <c r="B294" s="10" t="s">
        <v>33</v>
      </c>
      <c r="C294" s="26">
        <v>45791.0</v>
      </c>
      <c r="D294" s="10" t="s">
        <v>19</v>
      </c>
      <c r="E294" s="10" t="s">
        <v>42</v>
      </c>
      <c r="F294" s="27">
        <v>2634.0</v>
      </c>
      <c r="G294" s="27">
        <v>726.0</v>
      </c>
      <c r="H294" s="27">
        <v>241.0</v>
      </c>
      <c r="I294" s="27">
        <v>28974.0</v>
      </c>
      <c r="J294" s="27">
        <v>28102.0</v>
      </c>
      <c r="K294" s="27">
        <v>277.0</v>
      </c>
      <c r="L294" s="28" t="s">
        <v>30</v>
      </c>
      <c r="M294" s="10"/>
      <c r="N294" s="10"/>
      <c r="O294" s="28" t="s">
        <v>365</v>
      </c>
      <c r="P294" s="26">
        <f t="shared" ref="P294:P301" si="84">IFS(
  O294="SummerSplash", DATE(2024,6,15),
  O294="FestiveRadiance", DATE(2024,10,1),
  O294="NewYearRefresh", DATE(2024,12,25),
  O294="DailyWellness", DATE(2025,3,1)
)
</f>
        <v>45458</v>
      </c>
      <c r="Q294" s="26">
        <f t="shared" ref="Q294:Q301" si="85">IFS(
  O294="SummerSplash", DATE(2024,7,15),
  O294="FestiveRadiance", DATE(2024,10,31),
  O294="NewYearRefresh", DATE(2025,1,10),
  O294="DailyWellness", DATE(2025,3,31)
)
</f>
        <v>45488</v>
      </c>
      <c r="R294" s="28" t="str">
        <f t="shared" si="3"/>
        <v>During Campaign</v>
      </c>
      <c r="S294" s="27">
        <f t="shared" si="4"/>
        <v>3601</v>
      </c>
      <c r="T294" s="29">
        <f t="shared" si="5"/>
        <v>0.1242838407</v>
      </c>
    </row>
    <row r="295">
      <c r="A295" s="10" t="s">
        <v>345</v>
      </c>
      <c r="B295" s="10" t="s">
        <v>33</v>
      </c>
      <c r="C295" s="26">
        <v>45462.0</v>
      </c>
      <c r="D295" s="10" t="s">
        <v>34</v>
      </c>
      <c r="E295" s="10" t="s">
        <v>35</v>
      </c>
      <c r="F295" s="27">
        <v>4731.0</v>
      </c>
      <c r="G295" s="27">
        <v>173.0</v>
      </c>
      <c r="H295" s="27">
        <v>276.0</v>
      </c>
      <c r="I295" s="27">
        <v>28386.0</v>
      </c>
      <c r="J295" s="27">
        <v>28185.0</v>
      </c>
      <c r="K295" s="27">
        <v>89.0</v>
      </c>
      <c r="L295" s="28" t="s">
        <v>30</v>
      </c>
      <c r="M295" s="10"/>
      <c r="N295" s="10"/>
      <c r="O295" s="28" t="s">
        <v>372</v>
      </c>
      <c r="P295" s="26">
        <f t="shared" si="84"/>
        <v>45651</v>
      </c>
      <c r="Q295" s="26">
        <f t="shared" si="85"/>
        <v>45667</v>
      </c>
      <c r="R295" s="28" t="str">
        <f t="shared" si="3"/>
        <v>During Campaign</v>
      </c>
      <c r="S295" s="27">
        <f t="shared" si="4"/>
        <v>5180</v>
      </c>
      <c r="T295" s="29">
        <f t="shared" si="5"/>
        <v>0.1824843233</v>
      </c>
    </row>
    <row r="296">
      <c r="A296" s="10" t="s">
        <v>346</v>
      </c>
      <c r="B296" s="10" t="s">
        <v>13</v>
      </c>
      <c r="C296" s="26">
        <v>45783.0</v>
      </c>
      <c r="D296" s="10" t="s">
        <v>39</v>
      </c>
      <c r="E296" s="10" t="s">
        <v>85</v>
      </c>
      <c r="F296" s="27">
        <v>1952.0</v>
      </c>
      <c r="G296" s="27">
        <v>344.0</v>
      </c>
      <c r="H296" s="27">
        <v>287.0</v>
      </c>
      <c r="I296" s="27">
        <v>15616.0</v>
      </c>
      <c r="J296" s="27">
        <v>15403.0</v>
      </c>
      <c r="K296" s="27">
        <v>235.0</v>
      </c>
      <c r="L296" s="28" t="s">
        <v>16</v>
      </c>
      <c r="M296" s="28" t="s">
        <v>21</v>
      </c>
      <c r="N296" s="28" t="s">
        <v>17</v>
      </c>
      <c r="O296" s="28" t="s">
        <v>368</v>
      </c>
      <c r="P296" s="26">
        <f t="shared" si="84"/>
        <v>45566</v>
      </c>
      <c r="Q296" s="26">
        <f t="shared" si="85"/>
        <v>45596</v>
      </c>
      <c r="R296" s="28" t="str">
        <f t="shared" si="3"/>
        <v>Before Campaign</v>
      </c>
      <c r="S296" s="27">
        <f t="shared" si="4"/>
        <v>2583</v>
      </c>
      <c r="T296" s="29">
        <f t="shared" si="5"/>
        <v>0.1654072746</v>
      </c>
    </row>
    <row r="297">
      <c r="A297" s="10" t="s">
        <v>347</v>
      </c>
      <c r="B297" s="10" t="s">
        <v>13</v>
      </c>
      <c r="C297" s="26">
        <v>45699.0</v>
      </c>
      <c r="D297" s="10" t="s">
        <v>53</v>
      </c>
      <c r="E297" s="10" t="s">
        <v>92</v>
      </c>
      <c r="F297" s="27">
        <v>3440.0</v>
      </c>
      <c r="G297" s="27">
        <v>13.0</v>
      </c>
      <c r="H297" s="27">
        <v>20.0</v>
      </c>
      <c r="I297" s="27">
        <v>58480.0</v>
      </c>
      <c r="J297" s="27">
        <v>58146.0</v>
      </c>
      <c r="K297" s="27">
        <v>210.0</v>
      </c>
      <c r="L297" s="28" t="s">
        <v>21</v>
      </c>
      <c r="M297" s="28" t="s">
        <v>191</v>
      </c>
      <c r="N297" s="10"/>
      <c r="O297" s="28" t="s">
        <v>375</v>
      </c>
      <c r="P297" s="26">
        <f t="shared" si="84"/>
        <v>45717</v>
      </c>
      <c r="Q297" s="26">
        <f t="shared" si="85"/>
        <v>45747</v>
      </c>
      <c r="R297" s="28" t="str">
        <f t="shared" si="3"/>
        <v>During Campaign</v>
      </c>
      <c r="S297" s="27">
        <f t="shared" si="4"/>
        <v>3473</v>
      </c>
      <c r="T297" s="29">
        <f t="shared" si="5"/>
        <v>0.0593878249</v>
      </c>
    </row>
    <row r="298">
      <c r="A298" s="10" t="s">
        <v>348</v>
      </c>
      <c r="B298" s="10" t="s">
        <v>13</v>
      </c>
      <c r="C298" s="26">
        <v>45650.0</v>
      </c>
      <c r="D298" s="10" t="s">
        <v>19</v>
      </c>
      <c r="E298" s="10" t="s">
        <v>20</v>
      </c>
      <c r="F298" s="27">
        <v>2166.0</v>
      </c>
      <c r="G298" s="27">
        <v>354.0</v>
      </c>
      <c r="H298" s="27">
        <v>117.0</v>
      </c>
      <c r="I298" s="27">
        <v>10830.0</v>
      </c>
      <c r="J298" s="27">
        <v>10245.0</v>
      </c>
      <c r="K298" s="27">
        <v>24.0</v>
      </c>
      <c r="L298" s="28" t="s">
        <v>30</v>
      </c>
      <c r="M298" s="10"/>
      <c r="N298" s="10"/>
      <c r="O298" s="28" t="s">
        <v>375</v>
      </c>
      <c r="P298" s="26">
        <f t="shared" si="84"/>
        <v>45717</v>
      </c>
      <c r="Q298" s="26">
        <f t="shared" si="85"/>
        <v>45747</v>
      </c>
      <c r="R298" s="28" t="str">
        <f t="shared" si="3"/>
        <v>During Campaign</v>
      </c>
      <c r="S298" s="27">
        <f t="shared" si="4"/>
        <v>2637</v>
      </c>
      <c r="T298" s="29">
        <f t="shared" si="5"/>
        <v>0.2434903047</v>
      </c>
    </row>
    <row r="299">
      <c r="A299" s="10" t="s">
        <v>349</v>
      </c>
      <c r="B299" s="10" t="s">
        <v>33</v>
      </c>
      <c r="C299" s="26">
        <v>45589.0</v>
      </c>
      <c r="D299" s="10" t="s">
        <v>39</v>
      </c>
      <c r="E299" s="10" t="s">
        <v>44</v>
      </c>
      <c r="F299" s="27">
        <v>4303.0</v>
      </c>
      <c r="G299" s="27">
        <v>451.0</v>
      </c>
      <c r="H299" s="27">
        <v>286.0</v>
      </c>
      <c r="I299" s="27">
        <v>86060.0</v>
      </c>
      <c r="J299" s="27">
        <v>85823.0</v>
      </c>
      <c r="K299" s="27">
        <v>14.0</v>
      </c>
      <c r="L299" s="28" t="s">
        <v>21</v>
      </c>
      <c r="M299" s="10"/>
      <c r="N299" s="10"/>
      <c r="O299" s="28" t="s">
        <v>372</v>
      </c>
      <c r="P299" s="26">
        <f t="shared" si="84"/>
        <v>45651</v>
      </c>
      <c r="Q299" s="26">
        <f t="shared" si="85"/>
        <v>45667</v>
      </c>
      <c r="R299" s="28" t="str">
        <f t="shared" si="3"/>
        <v>During Campaign</v>
      </c>
      <c r="S299" s="27">
        <f t="shared" si="4"/>
        <v>5040</v>
      </c>
      <c r="T299" s="29">
        <f t="shared" si="5"/>
        <v>0.0585637927</v>
      </c>
    </row>
    <row r="300">
      <c r="A300" s="10" t="s">
        <v>350</v>
      </c>
      <c r="B300" s="10" t="s">
        <v>33</v>
      </c>
      <c r="C300" s="26">
        <v>45530.0</v>
      </c>
      <c r="D300" s="10" t="s">
        <v>39</v>
      </c>
      <c r="E300" s="10" t="s">
        <v>44</v>
      </c>
      <c r="F300" s="27">
        <v>2581.0</v>
      </c>
      <c r="G300" s="27">
        <v>517.0</v>
      </c>
      <c r="H300" s="27">
        <v>117.0</v>
      </c>
      <c r="I300" s="27">
        <v>23229.0</v>
      </c>
      <c r="J300" s="27">
        <v>22331.0</v>
      </c>
      <c r="K300" s="27">
        <v>70.0</v>
      </c>
      <c r="L300" s="28" t="s">
        <v>16</v>
      </c>
      <c r="M300" s="10"/>
      <c r="N300" s="10"/>
      <c r="O300" s="28" t="s">
        <v>372</v>
      </c>
      <c r="P300" s="26">
        <f t="shared" si="84"/>
        <v>45651</v>
      </c>
      <c r="Q300" s="26">
        <f t="shared" si="85"/>
        <v>45667</v>
      </c>
      <c r="R300" s="28" t="str">
        <f t="shared" si="3"/>
        <v>During Campaign</v>
      </c>
      <c r="S300" s="27">
        <f t="shared" si="4"/>
        <v>3215</v>
      </c>
      <c r="T300" s="29">
        <f t="shared" si="5"/>
        <v>0.1384045805</v>
      </c>
    </row>
    <row r="301">
      <c r="A301" s="10" t="s">
        <v>351</v>
      </c>
      <c r="B301" s="10" t="s">
        <v>13</v>
      </c>
      <c r="C301" s="26">
        <v>45535.0</v>
      </c>
      <c r="D301" s="10" t="s">
        <v>34</v>
      </c>
      <c r="E301" s="10" t="s">
        <v>37</v>
      </c>
      <c r="F301" s="27">
        <v>4494.0</v>
      </c>
      <c r="G301" s="27">
        <v>717.0</v>
      </c>
      <c r="H301" s="27">
        <v>45.0</v>
      </c>
      <c r="I301" s="27">
        <v>62916.0</v>
      </c>
      <c r="J301" s="27">
        <v>62688.0</v>
      </c>
      <c r="K301" s="27">
        <v>191.0</v>
      </c>
      <c r="L301" s="28" t="s">
        <v>21</v>
      </c>
      <c r="M301" s="28" t="s">
        <v>30</v>
      </c>
      <c r="N301" s="28" t="s">
        <v>22</v>
      </c>
      <c r="O301" s="28" t="s">
        <v>365</v>
      </c>
      <c r="P301" s="26">
        <f t="shared" si="84"/>
        <v>45458</v>
      </c>
      <c r="Q301" s="26">
        <f t="shared" si="85"/>
        <v>45488</v>
      </c>
      <c r="R301" s="28" t="str">
        <f t="shared" si="3"/>
        <v>Before Campaign</v>
      </c>
      <c r="S301" s="27">
        <f t="shared" si="4"/>
        <v>5256</v>
      </c>
      <c r="T301" s="29">
        <f t="shared" si="5"/>
        <v>0.08353995804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1" t="s">
        <v>358</v>
      </c>
      <c r="B1" s="41" t="s">
        <v>408</v>
      </c>
      <c r="C1" s="31" t="s">
        <v>440</v>
      </c>
      <c r="D1" s="31" t="s">
        <v>441</v>
      </c>
      <c r="E1" s="31" t="s">
        <v>442</v>
      </c>
      <c r="F1" s="31" t="s">
        <v>388</v>
      </c>
      <c r="G1" s="31" t="s">
        <v>443</v>
      </c>
      <c r="H1" s="31" t="s">
        <v>380</v>
      </c>
      <c r="I1" s="31" t="s">
        <v>381</v>
      </c>
      <c r="J1" s="31" t="s">
        <v>382</v>
      </c>
      <c r="K1" s="31" t="s">
        <v>414</v>
      </c>
      <c r="L1" s="31" t="s">
        <v>413</v>
      </c>
    </row>
    <row r="2">
      <c r="A2" s="35"/>
      <c r="B2" s="92" t="s">
        <v>410</v>
      </c>
      <c r="C2" s="34">
        <v>2658.181818181818</v>
      </c>
      <c r="D2" s="34">
        <v>238.27272727272728</v>
      </c>
      <c r="E2" s="34">
        <v>459.7090909090909</v>
      </c>
      <c r="F2" s="34">
        <v>147.83636363636364</v>
      </c>
      <c r="G2" s="34">
        <v>32635.78181818182</v>
      </c>
      <c r="H2" s="34">
        <v>146200.0</v>
      </c>
      <c r="I2" s="34">
        <v>25284.0</v>
      </c>
      <c r="J2" s="34">
        <v>13105.0</v>
      </c>
      <c r="K2" s="34">
        <v>8131.0</v>
      </c>
      <c r="L2" s="34">
        <v>1794968.0</v>
      </c>
    </row>
    <row r="3">
      <c r="A3" s="35"/>
      <c r="B3" s="92" t="s">
        <v>411</v>
      </c>
      <c r="C3" s="34">
        <v>3960.0</v>
      </c>
      <c r="D3" s="34">
        <v>8.0</v>
      </c>
      <c r="E3" s="34">
        <v>266.0</v>
      </c>
      <c r="F3" s="34">
        <v>208.0</v>
      </c>
      <c r="G3" s="34">
        <v>35640.0</v>
      </c>
      <c r="H3" s="34">
        <v>3960.0</v>
      </c>
      <c r="I3" s="34">
        <v>266.0</v>
      </c>
      <c r="J3" s="34">
        <v>8.0</v>
      </c>
      <c r="K3" s="34">
        <v>208.0</v>
      </c>
      <c r="L3" s="34">
        <v>35640.0</v>
      </c>
    </row>
    <row r="4">
      <c r="A4" s="36" t="s">
        <v>444</v>
      </c>
      <c r="B4" s="36"/>
      <c r="C4" s="37">
        <v>2681.4285714285716</v>
      </c>
      <c r="D4" s="37">
        <v>234.16071428571428</v>
      </c>
      <c r="E4" s="37">
        <v>456.25</v>
      </c>
      <c r="F4" s="37">
        <v>148.91071428571428</v>
      </c>
      <c r="G4" s="37">
        <v>32689.428571428572</v>
      </c>
      <c r="H4" s="37">
        <v>150160.0</v>
      </c>
      <c r="I4" s="37">
        <v>25550.0</v>
      </c>
      <c r="J4" s="37">
        <v>13113.0</v>
      </c>
      <c r="K4" s="37">
        <v>8339.0</v>
      </c>
      <c r="L4" s="37">
        <v>1830608.0</v>
      </c>
    </row>
    <row r="5">
      <c r="A5" s="35" t="s">
        <v>375</v>
      </c>
      <c r="B5" s="92" t="s">
        <v>411</v>
      </c>
      <c r="C5" s="34">
        <v>2594.5</v>
      </c>
      <c r="D5" s="34">
        <v>315.5</v>
      </c>
      <c r="E5" s="34">
        <v>572.0</v>
      </c>
      <c r="F5" s="34">
        <v>193.0</v>
      </c>
      <c r="G5" s="34">
        <v>38003.5</v>
      </c>
      <c r="H5" s="34">
        <v>5189.0</v>
      </c>
      <c r="I5" s="34">
        <v>1144.0</v>
      </c>
      <c r="J5" s="34">
        <v>631.0</v>
      </c>
      <c r="K5" s="34">
        <v>386.0</v>
      </c>
      <c r="L5" s="34">
        <v>76007.0</v>
      </c>
    </row>
    <row r="6">
      <c r="A6" s="35"/>
      <c r="B6" s="92" t="s">
        <v>412</v>
      </c>
      <c r="C6" s="34">
        <v>2648.1159420289855</v>
      </c>
      <c r="D6" s="34">
        <v>247.57971014492753</v>
      </c>
      <c r="E6" s="34">
        <v>488.6376811594203</v>
      </c>
      <c r="F6" s="34">
        <v>149.31884057971016</v>
      </c>
      <c r="G6" s="34">
        <v>34621.115942028984</v>
      </c>
      <c r="H6" s="34">
        <v>182720.0</v>
      </c>
      <c r="I6" s="34">
        <v>33716.0</v>
      </c>
      <c r="J6" s="34">
        <v>17083.0</v>
      </c>
      <c r="K6" s="34">
        <v>10303.0</v>
      </c>
      <c r="L6" s="34">
        <v>2388857.0</v>
      </c>
    </row>
    <row r="7">
      <c r="A7" s="36" t="s">
        <v>445</v>
      </c>
      <c r="B7" s="36"/>
      <c r="C7" s="37">
        <v>2646.605633802817</v>
      </c>
      <c r="D7" s="37">
        <v>249.49295774647888</v>
      </c>
      <c r="E7" s="37">
        <v>490.98591549295776</v>
      </c>
      <c r="F7" s="37">
        <v>150.54929577464787</v>
      </c>
      <c r="G7" s="37">
        <v>34716.394366197186</v>
      </c>
      <c r="H7" s="37">
        <v>187909.0</v>
      </c>
      <c r="I7" s="37">
        <v>34860.0</v>
      </c>
      <c r="J7" s="37">
        <v>17714.0</v>
      </c>
      <c r="K7" s="37">
        <v>10689.0</v>
      </c>
      <c r="L7" s="37">
        <v>2464864.0</v>
      </c>
    </row>
    <row r="8">
      <c r="A8" s="35" t="s">
        <v>368</v>
      </c>
      <c r="B8" s="92" t="s">
        <v>411</v>
      </c>
      <c r="C8" s="34">
        <v>2099.6666666666665</v>
      </c>
      <c r="D8" s="34">
        <v>267.3333333333333</v>
      </c>
      <c r="E8" s="34">
        <v>353.3333333333333</v>
      </c>
      <c r="F8" s="34">
        <v>151.33333333333334</v>
      </c>
      <c r="G8" s="34">
        <v>25875.333333333332</v>
      </c>
      <c r="H8" s="34">
        <v>6299.0</v>
      </c>
      <c r="I8" s="34">
        <v>1060.0</v>
      </c>
      <c r="J8" s="34">
        <v>802.0</v>
      </c>
      <c r="K8" s="34">
        <v>454.0</v>
      </c>
      <c r="L8" s="34">
        <v>77626.0</v>
      </c>
    </row>
    <row r="9">
      <c r="A9" s="35"/>
      <c r="B9" s="92" t="s">
        <v>412</v>
      </c>
      <c r="C9" s="34">
        <v>2790.6181818181817</v>
      </c>
      <c r="D9" s="34">
        <v>265.4727272727273</v>
      </c>
      <c r="E9" s="34">
        <v>463.5090909090909</v>
      </c>
      <c r="F9" s="34">
        <v>171.23636363636365</v>
      </c>
      <c r="G9" s="34">
        <v>34704.181818181816</v>
      </c>
      <c r="H9" s="34">
        <v>153484.0</v>
      </c>
      <c r="I9" s="34">
        <v>25493.0</v>
      </c>
      <c r="J9" s="34">
        <v>14601.0</v>
      </c>
      <c r="K9" s="34">
        <v>9418.0</v>
      </c>
      <c r="L9" s="34">
        <v>1908730.0</v>
      </c>
    </row>
    <row r="10">
      <c r="A10" s="36" t="s">
        <v>446</v>
      </c>
      <c r="B10" s="36"/>
      <c r="C10" s="37">
        <v>2754.8793103448274</v>
      </c>
      <c r="D10" s="37">
        <v>265.5689655172414</v>
      </c>
      <c r="E10" s="37">
        <v>457.8103448275862</v>
      </c>
      <c r="F10" s="37">
        <v>170.20689655172413</v>
      </c>
      <c r="G10" s="37">
        <v>34247.51724137931</v>
      </c>
      <c r="H10" s="37">
        <v>159783.0</v>
      </c>
      <c r="I10" s="37">
        <v>26553.0</v>
      </c>
      <c r="J10" s="37">
        <v>15403.0</v>
      </c>
      <c r="K10" s="37">
        <v>9872.0</v>
      </c>
      <c r="L10" s="37">
        <v>1986356.0</v>
      </c>
    </row>
    <row r="11">
      <c r="A11" s="35" t="s">
        <v>372</v>
      </c>
      <c r="B11" s="92" t="s">
        <v>411</v>
      </c>
      <c r="C11" s="34">
        <v>1722.5</v>
      </c>
      <c r="D11" s="34">
        <v>258.0</v>
      </c>
      <c r="E11" s="34">
        <v>506.0</v>
      </c>
      <c r="F11" s="34">
        <v>109.75</v>
      </c>
      <c r="G11" s="34">
        <v>25905.5</v>
      </c>
      <c r="H11" s="34">
        <v>6890.0</v>
      </c>
      <c r="I11" s="34">
        <v>2024.0</v>
      </c>
      <c r="J11" s="34">
        <v>1032.0</v>
      </c>
      <c r="K11" s="34">
        <v>439.0</v>
      </c>
      <c r="L11" s="34">
        <v>103622.0</v>
      </c>
    </row>
    <row r="12">
      <c r="A12" s="35"/>
      <c r="B12" s="92" t="s">
        <v>412</v>
      </c>
      <c r="C12" s="34">
        <v>2800.8888888888887</v>
      </c>
      <c r="D12" s="34">
        <v>246.57142857142858</v>
      </c>
      <c r="E12" s="34">
        <v>490.23809523809524</v>
      </c>
      <c r="F12" s="34">
        <v>152.26984126984127</v>
      </c>
      <c r="G12" s="34">
        <v>34324.30158730159</v>
      </c>
      <c r="H12" s="34">
        <v>176456.0</v>
      </c>
      <c r="I12" s="34">
        <v>30885.0</v>
      </c>
      <c r="J12" s="34">
        <v>15534.0</v>
      </c>
      <c r="K12" s="34">
        <v>9593.0</v>
      </c>
      <c r="L12" s="34">
        <v>2162431.0</v>
      </c>
    </row>
    <row r="13">
      <c r="A13" s="36" t="s">
        <v>447</v>
      </c>
      <c r="B13" s="36"/>
      <c r="C13" s="37">
        <v>2736.507462686567</v>
      </c>
      <c r="D13" s="37">
        <v>247.2537313432836</v>
      </c>
      <c r="E13" s="37">
        <v>491.17910447761193</v>
      </c>
      <c r="F13" s="37">
        <v>149.73134328358208</v>
      </c>
      <c r="G13" s="37">
        <v>33821.68656716418</v>
      </c>
      <c r="H13" s="37">
        <v>183346.0</v>
      </c>
      <c r="I13" s="37">
        <v>32909.0</v>
      </c>
      <c r="J13" s="37">
        <v>16566.0</v>
      </c>
      <c r="K13" s="37">
        <v>10032.0</v>
      </c>
      <c r="L13" s="37">
        <v>2266053.0</v>
      </c>
    </row>
    <row r="14">
      <c r="A14" s="35" t="s">
        <v>365</v>
      </c>
      <c r="B14" s="92" t="s">
        <v>411</v>
      </c>
      <c r="C14" s="34">
        <v>4494.0</v>
      </c>
      <c r="D14" s="34">
        <v>45.0</v>
      </c>
      <c r="E14" s="34">
        <v>717.0</v>
      </c>
      <c r="F14" s="34">
        <v>191.0</v>
      </c>
      <c r="G14" s="34">
        <v>62916.0</v>
      </c>
      <c r="H14" s="34">
        <v>4494.0</v>
      </c>
      <c r="I14" s="34">
        <v>717.0</v>
      </c>
      <c r="J14" s="34">
        <v>45.0</v>
      </c>
      <c r="K14" s="34">
        <v>191.0</v>
      </c>
      <c r="L14" s="34">
        <v>62916.0</v>
      </c>
    </row>
    <row r="15">
      <c r="A15" s="35"/>
      <c r="B15" s="92" t="s">
        <v>412</v>
      </c>
      <c r="C15" s="34">
        <v>2857.425531914894</v>
      </c>
      <c r="D15" s="34">
        <v>255.53191489361703</v>
      </c>
      <c r="E15" s="34">
        <v>475.2340425531915</v>
      </c>
      <c r="F15" s="34">
        <v>132.82978723404256</v>
      </c>
      <c r="G15" s="34">
        <v>37943.744680851065</v>
      </c>
      <c r="H15" s="34">
        <v>134299.0</v>
      </c>
      <c r="I15" s="34">
        <v>22336.0</v>
      </c>
      <c r="J15" s="34">
        <v>12010.0</v>
      </c>
      <c r="K15" s="34">
        <v>6243.0</v>
      </c>
      <c r="L15" s="34">
        <v>1783356.0</v>
      </c>
    </row>
    <row r="16">
      <c r="A16" s="36" t="s">
        <v>448</v>
      </c>
      <c r="B16" s="36"/>
      <c r="C16" s="37">
        <v>2891.5208333333335</v>
      </c>
      <c r="D16" s="37">
        <v>251.14583333333334</v>
      </c>
      <c r="E16" s="37">
        <v>480.2708333333333</v>
      </c>
      <c r="F16" s="37">
        <v>134.04166666666666</v>
      </c>
      <c r="G16" s="37">
        <v>38464.0</v>
      </c>
      <c r="H16" s="37">
        <v>138793.0</v>
      </c>
      <c r="I16" s="37">
        <v>23053.0</v>
      </c>
      <c r="J16" s="37">
        <v>12055.0</v>
      </c>
      <c r="K16" s="37">
        <v>6434.0</v>
      </c>
      <c r="L16" s="37">
        <v>1846272.0</v>
      </c>
    </row>
    <row r="17">
      <c r="A17" s="38" t="s">
        <v>387</v>
      </c>
      <c r="B17" s="39"/>
      <c r="C17" s="40">
        <v>2733.3033333333333</v>
      </c>
      <c r="D17" s="40">
        <v>249.50333333333333</v>
      </c>
      <c r="E17" s="40">
        <v>476.4166666666667</v>
      </c>
      <c r="F17" s="40">
        <v>151.22</v>
      </c>
      <c r="G17" s="40">
        <v>34647.176666666666</v>
      </c>
      <c r="H17" s="40">
        <v>819991.0</v>
      </c>
      <c r="I17" s="40">
        <v>142925.0</v>
      </c>
      <c r="J17" s="40">
        <v>74851.0</v>
      </c>
      <c r="K17" s="40">
        <v>45366.0</v>
      </c>
      <c r="L17" s="40">
        <v>1.0394153E7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9" max="9" width="83.5"/>
  </cols>
  <sheetData>
    <row r="1">
      <c r="A1" s="41" t="s">
        <v>358</v>
      </c>
      <c r="B1" s="31" t="s">
        <v>413</v>
      </c>
      <c r="C1" s="31" t="s">
        <v>380</v>
      </c>
      <c r="D1" s="31" t="s">
        <v>414</v>
      </c>
      <c r="E1" s="31" t="s">
        <v>440</v>
      </c>
      <c r="F1" s="31" t="s">
        <v>443</v>
      </c>
      <c r="G1" s="31" t="s">
        <v>388</v>
      </c>
    </row>
    <row r="2">
      <c r="A2" s="42"/>
      <c r="B2" s="34">
        <v>1830608.0</v>
      </c>
      <c r="C2" s="34">
        <v>150160.0</v>
      </c>
      <c r="D2" s="34">
        <v>8339.0</v>
      </c>
      <c r="E2" s="34">
        <v>2681.4285714285716</v>
      </c>
      <c r="F2" s="34">
        <v>32689.428571428572</v>
      </c>
      <c r="G2" s="34">
        <v>148.91071428571428</v>
      </c>
    </row>
    <row r="3">
      <c r="A3" s="42" t="s">
        <v>375</v>
      </c>
      <c r="B3" s="34">
        <v>2464864.0</v>
      </c>
      <c r="C3" s="34">
        <v>187909.0</v>
      </c>
      <c r="D3" s="34">
        <v>10689.0</v>
      </c>
      <c r="E3" s="34">
        <v>2646.605633802817</v>
      </c>
      <c r="F3" s="34">
        <v>34716.394366197186</v>
      </c>
      <c r="G3" s="34">
        <v>150.54929577464787</v>
      </c>
    </row>
    <row r="4">
      <c r="A4" s="42" t="s">
        <v>368</v>
      </c>
      <c r="B4" s="34">
        <v>1986356.0</v>
      </c>
      <c r="C4" s="34">
        <v>159783.0</v>
      </c>
      <c r="D4" s="34">
        <v>9872.0</v>
      </c>
      <c r="E4" s="34">
        <v>2754.8793103448274</v>
      </c>
      <c r="F4" s="34">
        <v>34247.51724137931</v>
      </c>
      <c r="G4" s="34">
        <v>170.20689655172413</v>
      </c>
    </row>
    <row r="5">
      <c r="A5" s="42" t="s">
        <v>372</v>
      </c>
      <c r="B5" s="34">
        <v>2266053.0</v>
      </c>
      <c r="C5" s="34">
        <v>183346.0</v>
      </c>
      <c r="D5" s="34">
        <v>10032.0</v>
      </c>
      <c r="E5" s="34">
        <v>2736.507462686567</v>
      </c>
      <c r="F5" s="34">
        <v>33821.68656716418</v>
      </c>
      <c r="G5" s="34">
        <v>149.73134328358208</v>
      </c>
    </row>
    <row r="6">
      <c r="A6" s="42" t="s">
        <v>365</v>
      </c>
      <c r="B6" s="34">
        <v>1846272.0</v>
      </c>
      <c r="C6" s="34">
        <v>138793.0</v>
      </c>
      <c r="D6" s="34">
        <v>6434.0</v>
      </c>
      <c r="E6" s="34">
        <v>2891.5208333333335</v>
      </c>
      <c r="F6" s="34">
        <v>38464.0</v>
      </c>
      <c r="G6" s="34">
        <v>134.04166666666666</v>
      </c>
    </row>
    <row r="7">
      <c r="A7" s="38" t="s">
        <v>387</v>
      </c>
      <c r="B7" s="40">
        <v>1.0394153E7</v>
      </c>
      <c r="C7" s="40">
        <v>819991.0</v>
      </c>
      <c r="D7" s="40">
        <v>45366.0</v>
      </c>
      <c r="E7" s="40">
        <v>2733.3033333333333</v>
      </c>
      <c r="F7" s="40">
        <v>34647.176666666666</v>
      </c>
      <c r="G7" s="40">
        <v>151.22</v>
      </c>
    </row>
    <row r="11">
      <c r="A11" s="41" t="s">
        <v>358</v>
      </c>
      <c r="B11" s="31" t="s">
        <v>380</v>
      </c>
      <c r="C11" s="31" t="s">
        <v>381</v>
      </c>
      <c r="D11" s="31" t="s">
        <v>382</v>
      </c>
      <c r="E11" s="31" t="s">
        <v>414</v>
      </c>
      <c r="F11" s="93" t="s">
        <v>405</v>
      </c>
      <c r="G11" s="94" t="s">
        <v>449</v>
      </c>
      <c r="H11" s="95" t="s">
        <v>450</v>
      </c>
    </row>
    <row r="12">
      <c r="A12" s="42"/>
      <c r="B12" s="34">
        <v>150160.0</v>
      </c>
      <c r="C12" s="34">
        <v>25550.0</v>
      </c>
      <c r="D12" s="34">
        <v>13113.0</v>
      </c>
      <c r="E12" s="34">
        <v>8339.0</v>
      </c>
      <c r="F12" s="27">
        <f t="shared" ref="F12:F17" si="1">B12 + C12 + D12 + E12
</f>
        <v>197162</v>
      </c>
      <c r="G12" s="28"/>
      <c r="H12" s="28" t="s">
        <v>451</v>
      </c>
    </row>
    <row r="13">
      <c r="A13" s="42" t="s">
        <v>375</v>
      </c>
      <c r="B13" s="34">
        <v>187909.0</v>
      </c>
      <c r="C13" s="34">
        <v>34860.0</v>
      </c>
      <c r="D13" s="34">
        <v>17714.0</v>
      </c>
      <c r="E13" s="34">
        <v>10689.0</v>
      </c>
      <c r="F13" s="27">
        <f t="shared" si="1"/>
        <v>251172</v>
      </c>
      <c r="G13" s="29">
        <v>180000.0</v>
      </c>
      <c r="H13" s="29">
        <f t="shared" ref="H13:H16" si="2">F13 / G13
</f>
        <v>1.3954</v>
      </c>
    </row>
    <row r="14">
      <c r="A14" s="42" t="s">
        <v>368</v>
      </c>
      <c r="B14" s="34">
        <v>159783.0</v>
      </c>
      <c r="C14" s="34">
        <v>26553.0</v>
      </c>
      <c r="D14" s="34">
        <v>15403.0</v>
      </c>
      <c r="E14" s="34">
        <v>9872.0</v>
      </c>
      <c r="F14" s="27">
        <f t="shared" si="1"/>
        <v>211611</v>
      </c>
      <c r="G14" s="29">
        <v>200000.0</v>
      </c>
      <c r="H14" s="29">
        <f t="shared" si="2"/>
        <v>1.058055</v>
      </c>
    </row>
    <row r="15">
      <c r="A15" s="42" t="s">
        <v>372</v>
      </c>
      <c r="B15" s="34">
        <v>183346.0</v>
      </c>
      <c r="C15" s="34">
        <v>32909.0</v>
      </c>
      <c r="D15" s="34">
        <v>16566.0</v>
      </c>
      <c r="E15" s="34">
        <v>10032.0</v>
      </c>
      <c r="F15" s="27">
        <f t="shared" si="1"/>
        <v>242853</v>
      </c>
      <c r="G15" s="29">
        <v>250000.0</v>
      </c>
      <c r="H15" s="29">
        <f t="shared" si="2"/>
        <v>0.971412</v>
      </c>
    </row>
    <row r="16">
      <c r="A16" s="42" t="s">
        <v>365</v>
      </c>
      <c r="B16" s="34">
        <v>138793.0</v>
      </c>
      <c r="C16" s="34">
        <v>23053.0</v>
      </c>
      <c r="D16" s="34">
        <v>12055.0</v>
      </c>
      <c r="E16" s="34">
        <v>6434.0</v>
      </c>
      <c r="F16" s="27">
        <f t="shared" si="1"/>
        <v>180335</v>
      </c>
      <c r="G16" s="29">
        <v>150000.0</v>
      </c>
      <c r="H16" s="29">
        <f t="shared" si="2"/>
        <v>1.202233333</v>
      </c>
    </row>
    <row r="17">
      <c r="A17" s="38" t="s">
        <v>387</v>
      </c>
      <c r="B17" s="40">
        <v>819991.0</v>
      </c>
      <c r="C17" s="40">
        <v>142925.0</v>
      </c>
      <c r="D17" s="40">
        <v>74851.0</v>
      </c>
      <c r="E17" s="40">
        <v>45366.0</v>
      </c>
      <c r="F17" s="96">
        <f t="shared" si="1"/>
        <v>1083133</v>
      </c>
      <c r="G17" s="28"/>
      <c r="H17" s="28"/>
    </row>
    <row r="23" ht="116.25" customHeight="1">
      <c r="I23" s="97" t="s">
        <v>452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38"/>
    <col customWidth="1" min="9" max="9" width="21.88"/>
  </cols>
  <sheetData>
    <row r="1">
      <c r="A1" s="98" t="s">
        <v>352</v>
      </c>
      <c r="B1" s="11" t="s">
        <v>1</v>
      </c>
      <c r="C1" s="12" t="s">
        <v>353</v>
      </c>
      <c r="D1" s="11" t="s">
        <v>354</v>
      </c>
      <c r="E1" s="12" t="s">
        <v>355</v>
      </c>
      <c r="F1" s="12" t="s">
        <v>356</v>
      </c>
      <c r="G1" s="12" t="s">
        <v>357</v>
      </c>
      <c r="H1" s="99" t="s">
        <v>358</v>
      </c>
      <c r="I1" s="25" t="s">
        <v>408</v>
      </c>
    </row>
    <row r="2">
      <c r="A2" s="100">
        <v>45446.0</v>
      </c>
      <c r="B2" s="14" t="s">
        <v>27</v>
      </c>
      <c r="C2" s="15">
        <v>1135.0</v>
      </c>
      <c r="D2" s="15">
        <v>88.0</v>
      </c>
      <c r="E2" s="15">
        <v>344084.0</v>
      </c>
      <c r="F2" s="15">
        <v>8.06</v>
      </c>
      <c r="G2" s="15">
        <v>5904.0</v>
      </c>
      <c r="H2" s="28" t="str">
        <f t="shared" ref="H2:H82" si="1">IF(AND(A2&gt;=DATE(2024,6,15),A2&lt;=DATE(2024,7,15)),"SummerSplash",
IF(AND(A2&gt;=DATE(2024,10,1),A2&lt;=DATE(2024,10,31)),"FestiveRadiance",
IF(AND(A2&gt;=DATE(2024,12,25),A2&lt;=DATE(2025,1,10)),"NewYearRefresh",
IF(AND(A2&gt;=DATE(2025,3,1),A2&lt;=DATE(2025,3,31)),"DailyWellness",
"No Campaign"))))
</f>
        <v>No Campaign</v>
      </c>
      <c r="I2" s="28" t="str">
        <f t="shared" ref="I2:I201" si="2">IF(
   A2 &lt; MIN(DATE(2024,6,15), DATE(2024,10,1), DATE(2024,12,25), DATE(2025,3,1)),
   "Before Campaign",
   IF(
      OR(
         AND(A2&gt;=DATE(2024,6,15), A2&lt;=DATE(2024,7,15)),
         AND(A2&gt;=DATE(2024,10,1), A2&lt;=DATE(2024,10,31)),
         AND(A2&gt;=DATE(2024,12,25), A2&lt;=DATE(2025,1,10)),
         AND(A2&gt;=DATE(2025,3,1), A2&lt;=DATE(2025,3,31))
      ),
      "During Campaign",
      IF(
         A2 &gt; MAX(DATE(2024,7,15), DATE(2024,10,31), DATE(2025,1,10), DATE(2025,3,31)),
         "After Campaign",
         "No Campaign"
      )
   )
)
</f>
        <v>Before Campaign</v>
      </c>
    </row>
    <row r="3">
      <c r="A3" s="100">
        <v>45446.0</v>
      </c>
      <c r="B3" s="14" t="s">
        <v>33</v>
      </c>
      <c r="C3" s="15">
        <v>1312.0</v>
      </c>
      <c r="D3" s="15">
        <v>310.0</v>
      </c>
      <c r="E3" s="15">
        <v>42654.0</v>
      </c>
      <c r="F3" s="15">
        <v>4.98</v>
      </c>
      <c r="G3" s="15">
        <v>9566.0</v>
      </c>
      <c r="H3" s="28" t="str">
        <f t="shared" si="1"/>
        <v>No Campaign</v>
      </c>
      <c r="I3" s="28" t="str">
        <f t="shared" si="2"/>
        <v>Before Campaign</v>
      </c>
    </row>
    <row r="4">
      <c r="A4" s="100">
        <v>45446.0</v>
      </c>
      <c r="B4" s="14" t="s">
        <v>13</v>
      </c>
      <c r="C4" s="15">
        <v>584.0</v>
      </c>
      <c r="D4" s="15">
        <v>169.0</v>
      </c>
      <c r="E4" s="15">
        <v>146834.0</v>
      </c>
      <c r="F4" s="15">
        <v>8.31</v>
      </c>
      <c r="G4" s="15">
        <v>26752.0</v>
      </c>
      <c r="H4" s="28" t="str">
        <f t="shared" si="1"/>
        <v>No Campaign</v>
      </c>
      <c r="I4" s="28" t="str">
        <f t="shared" si="2"/>
        <v>Before Campaign</v>
      </c>
    </row>
    <row r="5">
      <c r="A5" s="100">
        <v>45446.0</v>
      </c>
      <c r="B5" s="14" t="s">
        <v>24</v>
      </c>
      <c r="C5" s="15">
        <v>1535.0</v>
      </c>
      <c r="D5" s="15">
        <v>445.0</v>
      </c>
      <c r="E5" s="15">
        <v>395536.0</v>
      </c>
      <c r="F5" s="15">
        <v>4.11</v>
      </c>
      <c r="G5" s="15">
        <v>30671.0</v>
      </c>
      <c r="H5" s="28" t="str">
        <f t="shared" si="1"/>
        <v>No Campaign</v>
      </c>
      <c r="I5" s="28" t="str">
        <f t="shared" si="2"/>
        <v>Before Campaign</v>
      </c>
    </row>
    <row r="6">
      <c r="A6" s="100">
        <v>45453.0</v>
      </c>
      <c r="B6" s="14" t="s">
        <v>27</v>
      </c>
      <c r="C6" s="15">
        <v>656.0</v>
      </c>
      <c r="D6" s="15">
        <v>139.0</v>
      </c>
      <c r="E6" s="15">
        <v>49157.0</v>
      </c>
      <c r="F6" s="15">
        <v>9.05</v>
      </c>
      <c r="G6" s="15">
        <v>9920.0</v>
      </c>
      <c r="H6" s="28" t="str">
        <f t="shared" si="1"/>
        <v>No Campaign</v>
      </c>
      <c r="I6" s="28" t="str">
        <f t="shared" si="2"/>
        <v>Before Campaign</v>
      </c>
    </row>
    <row r="7">
      <c r="A7" s="100">
        <v>45453.0</v>
      </c>
      <c r="B7" s="14" t="s">
        <v>33</v>
      </c>
      <c r="C7" s="15">
        <v>1697.0</v>
      </c>
      <c r="D7" s="15">
        <v>414.0</v>
      </c>
      <c r="E7" s="15">
        <v>316555.0</v>
      </c>
      <c r="F7" s="15">
        <v>2.37</v>
      </c>
      <c r="G7" s="15">
        <v>7924.0</v>
      </c>
      <c r="H7" s="28" t="str">
        <f t="shared" si="1"/>
        <v>No Campaign</v>
      </c>
      <c r="I7" s="28" t="str">
        <f t="shared" si="2"/>
        <v>Before Campaign</v>
      </c>
    </row>
    <row r="8">
      <c r="A8" s="100">
        <v>45453.0</v>
      </c>
      <c r="B8" s="14" t="s">
        <v>13</v>
      </c>
      <c r="C8" s="15">
        <v>436.0</v>
      </c>
      <c r="D8" s="15">
        <v>250.0</v>
      </c>
      <c r="E8" s="15">
        <v>254347.0</v>
      </c>
      <c r="F8" s="15">
        <v>4.01</v>
      </c>
      <c r="G8" s="15">
        <v>8912.0</v>
      </c>
      <c r="H8" s="28" t="str">
        <f t="shared" si="1"/>
        <v>No Campaign</v>
      </c>
      <c r="I8" s="28" t="str">
        <f t="shared" si="2"/>
        <v>Before Campaign</v>
      </c>
    </row>
    <row r="9">
      <c r="A9" s="100">
        <v>45453.0</v>
      </c>
      <c r="B9" s="14" t="s">
        <v>24</v>
      </c>
      <c r="C9" s="15">
        <v>1197.0</v>
      </c>
      <c r="D9" s="15">
        <v>203.0</v>
      </c>
      <c r="E9" s="15">
        <v>413878.0</v>
      </c>
      <c r="F9" s="15">
        <v>3.16</v>
      </c>
      <c r="G9" s="15">
        <v>21205.0</v>
      </c>
      <c r="H9" s="28" t="str">
        <f t="shared" si="1"/>
        <v>No Campaign</v>
      </c>
      <c r="I9" s="28" t="str">
        <f t="shared" si="2"/>
        <v>Before Campaign</v>
      </c>
    </row>
    <row r="10">
      <c r="A10" s="100">
        <v>45460.0</v>
      </c>
      <c r="B10" s="14" t="s">
        <v>27</v>
      </c>
      <c r="C10" s="15">
        <v>1048.0</v>
      </c>
      <c r="D10" s="15">
        <v>155.0</v>
      </c>
      <c r="E10" s="15">
        <v>456946.0</v>
      </c>
      <c r="F10" s="15">
        <v>2.46</v>
      </c>
      <c r="G10" s="15">
        <v>11329.0</v>
      </c>
      <c r="H10" s="28" t="str">
        <f t="shared" si="1"/>
        <v>SummerSplash</v>
      </c>
      <c r="I10" s="28" t="str">
        <f t="shared" si="2"/>
        <v>During Campaign</v>
      </c>
    </row>
    <row r="11">
      <c r="A11" s="100">
        <v>45460.0</v>
      </c>
      <c r="B11" s="14" t="s">
        <v>33</v>
      </c>
      <c r="C11" s="15">
        <v>1753.0</v>
      </c>
      <c r="D11" s="15">
        <v>371.0</v>
      </c>
      <c r="E11" s="15">
        <v>169496.0</v>
      </c>
      <c r="F11" s="15">
        <v>8.11</v>
      </c>
      <c r="G11" s="15">
        <v>46670.0</v>
      </c>
      <c r="H11" s="28" t="str">
        <f t="shared" si="1"/>
        <v>SummerSplash</v>
      </c>
      <c r="I11" s="28" t="str">
        <f t="shared" si="2"/>
        <v>During Campaign</v>
      </c>
    </row>
    <row r="12">
      <c r="A12" s="100">
        <v>45460.0</v>
      </c>
      <c r="B12" s="14" t="s">
        <v>13</v>
      </c>
      <c r="C12" s="15">
        <v>1335.0</v>
      </c>
      <c r="D12" s="15">
        <v>40.0</v>
      </c>
      <c r="E12" s="15">
        <v>122732.0</v>
      </c>
      <c r="F12" s="15">
        <v>8.19</v>
      </c>
      <c r="G12" s="15">
        <v>22482.0</v>
      </c>
      <c r="H12" s="28" t="str">
        <f t="shared" si="1"/>
        <v>SummerSplash</v>
      </c>
      <c r="I12" s="28" t="str">
        <f t="shared" si="2"/>
        <v>During Campaign</v>
      </c>
    </row>
    <row r="13">
      <c r="A13" s="100">
        <v>45460.0</v>
      </c>
      <c r="B13" s="14" t="s">
        <v>24</v>
      </c>
      <c r="C13" s="15">
        <v>403.0</v>
      </c>
      <c r="D13" s="15">
        <v>66.0</v>
      </c>
      <c r="E13" s="15">
        <v>382851.0</v>
      </c>
      <c r="F13" s="15">
        <v>3.49</v>
      </c>
      <c r="G13" s="15">
        <v>24313.0</v>
      </c>
      <c r="H13" s="28" t="str">
        <f t="shared" si="1"/>
        <v>SummerSplash</v>
      </c>
      <c r="I13" s="28" t="str">
        <f t="shared" si="2"/>
        <v>During Campaign</v>
      </c>
    </row>
    <row r="14">
      <c r="A14" s="100">
        <v>45467.0</v>
      </c>
      <c r="B14" s="14" t="s">
        <v>27</v>
      </c>
      <c r="C14" s="15">
        <v>911.0</v>
      </c>
      <c r="D14" s="15">
        <v>282.0</v>
      </c>
      <c r="E14" s="15">
        <v>35664.0</v>
      </c>
      <c r="F14" s="15">
        <v>6.92</v>
      </c>
      <c r="G14" s="15">
        <v>18050.0</v>
      </c>
      <c r="H14" s="28" t="str">
        <f t="shared" si="1"/>
        <v>SummerSplash</v>
      </c>
      <c r="I14" s="28" t="str">
        <f t="shared" si="2"/>
        <v>During Campaign</v>
      </c>
    </row>
    <row r="15">
      <c r="A15" s="100">
        <v>45467.0</v>
      </c>
      <c r="B15" s="14" t="s">
        <v>33</v>
      </c>
      <c r="C15" s="15">
        <v>1779.0</v>
      </c>
      <c r="D15" s="15">
        <v>109.0</v>
      </c>
      <c r="E15" s="15">
        <v>26295.0</v>
      </c>
      <c r="F15" s="15">
        <v>9.12</v>
      </c>
      <c r="G15" s="15">
        <v>30635.0</v>
      </c>
      <c r="H15" s="28" t="str">
        <f t="shared" si="1"/>
        <v>SummerSplash</v>
      </c>
      <c r="I15" s="28" t="str">
        <f t="shared" si="2"/>
        <v>During Campaign</v>
      </c>
    </row>
    <row r="16">
      <c r="A16" s="100">
        <v>45467.0</v>
      </c>
      <c r="B16" s="14" t="s">
        <v>13</v>
      </c>
      <c r="C16" s="15">
        <v>1238.0</v>
      </c>
      <c r="D16" s="15">
        <v>403.0</v>
      </c>
      <c r="E16" s="15">
        <v>298421.0</v>
      </c>
      <c r="F16" s="15">
        <v>3.5</v>
      </c>
      <c r="G16" s="15">
        <v>31280.0</v>
      </c>
      <c r="H16" s="28" t="str">
        <f t="shared" si="1"/>
        <v>SummerSplash</v>
      </c>
      <c r="I16" s="28" t="str">
        <f t="shared" si="2"/>
        <v>During Campaign</v>
      </c>
    </row>
    <row r="17">
      <c r="A17" s="100">
        <v>45467.0</v>
      </c>
      <c r="B17" s="14" t="s">
        <v>24</v>
      </c>
      <c r="C17" s="15">
        <v>308.0</v>
      </c>
      <c r="D17" s="15">
        <v>431.0</v>
      </c>
      <c r="E17" s="15">
        <v>426184.0</v>
      </c>
      <c r="F17" s="15">
        <v>2.62</v>
      </c>
      <c r="G17" s="15">
        <v>1783.0</v>
      </c>
      <c r="H17" s="28" t="str">
        <f t="shared" si="1"/>
        <v>SummerSplash</v>
      </c>
      <c r="I17" s="28" t="str">
        <f t="shared" si="2"/>
        <v>During Campaign</v>
      </c>
    </row>
    <row r="18">
      <c r="A18" s="100">
        <v>45474.0</v>
      </c>
      <c r="B18" s="14" t="s">
        <v>27</v>
      </c>
      <c r="C18" s="15">
        <v>226.0</v>
      </c>
      <c r="D18" s="15">
        <v>445.0</v>
      </c>
      <c r="E18" s="15">
        <v>419447.0</v>
      </c>
      <c r="F18" s="15">
        <v>9.36</v>
      </c>
      <c r="G18" s="15">
        <v>9566.0</v>
      </c>
      <c r="H18" s="28" t="str">
        <f t="shared" si="1"/>
        <v>SummerSplash</v>
      </c>
      <c r="I18" s="28" t="str">
        <f t="shared" si="2"/>
        <v>During Campaign</v>
      </c>
    </row>
    <row r="19">
      <c r="A19" s="100">
        <v>45474.0</v>
      </c>
      <c r="B19" s="14" t="s">
        <v>33</v>
      </c>
      <c r="C19" s="15">
        <v>505.0</v>
      </c>
      <c r="D19" s="15">
        <v>441.0</v>
      </c>
      <c r="E19" s="15">
        <v>220020.0</v>
      </c>
      <c r="F19" s="15">
        <v>4.48</v>
      </c>
      <c r="G19" s="15">
        <v>42307.0</v>
      </c>
      <c r="H19" s="28" t="str">
        <f t="shared" si="1"/>
        <v>SummerSplash</v>
      </c>
      <c r="I19" s="28" t="str">
        <f t="shared" si="2"/>
        <v>During Campaign</v>
      </c>
    </row>
    <row r="20">
      <c r="A20" s="100">
        <v>45474.0</v>
      </c>
      <c r="B20" s="14" t="s">
        <v>13</v>
      </c>
      <c r="C20" s="15">
        <v>1420.0</v>
      </c>
      <c r="D20" s="15">
        <v>63.0</v>
      </c>
      <c r="E20" s="15">
        <v>315305.0</v>
      </c>
      <c r="F20" s="15">
        <v>6.19</v>
      </c>
      <c r="G20" s="15">
        <v>5914.0</v>
      </c>
      <c r="H20" s="28" t="str">
        <f t="shared" si="1"/>
        <v>SummerSplash</v>
      </c>
      <c r="I20" s="28" t="str">
        <f t="shared" si="2"/>
        <v>During Campaign</v>
      </c>
    </row>
    <row r="21">
      <c r="A21" s="100">
        <v>45474.0</v>
      </c>
      <c r="B21" s="14" t="s">
        <v>24</v>
      </c>
      <c r="C21" s="15">
        <v>144.0</v>
      </c>
      <c r="D21" s="15">
        <v>53.0</v>
      </c>
      <c r="E21" s="15">
        <v>113678.0</v>
      </c>
      <c r="F21" s="15">
        <v>8.72</v>
      </c>
      <c r="G21" s="15">
        <v>30060.0</v>
      </c>
      <c r="H21" s="28" t="str">
        <f t="shared" si="1"/>
        <v>SummerSplash</v>
      </c>
      <c r="I21" s="28" t="str">
        <f t="shared" si="2"/>
        <v>During Campaign</v>
      </c>
    </row>
    <row r="22">
      <c r="A22" s="100">
        <v>45481.0</v>
      </c>
      <c r="B22" s="14" t="s">
        <v>27</v>
      </c>
      <c r="C22" s="15">
        <v>1757.0</v>
      </c>
      <c r="D22" s="15">
        <v>85.0</v>
      </c>
      <c r="E22" s="15">
        <v>58223.0</v>
      </c>
      <c r="F22" s="15">
        <v>8.74</v>
      </c>
      <c r="G22" s="15">
        <v>22728.0</v>
      </c>
      <c r="H22" s="28" t="str">
        <f t="shared" si="1"/>
        <v>SummerSplash</v>
      </c>
      <c r="I22" s="28" t="str">
        <f t="shared" si="2"/>
        <v>During Campaign</v>
      </c>
    </row>
    <row r="23">
      <c r="A23" s="100">
        <v>45481.0</v>
      </c>
      <c r="B23" s="14" t="s">
        <v>33</v>
      </c>
      <c r="C23" s="15">
        <v>350.0</v>
      </c>
      <c r="D23" s="15">
        <v>41.0</v>
      </c>
      <c r="E23" s="15">
        <v>251694.0</v>
      </c>
      <c r="F23" s="15">
        <v>1.91</v>
      </c>
      <c r="G23" s="15">
        <v>38610.0</v>
      </c>
      <c r="H23" s="28" t="str">
        <f t="shared" si="1"/>
        <v>SummerSplash</v>
      </c>
      <c r="I23" s="28" t="str">
        <f t="shared" si="2"/>
        <v>During Campaign</v>
      </c>
    </row>
    <row r="24">
      <c r="A24" s="100">
        <v>45481.0</v>
      </c>
      <c r="B24" s="14" t="s">
        <v>13</v>
      </c>
      <c r="C24" s="15">
        <v>987.0</v>
      </c>
      <c r="D24" s="15">
        <v>440.0</v>
      </c>
      <c r="E24" s="15">
        <v>389810.0</v>
      </c>
      <c r="F24" s="15">
        <v>4.66</v>
      </c>
      <c r="G24" s="15">
        <v>2932.0</v>
      </c>
      <c r="H24" s="28" t="str">
        <f t="shared" si="1"/>
        <v>SummerSplash</v>
      </c>
      <c r="I24" s="28" t="str">
        <f t="shared" si="2"/>
        <v>During Campaign</v>
      </c>
    </row>
    <row r="25">
      <c r="A25" s="100">
        <v>45481.0</v>
      </c>
      <c r="B25" s="14" t="s">
        <v>24</v>
      </c>
      <c r="C25" s="15">
        <v>883.0</v>
      </c>
      <c r="D25" s="15">
        <v>369.0</v>
      </c>
      <c r="E25" s="15">
        <v>233694.0</v>
      </c>
      <c r="F25" s="15">
        <v>2.88</v>
      </c>
      <c r="G25" s="15">
        <v>15071.0</v>
      </c>
      <c r="H25" s="28" t="str">
        <f t="shared" si="1"/>
        <v>SummerSplash</v>
      </c>
      <c r="I25" s="28" t="str">
        <f t="shared" si="2"/>
        <v>During Campaign</v>
      </c>
    </row>
    <row r="26">
      <c r="A26" s="100">
        <v>45488.0</v>
      </c>
      <c r="B26" s="14" t="s">
        <v>27</v>
      </c>
      <c r="C26" s="15">
        <v>1960.0</v>
      </c>
      <c r="D26" s="15">
        <v>115.0</v>
      </c>
      <c r="E26" s="15">
        <v>154169.0</v>
      </c>
      <c r="F26" s="15">
        <v>3.74</v>
      </c>
      <c r="G26" s="15">
        <v>10740.0</v>
      </c>
      <c r="H26" s="28" t="str">
        <f t="shared" si="1"/>
        <v>SummerSplash</v>
      </c>
      <c r="I26" s="28" t="str">
        <f t="shared" si="2"/>
        <v>During Campaign</v>
      </c>
    </row>
    <row r="27">
      <c r="A27" s="100">
        <v>45488.0</v>
      </c>
      <c r="B27" s="14" t="s">
        <v>33</v>
      </c>
      <c r="C27" s="15">
        <v>170.0</v>
      </c>
      <c r="D27" s="15">
        <v>334.0</v>
      </c>
      <c r="E27" s="15">
        <v>334626.0</v>
      </c>
      <c r="F27" s="15">
        <v>6.44</v>
      </c>
      <c r="G27" s="15">
        <v>43420.0</v>
      </c>
      <c r="H27" s="28" t="str">
        <f t="shared" si="1"/>
        <v>SummerSplash</v>
      </c>
      <c r="I27" s="28" t="str">
        <f t="shared" si="2"/>
        <v>During Campaign</v>
      </c>
    </row>
    <row r="28">
      <c r="A28" s="100">
        <v>45488.0</v>
      </c>
      <c r="B28" s="14" t="s">
        <v>13</v>
      </c>
      <c r="C28" s="15">
        <v>704.0</v>
      </c>
      <c r="D28" s="15">
        <v>275.0</v>
      </c>
      <c r="E28" s="15">
        <v>226002.0</v>
      </c>
      <c r="F28" s="15">
        <v>8.56</v>
      </c>
      <c r="G28" s="15">
        <v>32393.0</v>
      </c>
      <c r="H28" s="28" t="str">
        <f t="shared" si="1"/>
        <v>SummerSplash</v>
      </c>
      <c r="I28" s="28" t="str">
        <f t="shared" si="2"/>
        <v>During Campaign</v>
      </c>
    </row>
    <row r="29">
      <c r="A29" s="100">
        <v>45488.0</v>
      </c>
      <c r="B29" s="14" t="s">
        <v>24</v>
      </c>
      <c r="C29" s="15">
        <v>224.0</v>
      </c>
      <c r="D29" s="15">
        <v>64.0</v>
      </c>
      <c r="E29" s="15">
        <v>156683.0</v>
      </c>
      <c r="F29" s="15">
        <v>4.56</v>
      </c>
      <c r="G29" s="15">
        <v>28474.0</v>
      </c>
      <c r="H29" s="28" t="str">
        <f t="shared" si="1"/>
        <v>SummerSplash</v>
      </c>
      <c r="I29" s="28" t="str">
        <f t="shared" si="2"/>
        <v>During Campaign</v>
      </c>
    </row>
    <row r="30">
      <c r="A30" s="100">
        <v>45495.0</v>
      </c>
      <c r="B30" s="14" t="s">
        <v>27</v>
      </c>
      <c r="C30" s="15">
        <v>508.0</v>
      </c>
      <c r="D30" s="15">
        <v>349.0</v>
      </c>
      <c r="E30" s="15">
        <v>473812.0</v>
      </c>
      <c r="F30" s="15">
        <v>7.88</v>
      </c>
      <c r="G30" s="15">
        <v>17328.0</v>
      </c>
      <c r="H30" s="28" t="str">
        <f t="shared" si="1"/>
        <v>No Campaign</v>
      </c>
      <c r="I30" s="28" t="str">
        <f t="shared" si="2"/>
        <v>No Campaign</v>
      </c>
    </row>
    <row r="31">
      <c r="A31" s="100">
        <v>45495.0</v>
      </c>
      <c r="B31" s="14" t="s">
        <v>33</v>
      </c>
      <c r="C31" s="15">
        <v>1391.0</v>
      </c>
      <c r="D31" s="15">
        <v>430.0</v>
      </c>
      <c r="E31" s="15">
        <v>295032.0</v>
      </c>
      <c r="F31" s="15">
        <v>7.86</v>
      </c>
      <c r="G31" s="15">
        <v>26067.0</v>
      </c>
      <c r="H31" s="28" t="str">
        <f t="shared" si="1"/>
        <v>No Campaign</v>
      </c>
      <c r="I31" s="28" t="str">
        <f t="shared" si="2"/>
        <v>No Campaign</v>
      </c>
    </row>
    <row r="32">
      <c r="A32" s="100">
        <v>45495.0</v>
      </c>
      <c r="B32" s="14" t="s">
        <v>13</v>
      </c>
      <c r="C32" s="15">
        <v>1701.0</v>
      </c>
      <c r="D32" s="15">
        <v>385.0</v>
      </c>
      <c r="E32" s="15">
        <v>198278.0</v>
      </c>
      <c r="F32" s="15">
        <v>5.34</v>
      </c>
      <c r="G32" s="15">
        <v>32763.0</v>
      </c>
      <c r="H32" s="28" t="str">
        <f t="shared" si="1"/>
        <v>No Campaign</v>
      </c>
      <c r="I32" s="28" t="str">
        <f t="shared" si="2"/>
        <v>No Campaign</v>
      </c>
    </row>
    <row r="33">
      <c r="A33" s="100">
        <v>45495.0</v>
      </c>
      <c r="B33" s="14" t="s">
        <v>24</v>
      </c>
      <c r="C33" s="15">
        <v>804.0</v>
      </c>
      <c r="D33" s="15">
        <v>487.0</v>
      </c>
      <c r="E33" s="15">
        <v>306564.0</v>
      </c>
      <c r="F33" s="15">
        <v>5.52</v>
      </c>
      <c r="G33" s="15">
        <v>26452.0</v>
      </c>
      <c r="H33" s="28" t="str">
        <f t="shared" si="1"/>
        <v>No Campaign</v>
      </c>
      <c r="I33" s="28" t="str">
        <f t="shared" si="2"/>
        <v>No Campaign</v>
      </c>
    </row>
    <row r="34">
      <c r="A34" s="100">
        <v>45502.0</v>
      </c>
      <c r="B34" s="14" t="s">
        <v>27</v>
      </c>
      <c r="C34" s="15">
        <v>653.0</v>
      </c>
      <c r="D34" s="15">
        <v>112.0</v>
      </c>
      <c r="E34" s="15">
        <v>23664.0</v>
      </c>
      <c r="F34" s="15">
        <v>4.05</v>
      </c>
      <c r="G34" s="15">
        <v>15353.0</v>
      </c>
      <c r="H34" s="28" t="str">
        <f t="shared" si="1"/>
        <v>No Campaign</v>
      </c>
      <c r="I34" s="28" t="str">
        <f t="shared" si="2"/>
        <v>No Campaign</v>
      </c>
    </row>
    <row r="35">
      <c r="A35" s="100">
        <v>45502.0</v>
      </c>
      <c r="B35" s="14" t="s">
        <v>33</v>
      </c>
      <c r="C35" s="15">
        <v>160.0</v>
      </c>
      <c r="D35" s="15">
        <v>478.0</v>
      </c>
      <c r="E35" s="15">
        <v>435034.0</v>
      </c>
      <c r="F35" s="15">
        <v>7.73</v>
      </c>
      <c r="G35" s="15">
        <v>4839.0</v>
      </c>
      <c r="H35" s="28" t="str">
        <f t="shared" si="1"/>
        <v>No Campaign</v>
      </c>
      <c r="I35" s="28" t="str">
        <f t="shared" si="2"/>
        <v>No Campaign</v>
      </c>
    </row>
    <row r="36">
      <c r="A36" s="100">
        <v>45502.0</v>
      </c>
      <c r="B36" s="14" t="s">
        <v>13</v>
      </c>
      <c r="C36" s="15">
        <v>1756.0</v>
      </c>
      <c r="D36" s="15">
        <v>261.0</v>
      </c>
      <c r="E36" s="15">
        <v>287574.0</v>
      </c>
      <c r="F36" s="15">
        <v>4.36</v>
      </c>
      <c r="G36" s="15">
        <v>39272.0</v>
      </c>
      <c r="H36" s="28" t="str">
        <f t="shared" si="1"/>
        <v>No Campaign</v>
      </c>
      <c r="I36" s="28" t="str">
        <f t="shared" si="2"/>
        <v>No Campaign</v>
      </c>
    </row>
    <row r="37">
      <c r="A37" s="100">
        <v>45502.0</v>
      </c>
      <c r="B37" s="14" t="s">
        <v>24</v>
      </c>
      <c r="C37" s="15">
        <v>576.0</v>
      </c>
      <c r="D37" s="15">
        <v>101.0</v>
      </c>
      <c r="E37" s="15">
        <v>62499.0</v>
      </c>
      <c r="F37" s="15">
        <v>3.48</v>
      </c>
      <c r="G37" s="15">
        <v>16804.0</v>
      </c>
      <c r="H37" s="28" t="str">
        <f t="shared" si="1"/>
        <v>No Campaign</v>
      </c>
      <c r="I37" s="28" t="str">
        <f t="shared" si="2"/>
        <v>No Campaign</v>
      </c>
    </row>
    <row r="38">
      <c r="A38" s="100">
        <v>45509.0</v>
      </c>
      <c r="B38" s="14" t="s">
        <v>27</v>
      </c>
      <c r="C38" s="15">
        <v>645.0</v>
      </c>
      <c r="D38" s="15">
        <v>293.0</v>
      </c>
      <c r="E38" s="15">
        <v>437968.0</v>
      </c>
      <c r="F38" s="15">
        <v>7.83</v>
      </c>
      <c r="G38" s="15">
        <v>49303.0</v>
      </c>
      <c r="H38" s="28" t="str">
        <f t="shared" si="1"/>
        <v>No Campaign</v>
      </c>
      <c r="I38" s="28" t="str">
        <f t="shared" si="2"/>
        <v>No Campaign</v>
      </c>
    </row>
    <row r="39">
      <c r="A39" s="100">
        <v>45509.0</v>
      </c>
      <c r="B39" s="14" t="s">
        <v>33</v>
      </c>
      <c r="C39" s="15">
        <v>214.0</v>
      </c>
      <c r="D39" s="15">
        <v>411.0</v>
      </c>
      <c r="E39" s="15">
        <v>125034.0</v>
      </c>
      <c r="F39" s="15">
        <v>6.11</v>
      </c>
      <c r="G39" s="15">
        <v>26455.0</v>
      </c>
      <c r="H39" s="28" t="str">
        <f t="shared" si="1"/>
        <v>No Campaign</v>
      </c>
      <c r="I39" s="28" t="str">
        <f t="shared" si="2"/>
        <v>No Campaign</v>
      </c>
    </row>
    <row r="40">
      <c r="A40" s="100">
        <v>45509.0</v>
      </c>
      <c r="B40" s="14" t="s">
        <v>13</v>
      </c>
      <c r="C40" s="15">
        <v>826.0</v>
      </c>
      <c r="D40" s="15">
        <v>498.0</v>
      </c>
      <c r="E40" s="15">
        <v>449994.0</v>
      </c>
      <c r="F40" s="15">
        <v>9.43</v>
      </c>
      <c r="G40" s="15">
        <v>12384.0</v>
      </c>
      <c r="H40" s="28" t="str">
        <f t="shared" si="1"/>
        <v>No Campaign</v>
      </c>
      <c r="I40" s="28" t="str">
        <f t="shared" si="2"/>
        <v>No Campaign</v>
      </c>
    </row>
    <row r="41">
      <c r="A41" s="100">
        <v>45509.0</v>
      </c>
      <c r="B41" s="14" t="s">
        <v>24</v>
      </c>
      <c r="C41" s="15">
        <v>460.0</v>
      </c>
      <c r="D41" s="15">
        <v>141.0</v>
      </c>
      <c r="E41" s="15">
        <v>320650.0</v>
      </c>
      <c r="F41" s="15">
        <v>4.04</v>
      </c>
      <c r="G41" s="15">
        <v>49372.0</v>
      </c>
      <c r="H41" s="28" t="str">
        <f t="shared" si="1"/>
        <v>No Campaign</v>
      </c>
      <c r="I41" s="28" t="str">
        <f t="shared" si="2"/>
        <v>No Campaign</v>
      </c>
    </row>
    <row r="42">
      <c r="A42" s="100">
        <v>45516.0</v>
      </c>
      <c r="B42" s="14" t="s">
        <v>27</v>
      </c>
      <c r="C42" s="15">
        <v>1528.0</v>
      </c>
      <c r="D42" s="15">
        <v>203.0</v>
      </c>
      <c r="E42" s="15">
        <v>489188.0</v>
      </c>
      <c r="F42" s="15">
        <v>6.23</v>
      </c>
      <c r="G42" s="15">
        <v>47101.0</v>
      </c>
      <c r="H42" s="28" t="str">
        <f t="shared" si="1"/>
        <v>No Campaign</v>
      </c>
      <c r="I42" s="28" t="str">
        <f t="shared" si="2"/>
        <v>No Campaign</v>
      </c>
    </row>
    <row r="43">
      <c r="A43" s="100">
        <v>45516.0</v>
      </c>
      <c r="B43" s="14" t="s">
        <v>33</v>
      </c>
      <c r="C43" s="15">
        <v>1534.0</v>
      </c>
      <c r="D43" s="15">
        <v>200.0</v>
      </c>
      <c r="E43" s="15">
        <v>307612.0</v>
      </c>
      <c r="F43" s="15">
        <v>6.01</v>
      </c>
      <c r="G43" s="15">
        <v>37903.0</v>
      </c>
      <c r="H43" s="28" t="str">
        <f t="shared" si="1"/>
        <v>No Campaign</v>
      </c>
      <c r="I43" s="28" t="str">
        <f t="shared" si="2"/>
        <v>No Campaign</v>
      </c>
    </row>
    <row r="44">
      <c r="A44" s="100">
        <v>45516.0</v>
      </c>
      <c r="B44" s="14" t="s">
        <v>13</v>
      </c>
      <c r="C44" s="15">
        <v>485.0</v>
      </c>
      <c r="D44" s="15">
        <v>448.0</v>
      </c>
      <c r="E44" s="15">
        <v>434883.0</v>
      </c>
      <c r="F44" s="15">
        <v>8.55</v>
      </c>
      <c r="G44" s="15">
        <v>33258.0</v>
      </c>
      <c r="H44" s="28" t="str">
        <f t="shared" si="1"/>
        <v>No Campaign</v>
      </c>
      <c r="I44" s="28" t="str">
        <f t="shared" si="2"/>
        <v>No Campaign</v>
      </c>
    </row>
    <row r="45">
      <c r="A45" s="100">
        <v>45516.0</v>
      </c>
      <c r="B45" s="14" t="s">
        <v>24</v>
      </c>
      <c r="C45" s="15">
        <v>1210.0</v>
      </c>
      <c r="D45" s="15">
        <v>178.0</v>
      </c>
      <c r="E45" s="15">
        <v>102042.0</v>
      </c>
      <c r="F45" s="15">
        <v>5.42</v>
      </c>
      <c r="G45" s="15">
        <v>6915.0</v>
      </c>
      <c r="H45" s="28" t="str">
        <f t="shared" si="1"/>
        <v>No Campaign</v>
      </c>
      <c r="I45" s="28" t="str">
        <f t="shared" si="2"/>
        <v>No Campaign</v>
      </c>
    </row>
    <row r="46">
      <c r="A46" s="100">
        <v>45523.0</v>
      </c>
      <c r="B46" s="14" t="s">
        <v>27</v>
      </c>
      <c r="C46" s="15">
        <v>215.0</v>
      </c>
      <c r="D46" s="15">
        <v>139.0</v>
      </c>
      <c r="E46" s="15">
        <v>325444.0</v>
      </c>
      <c r="F46" s="15">
        <v>3.25</v>
      </c>
      <c r="G46" s="15">
        <v>35501.0</v>
      </c>
      <c r="H46" s="28" t="str">
        <f t="shared" si="1"/>
        <v>No Campaign</v>
      </c>
      <c r="I46" s="28" t="str">
        <f t="shared" si="2"/>
        <v>No Campaign</v>
      </c>
    </row>
    <row r="47">
      <c r="A47" s="100">
        <v>45523.0</v>
      </c>
      <c r="B47" s="14" t="s">
        <v>33</v>
      </c>
      <c r="C47" s="15">
        <v>1078.0</v>
      </c>
      <c r="D47" s="15">
        <v>20.0</v>
      </c>
      <c r="E47" s="15">
        <v>183924.0</v>
      </c>
      <c r="F47" s="15">
        <v>8.84</v>
      </c>
      <c r="G47" s="15">
        <v>14203.0</v>
      </c>
      <c r="H47" s="28" t="str">
        <f t="shared" si="1"/>
        <v>No Campaign</v>
      </c>
      <c r="I47" s="28" t="str">
        <f t="shared" si="2"/>
        <v>No Campaign</v>
      </c>
    </row>
    <row r="48">
      <c r="A48" s="100">
        <v>45523.0</v>
      </c>
      <c r="B48" s="14" t="s">
        <v>13</v>
      </c>
      <c r="C48" s="15">
        <v>1751.0</v>
      </c>
      <c r="D48" s="15">
        <v>86.0</v>
      </c>
      <c r="E48" s="15">
        <v>188655.0</v>
      </c>
      <c r="F48" s="15">
        <v>7.24</v>
      </c>
      <c r="G48" s="15">
        <v>22206.0</v>
      </c>
      <c r="H48" s="28" t="str">
        <f t="shared" si="1"/>
        <v>No Campaign</v>
      </c>
      <c r="I48" s="28" t="str">
        <f t="shared" si="2"/>
        <v>No Campaign</v>
      </c>
    </row>
    <row r="49">
      <c r="A49" s="100">
        <v>45523.0</v>
      </c>
      <c r="B49" s="14" t="s">
        <v>24</v>
      </c>
      <c r="C49" s="15">
        <v>221.0</v>
      </c>
      <c r="D49" s="15">
        <v>31.0</v>
      </c>
      <c r="E49" s="15">
        <v>87443.0</v>
      </c>
      <c r="F49" s="15">
        <v>6.19</v>
      </c>
      <c r="G49" s="15">
        <v>10283.0</v>
      </c>
      <c r="H49" s="28" t="str">
        <f t="shared" si="1"/>
        <v>No Campaign</v>
      </c>
      <c r="I49" s="28" t="str">
        <f t="shared" si="2"/>
        <v>No Campaign</v>
      </c>
    </row>
    <row r="50">
      <c r="A50" s="100">
        <v>45530.0</v>
      </c>
      <c r="B50" s="14" t="s">
        <v>27</v>
      </c>
      <c r="C50" s="15">
        <v>1685.0</v>
      </c>
      <c r="D50" s="15">
        <v>76.0</v>
      </c>
      <c r="E50" s="15">
        <v>453799.0</v>
      </c>
      <c r="F50" s="15">
        <v>5.71</v>
      </c>
      <c r="G50" s="15">
        <v>24913.0</v>
      </c>
      <c r="H50" s="28" t="str">
        <f t="shared" si="1"/>
        <v>No Campaign</v>
      </c>
      <c r="I50" s="28" t="str">
        <f t="shared" si="2"/>
        <v>No Campaign</v>
      </c>
    </row>
    <row r="51">
      <c r="A51" s="100">
        <v>45530.0</v>
      </c>
      <c r="B51" s="14" t="s">
        <v>33</v>
      </c>
      <c r="C51" s="15">
        <v>248.0</v>
      </c>
      <c r="D51" s="15">
        <v>211.0</v>
      </c>
      <c r="E51" s="15">
        <v>379380.0</v>
      </c>
      <c r="F51" s="15">
        <v>9.04</v>
      </c>
      <c r="G51" s="15">
        <v>26925.0</v>
      </c>
      <c r="H51" s="28" t="str">
        <f t="shared" si="1"/>
        <v>No Campaign</v>
      </c>
      <c r="I51" s="28" t="str">
        <f t="shared" si="2"/>
        <v>No Campaign</v>
      </c>
    </row>
    <row r="52">
      <c r="A52" s="100">
        <v>45530.0</v>
      </c>
      <c r="B52" s="14" t="s">
        <v>13</v>
      </c>
      <c r="C52" s="15">
        <v>1300.0</v>
      </c>
      <c r="D52" s="15">
        <v>71.0</v>
      </c>
      <c r="E52" s="15">
        <v>186454.0</v>
      </c>
      <c r="F52" s="15">
        <v>3.91</v>
      </c>
      <c r="G52" s="15">
        <v>9942.0</v>
      </c>
      <c r="H52" s="28" t="str">
        <f t="shared" si="1"/>
        <v>No Campaign</v>
      </c>
      <c r="I52" s="28" t="str">
        <f t="shared" si="2"/>
        <v>No Campaign</v>
      </c>
    </row>
    <row r="53">
      <c r="A53" s="100">
        <v>45530.0</v>
      </c>
      <c r="B53" s="14" t="s">
        <v>24</v>
      </c>
      <c r="C53" s="15">
        <v>422.0</v>
      </c>
      <c r="D53" s="15">
        <v>394.0</v>
      </c>
      <c r="E53" s="15">
        <v>239044.0</v>
      </c>
      <c r="F53" s="15">
        <v>7.83</v>
      </c>
      <c r="G53" s="15">
        <v>32929.0</v>
      </c>
      <c r="H53" s="28" t="str">
        <f t="shared" si="1"/>
        <v>No Campaign</v>
      </c>
      <c r="I53" s="28" t="str">
        <f t="shared" si="2"/>
        <v>No Campaign</v>
      </c>
    </row>
    <row r="54">
      <c r="A54" s="100">
        <v>45537.0</v>
      </c>
      <c r="B54" s="14" t="s">
        <v>27</v>
      </c>
      <c r="C54" s="15">
        <v>1429.0</v>
      </c>
      <c r="D54" s="15">
        <v>182.0</v>
      </c>
      <c r="E54" s="15">
        <v>101332.0</v>
      </c>
      <c r="F54" s="15">
        <v>7.16</v>
      </c>
      <c r="G54" s="15">
        <v>37829.0</v>
      </c>
      <c r="H54" s="28" t="str">
        <f t="shared" si="1"/>
        <v>No Campaign</v>
      </c>
      <c r="I54" s="28" t="str">
        <f t="shared" si="2"/>
        <v>No Campaign</v>
      </c>
    </row>
    <row r="55">
      <c r="A55" s="100">
        <v>45537.0</v>
      </c>
      <c r="B55" s="14" t="s">
        <v>33</v>
      </c>
      <c r="C55" s="15">
        <v>1520.0</v>
      </c>
      <c r="D55" s="15">
        <v>475.0</v>
      </c>
      <c r="E55" s="15">
        <v>496982.0</v>
      </c>
      <c r="F55" s="15">
        <v>6.41</v>
      </c>
      <c r="G55" s="15">
        <v>24384.0</v>
      </c>
      <c r="H55" s="28" t="str">
        <f t="shared" si="1"/>
        <v>No Campaign</v>
      </c>
      <c r="I55" s="28" t="str">
        <f t="shared" si="2"/>
        <v>No Campaign</v>
      </c>
    </row>
    <row r="56">
      <c r="A56" s="100">
        <v>45537.0</v>
      </c>
      <c r="B56" s="14" t="s">
        <v>13</v>
      </c>
      <c r="C56" s="15">
        <v>557.0</v>
      </c>
      <c r="D56" s="15">
        <v>360.0</v>
      </c>
      <c r="E56" s="15">
        <v>318779.0</v>
      </c>
      <c r="F56" s="15">
        <v>8.02</v>
      </c>
      <c r="G56" s="15">
        <v>25797.0</v>
      </c>
      <c r="H56" s="28" t="str">
        <f t="shared" si="1"/>
        <v>No Campaign</v>
      </c>
      <c r="I56" s="28" t="str">
        <f t="shared" si="2"/>
        <v>No Campaign</v>
      </c>
    </row>
    <row r="57">
      <c r="A57" s="100">
        <v>45537.0</v>
      </c>
      <c r="B57" s="14" t="s">
        <v>24</v>
      </c>
      <c r="C57" s="15">
        <v>728.0</v>
      </c>
      <c r="D57" s="15">
        <v>395.0</v>
      </c>
      <c r="E57" s="15">
        <v>370971.0</v>
      </c>
      <c r="F57" s="15">
        <v>3.86</v>
      </c>
      <c r="G57" s="15">
        <v>12646.0</v>
      </c>
      <c r="H57" s="28" t="str">
        <f t="shared" si="1"/>
        <v>No Campaign</v>
      </c>
      <c r="I57" s="28" t="str">
        <f t="shared" si="2"/>
        <v>No Campaign</v>
      </c>
    </row>
    <row r="58">
      <c r="A58" s="100">
        <v>45544.0</v>
      </c>
      <c r="B58" s="14" t="s">
        <v>27</v>
      </c>
      <c r="C58" s="15">
        <v>1592.0</v>
      </c>
      <c r="D58" s="15">
        <v>20.0</v>
      </c>
      <c r="E58" s="15">
        <v>378054.0</v>
      </c>
      <c r="F58" s="15">
        <v>9.09</v>
      </c>
      <c r="G58" s="15">
        <v>26663.0</v>
      </c>
      <c r="H58" s="28" t="str">
        <f t="shared" si="1"/>
        <v>No Campaign</v>
      </c>
      <c r="I58" s="28" t="str">
        <f t="shared" si="2"/>
        <v>No Campaign</v>
      </c>
    </row>
    <row r="59">
      <c r="A59" s="100">
        <v>45544.0</v>
      </c>
      <c r="B59" s="14" t="s">
        <v>33</v>
      </c>
      <c r="C59" s="15">
        <v>1842.0</v>
      </c>
      <c r="D59" s="15">
        <v>414.0</v>
      </c>
      <c r="E59" s="15">
        <v>307524.0</v>
      </c>
      <c r="F59" s="15">
        <v>1.76</v>
      </c>
      <c r="G59" s="15">
        <v>40478.0</v>
      </c>
      <c r="H59" s="28" t="str">
        <f t="shared" si="1"/>
        <v>No Campaign</v>
      </c>
      <c r="I59" s="28" t="str">
        <f t="shared" si="2"/>
        <v>No Campaign</v>
      </c>
    </row>
    <row r="60">
      <c r="A60" s="100">
        <v>45544.0</v>
      </c>
      <c r="B60" s="14" t="s">
        <v>13</v>
      </c>
      <c r="C60" s="15">
        <v>751.0</v>
      </c>
      <c r="D60" s="15">
        <v>491.0</v>
      </c>
      <c r="E60" s="15">
        <v>434047.0</v>
      </c>
      <c r="F60" s="15">
        <v>9.24</v>
      </c>
      <c r="G60" s="15">
        <v>15476.0</v>
      </c>
      <c r="H60" s="28" t="str">
        <f t="shared" si="1"/>
        <v>No Campaign</v>
      </c>
      <c r="I60" s="28" t="str">
        <f t="shared" si="2"/>
        <v>No Campaign</v>
      </c>
    </row>
    <row r="61">
      <c r="A61" s="100">
        <v>45544.0</v>
      </c>
      <c r="B61" s="14" t="s">
        <v>24</v>
      </c>
      <c r="C61" s="15">
        <v>1409.0</v>
      </c>
      <c r="D61" s="15">
        <v>309.0</v>
      </c>
      <c r="E61" s="15">
        <v>64583.0</v>
      </c>
      <c r="F61" s="15">
        <v>8.99</v>
      </c>
      <c r="G61" s="15">
        <v>10217.0</v>
      </c>
      <c r="H61" s="28" t="str">
        <f t="shared" si="1"/>
        <v>No Campaign</v>
      </c>
      <c r="I61" s="28" t="str">
        <f t="shared" si="2"/>
        <v>No Campaign</v>
      </c>
    </row>
    <row r="62">
      <c r="A62" s="100">
        <v>45551.0</v>
      </c>
      <c r="B62" s="14" t="s">
        <v>27</v>
      </c>
      <c r="C62" s="15">
        <v>778.0</v>
      </c>
      <c r="D62" s="15">
        <v>401.0</v>
      </c>
      <c r="E62" s="15">
        <v>50793.0</v>
      </c>
      <c r="F62" s="15">
        <v>3.4</v>
      </c>
      <c r="G62" s="15">
        <v>21939.0</v>
      </c>
      <c r="H62" s="28" t="str">
        <f t="shared" si="1"/>
        <v>No Campaign</v>
      </c>
      <c r="I62" s="28" t="str">
        <f t="shared" si="2"/>
        <v>No Campaign</v>
      </c>
    </row>
    <row r="63">
      <c r="A63" s="100">
        <v>45551.0</v>
      </c>
      <c r="B63" s="14" t="s">
        <v>33</v>
      </c>
      <c r="C63" s="15">
        <v>443.0</v>
      </c>
      <c r="D63" s="15">
        <v>345.0</v>
      </c>
      <c r="E63" s="15">
        <v>474162.0</v>
      </c>
      <c r="F63" s="15">
        <v>9.2</v>
      </c>
      <c r="G63" s="15">
        <v>47462.0</v>
      </c>
      <c r="H63" s="28" t="str">
        <f t="shared" si="1"/>
        <v>No Campaign</v>
      </c>
      <c r="I63" s="28" t="str">
        <f t="shared" si="2"/>
        <v>No Campaign</v>
      </c>
    </row>
    <row r="64">
      <c r="A64" s="100">
        <v>45551.0</v>
      </c>
      <c r="B64" s="14" t="s">
        <v>13</v>
      </c>
      <c r="C64" s="15">
        <v>1472.0</v>
      </c>
      <c r="D64" s="15">
        <v>347.0</v>
      </c>
      <c r="E64" s="15">
        <v>392355.0</v>
      </c>
      <c r="F64" s="15">
        <v>8.59</v>
      </c>
      <c r="G64" s="15">
        <v>30270.0</v>
      </c>
      <c r="H64" s="28" t="str">
        <f t="shared" si="1"/>
        <v>No Campaign</v>
      </c>
      <c r="I64" s="28" t="str">
        <f t="shared" si="2"/>
        <v>No Campaign</v>
      </c>
    </row>
    <row r="65">
      <c r="A65" s="100">
        <v>45551.0</v>
      </c>
      <c r="B65" s="14" t="s">
        <v>24</v>
      </c>
      <c r="C65" s="15">
        <v>123.0</v>
      </c>
      <c r="D65" s="15">
        <v>155.0</v>
      </c>
      <c r="E65" s="15">
        <v>119934.0</v>
      </c>
      <c r="F65" s="15">
        <v>3.5</v>
      </c>
      <c r="G65" s="15">
        <v>5442.0</v>
      </c>
      <c r="H65" s="28" t="str">
        <f t="shared" si="1"/>
        <v>No Campaign</v>
      </c>
      <c r="I65" s="28" t="str">
        <f t="shared" si="2"/>
        <v>No Campaign</v>
      </c>
    </row>
    <row r="66">
      <c r="A66" s="100">
        <v>45558.0</v>
      </c>
      <c r="B66" s="14" t="s">
        <v>27</v>
      </c>
      <c r="C66" s="15">
        <v>817.0</v>
      </c>
      <c r="D66" s="15">
        <v>151.0</v>
      </c>
      <c r="E66" s="15">
        <v>422625.0</v>
      </c>
      <c r="F66" s="15">
        <v>2.36</v>
      </c>
      <c r="G66" s="15">
        <v>1083.0</v>
      </c>
      <c r="H66" s="28" t="str">
        <f t="shared" si="1"/>
        <v>No Campaign</v>
      </c>
      <c r="I66" s="28" t="str">
        <f t="shared" si="2"/>
        <v>No Campaign</v>
      </c>
    </row>
    <row r="67">
      <c r="A67" s="100">
        <v>45558.0</v>
      </c>
      <c r="B67" s="14" t="s">
        <v>33</v>
      </c>
      <c r="C67" s="15">
        <v>198.0</v>
      </c>
      <c r="D67" s="15">
        <v>217.0</v>
      </c>
      <c r="E67" s="15">
        <v>239753.0</v>
      </c>
      <c r="F67" s="15">
        <v>7.36</v>
      </c>
      <c r="G67" s="15">
        <v>11901.0</v>
      </c>
      <c r="H67" s="28" t="str">
        <f t="shared" si="1"/>
        <v>No Campaign</v>
      </c>
      <c r="I67" s="28" t="str">
        <f t="shared" si="2"/>
        <v>No Campaign</v>
      </c>
    </row>
    <row r="68">
      <c r="A68" s="100">
        <v>45558.0</v>
      </c>
      <c r="B68" s="14" t="s">
        <v>13</v>
      </c>
      <c r="C68" s="15">
        <v>1911.0</v>
      </c>
      <c r="D68" s="15">
        <v>231.0</v>
      </c>
      <c r="E68" s="15">
        <v>268516.0</v>
      </c>
      <c r="F68" s="15">
        <v>8.55</v>
      </c>
      <c r="G68" s="15">
        <v>24018.0</v>
      </c>
      <c r="H68" s="28" t="str">
        <f t="shared" si="1"/>
        <v>No Campaign</v>
      </c>
      <c r="I68" s="28" t="str">
        <f t="shared" si="2"/>
        <v>No Campaign</v>
      </c>
    </row>
    <row r="69">
      <c r="A69" s="100">
        <v>45558.0</v>
      </c>
      <c r="B69" s="14" t="s">
        <v>24</v>
      </c>
      <c r="C69" s="15">
        <v>1218.0</v>
      </c>
      <c r="D69" s="15">
        <v>212.0</v>
      </c>
      <c r="E69" s="15">
        <v>63177.0</v>
      </c>
      <c r="F69" s="15">
        <v>8.13</v>
      </c>
      <c r="G69" s="15">
        <v>38883.0</v>
      </c>
      <c r="H69" s="28" t="str">
        <f t="shared" si="1"/>
        <v>No Campaign</v>
      </c>
      <c r="I69" s="28" t="str">
        <f t="shared" si="2"/>
        <v>No Campaign</v>
      </c>
    </row>
    <row r="70">
      <c r="A70" s="100">
        <v>45565.0</v>
      </c>
      <c r="B70" s="14" t="s">
        <v>27</v>
      </c>
      <c r="C70" s="15">
        <v>1433.0</v>
      </c>
      <c r="D70" s="15">
        <v>408.0</v>
      </c>
      <c r="E70" s="15">
        <v>370269.0</v>
      </c>
      <c r="F70" s="15">
        <v>3.3</v>
      </c>
      <c r="G70" s="15">
        <v>30575.0</v>
      </c>
      <c r="H70" s="28" t="str">
        <f t="shared" si="1"/>
        <v>No Campaign</v>
      </c>
      <c r="I70" s="28" t="str">
        <f t="shared" si="2"/>
        <v>No Campaign</v>
      </c>
    </row>
    <row r="71">
      <c r="A71" s="100">
        <v>45565.0</v>
      </c>
      <c r="B71" s="14" t="s">
        <v>33</v>
      </c>
      <c r="C71" s="15">
        <v>250.0</v>
      </c>
      <c r="D71" s="15">
        <v>429.0</v>
      </c>
      <c r="E71" s="15">
        <v>453423.0</v>
      </c>
      <c r="F71" s="15">
        <v>1.77</v>
      </c>
      <c r="G71" s="15">
        <v>2315.0</v>
      </c>
      <c r="H71" s="28" t="str">
        <f t="shared" si="1"/>
        <v>No Campaign</v>
      </c>
      <c r="I71" s="28" t="str">
        <f t="shared" si="2"/>
        <v>No Campaign</v>
      </c>
    </row>
    <row r="72">
      <c r="A72" s="100">
        <v>45565.0</v>
      </c>
      <c r="B72" s="14" t="s">
        <v>13</v>
      </c>
      <c r="C72" s="15">
        <v>752.0</v>
      </c>
      <c r="D72" s="15">
        <v>153.0</v>
      </c>
      <c r="E72" s="15">
        <v>64906.0</v>
      </c>
      <c r="F72" s="15">
        <v>2.09</v>
      </c>
      <c r="G72" s="15">
        <v>12148.0</v>
      </c>
      <c r="H72" s="28" t="str">
        <f t="shared" si="1"/>
        <v>No Campaign</v>
      </c>
      <c r="I72" s="28" t="str">
        <f t="shared" si="2"/>
        <v>No Campaign</v>
      </c>
    </row>
    <row r="73">
      <c r="A73" s="100">
        <v>45565.0</v>
      </c>
      <c r="B73" s="14" t="s">
        <v>24</v>
      </c>
      <c r="C73" s="15">
        <v>1918.0</v>
      </c>
      <c r="D73" s="15">
        <v>212.0</v>
      </c>
      <c r="E73" s="15">
        <v>94360.0</v>
      </c>
      <c r="F73" s="15">
        <v>7.36</v>
      </c>
      <c r="G73" s="15">
        <v>36851.0</v>
      </c>
      <c r="H73" s="28" t="str">
        <f t="shared" si="1"/>
        <v>No Campaign</v>
      </c>
      <c r="I73" s="28" t="str">
        <f t="shared" si="2"/>
        <v>No Campaign</v>
      </c>
    </row>
    <row r="74">
      <c r="A74" s="100">
        <v>45572.0</v>
      </c>
      <c r="B74" s="14" t="s">
        <v>27</v>
      </c>
      <c r="C74" s="15">
        <v>1939.0</v>
      </c>
      <c r="D74" s="15">
        <v>67.0</v>
      </c>
      <c r="E74" s="15">
        <v>187183.0</v>
      </c>
      <c r="F74" s="15">
        <v>6.25</v>
      </c>
      <c r="G74" s="15">
        <v>41215.0</v>
      </c>
      <c r="H74" s="28" t="str">
        <f t="shared" si="1"/>
        <v>FestiveRadiance</v>
      </c>
      <c r="I74" s="28" t="str">
        <f t="shared" si="2"/>
        <v>During Campaign</v>
      </c>
    </row>
    <row r="75">
      <c r="A75" s="100">
        <v>45572.0</v>
      </c>
      <c r="B75" s="14" t="s">
        <v>33</v>
      </c>
      <c r="C75" s="15">
        <v>1929.0</v>
      </c>
      <c r="D75" s="15">
        <v>267.0</v>
      </c>
      <c r="E75" s="15">
        <v>379363.0</v>
      </c>
      <c r="F75" s="15">
        <v>1.75</v>
      </c>
      <c r="G75" s="15">
        <v>43836.0</v>
      </c>
      <c r="H75" s="28" t="str">
        <f t="shared" si="1"/>
        <v>FestiveRadiance</v>
      </c>
      <c r="I75" s="28" t="str">
        <f t="shared" si="2"/>
        <v>During Campaign</v>
      </c>
    </row>
    <row r="76">
      <c r="A76" s="100">
        <v>45572.0</v>
      </c>
      <c r="B76" s="14" t="s">
        <v>13</v>
      </c>
      <c r="C76" s="15">
        <v>437.0</v>
      </c>
      <c r="D76" s="15">
        <v>330.0</v>
      </c>
      <c r="E76" s="15">
        <v>476486.0</v>
      </c>
      <c r="F76" s="15">
        <v>4.97</v>
      </c>
      <c r="G76" s="15">
        <v>4509.0</v>
      </c>
      <c r="H76" s="28" t="str">
        <f t="shared" si="1"/>
        <v>FestiveRadiance</v>
      </c>
      <c r="I76" s="28" t="str">
        <f t="shared" si="2"/>
        <v>During Campaign</v>
      </c>
    </row>
    <row r="77">
      <c r="A77" s="100">
        <v>45572.0</v>
      </c>
      <c r="B77" s="14" t="s">
        <v>24</v>
      </c>
      <c r="C77" s="15">
        <v>307.0</v>
      </c>
      <c r="D77" s="15">
        <v>189.0</v>
      </c>
      <c r="E77" s="15">
        <v>117767.0</v>
      </c>
      <c r="F77" s="15">
        <v>9.3</v>
      </c>
      <c r="G77" s="15">
        <v>27822.0</v>
      </c>
      <c r="H77" s="28" t="str">
        <f t="shared" si="1"/>
        <v>FestiveRadiance</v>
      </c>
      <c r="I77" s="28" t="str">
        <f t="shared" si="2"/>
        <v>During Campaign</v>
      </c>
    </row>
    <row r="78">
      <c r="A78" s="100">
        <v>45579.0</v>
      </c>
      <c r="B78" s="14" t="s">
        <v>27</v>
      </c>
      <c r="C78" s="15">
        <v>1527.0</v>
      </c>
      <c r="D78" s="15">
        <v>303.0</v>
      </c>
      <c r="E78" s="15">
        <v>388555.0</v>
      </c>
      <c r="F78" s="15">
        <v>8.9</v>
      </c>
      <c r="G78" s="15">
        <v>36397.0</v>
      </c>
      <c r="H78" s="28" t="str">
        <f t="shared" si="1"/>
        <v>FestiveRadiance</v>
      </c>
      <c r="I78" s="28" t="str">
        <f t="shared" si="2"/>
        <v>During Campaign</v>
      </c>
    </row>
    <row r="79">
      <c r="A79" s="100">
        <v>45579.0</v>
      </c>
      <c r="B79" s="14" t="s">
        <v>33</v>
      </c>
      <c r="C79" s="15">
        <v>643.0</v>
      </c>
      <c r="D79" s="15">
        <v>358.0</v>
      </c>
      <c r="E79" s="15">
        <v>157599.0</v>
      </c>
      <c r="F79" s="15">
        <v>3.88</v>
      </c>
      <c r="G79" s="15">
        <v>7285.0</v>
      </c>
      <c r="H79" s="28" t="str">
        <f t="shared" si="1"/>
        <v>FestiveRadiance</v>
      </c>
      <c r="I79" s="28" t="str">
        <f t="shared" si="2"/>
        <v>During Campaign</v>
      </c>
    </row>
    <row r="80">
      <c r="A80" s="100">
        <v>45579.0</v>
      </c>
      <c r="B80" s="14" t="s">
        <v>13</v>
      </c>
      <c r="C80" s="15">
        <v>201.0</v>
      </c>
      <c r="D80" s="15">
        <v>221.0</v>
      </c>
      <c r="E80" s="15">
        <v>309772.0</v>
      </c>
      <c r="F80" s="15">
        <v>5.9</v>
      </c>
      <c r="G80" s="15">
        <v>33174.0</v>
      </c>
      <c r="H80" s="28" t="str">
        <f t="shared" si="1"/>
        <v>FestiveRadiance</v>
      </c>
      <c r="I80" s="28" t="str">
        <f t="shared" si="2"/>
        <v>During Campaign</v>
      </c>
    </row>
    <row r="81">
      <c r="A81" s="100">
        <v>45579.0</v>
      </c>
      <c r="B81" s="14" t="s">
        <v>24</v>
      </c>
      <c r="C81" s="15">
        <v>414.0</v>
      </c>
      <c r="D81" s="15">
        <v>47.0</v>
      </c>
      <c r="E81" s="15">
        <v>199178.0</v>
      </c>
      <c r="F81" s="15">
        <v>1.53</v>
      </c>
      <c r="G81" s="15">
        <v>6742.0</v>
      </c>
      <c r="H81" s="28" t="str">
        <f t="shared" si="1"/>
        <v>FestiveRadiance</v>
      </c>
      <c r="I81" s="28" t="str">
        <f t="shared" si="2"/>
        <v>During Campaign</v>
      </c>
    </row>
    <row r="82">
      <c r="A82" s="100">
        <v>45586.0</v>
      </c>
      <c r="B82" s="14" t="s">
        <v>27</v>
      </c>
      <c r="C82" s="15">
        <v>703.0</v>
      </c>
      <c r="D82" s="15">
        <v>441.0</v>
      </c>
      <c r="E82" s="15">
        <v>357089.0</v>
      </c>
      <c r="F82" s="15">
        <v>6.5</v>
      </c>
      <c r="G82" s="15">
        <v>32478.0</v>
      </c>
      <c r="H82" s="28" t="str">
        <f t="shared" si="1"/>
        <v>FestiveRadiance</v>
      </c>
      <c r="I82" s="28" t="str">
        <f t="shared" si="2"/>
        <v>During Campaign</v>
      </c>
    </row>
    <row r="83">
      <c r="A83" s="100">
        <v>45586.0</v>
      </c>
      <c r="B83" s="14" t="s">
        <v>33</v>
      </c>
      <c r="C83" s="15">
        <v>508.0</v>
      </c>
      <c r="D83" s="15">
        <v>69.0</v>
      </c>
      <c r="E83" s="15">
        <v>23492.0</v>
      </c>
      <c r="F83" s="15">
        <v>3.16</v>
      </c>
      <c r="G83" s="15">
        <v>42824.0</v>
      </c>
      <c r="H83" s="99" t="s">
        <v>358</v>
      </c>
      <c r="I83" s="28" t="str">
        <f t="shared" si="2"/>
        <v>During Campaign</v>
      </c>
    </row>
    <row r="84">
      <c r="A84" s="100">
        <v>45586.0</v>
      </c>
      <c r="B84" s="14" t="s">
        <v>13</v>
      </c>
      <c r="C84" s="15">
        <v>697.0</v>
      </c>
      <c r="D84" s="15">
        <v>61.0</v>
      </c>
      <c r="E84" s="15">
        <v>258287.0</v>
      </c>
      <c r="F84" s="15">
        <v>8.25</v>
      </c>
      <c r="G84" s="15">
        <v>21208.0</v>
      </c>
      <c r="H84" s="28" t="str">
        <f t="shared" ref="H84:H164" si="3">IF(AND(A84&gt;=DATE(2024,6,15),A84&lt;=DATE(2024,7,15)),"SummerSplash",
IF(AND(A84&gt;=DATE(2024,10,1),A84&lt;=DATE(2024,10,31)),"FestiveRadiance",
IF(AND(A84&gt;=DATE(2024,12,25),A84&lt;=DATE(2025,1,10)),"NewYearRefresh",
IF(AND(A84&gt;=DATE(2025,3,1),A84&lt;=DATE(2025,3,31)),"DailyWellness",
"No Campaign"))))
</f>
        <v>FestiveRadiance</v>
      </c>
      <c r="I84" s="28" t="str">
        <f t="shared" si="2"/>
        <v>During Campaign</v>
      </c>
    </row>
    <row r="85">
      <c r="A85" s="100">
        <v>45586.0</v>
      </c>
      <c r="B85" s="14" t="s">
        <v>24</v>
      </c>
      <c r="C85" s="15">
        <v>1707.0</v>
      </c>
      <c r="D85" s="15">
        <v>223.0</v>
      </c>
      <c r="E85" s="15">
        <v>256910.0</v>
      </c>
      <c r="F85" s="15">
        <v>5.41</v>
      </c>
      <c r="G85" s="15">
        <v>44321.0</v>
      </c>
      <c r="H85" s="28" t="str">
        <f t="shared" si="3"/>
        <v>FestiveRadiance</v>
      </c>
      <c r="I85" s="28" t="str">
        <f t="shared" si="2"/>
        <v>During Campaign</v>
      </c>
    </row>
    <row r="86">
      <c r="A86" s="100">
        <v>45593.0</v>
      </c>
      <c r="B86" s="14" t="s">
        <v>27</v>
      </c>
      <c r="C86" s="15">
        <v>642.0</v>
      </c>
      <c r="D86" s="15">
        <v>66.0</v>
      </c>
      <c r="E86" s="15">
        <v>346522.0</v>
      </c>
      <c r="F86" s="15">
        <v>5.85</v>
      </c>
      <c r="G86" s="15">
        <v>13116.0</v>
      </c>
      <c r="H86" s="28" t="str">
        <f t="shared" si="3"/>
        <v>FestiveRadiance</v>
      </c>
      <c r="I86" s="28" t="str">
        <f t="shared" si="2"/>
        <v>During Campaign</v>
      </c>
    </row>
    <row r="87">
      <c r="A87" s="100">
        <v>45593.0</v>
      </c>
      <c r="B87" s="14" t="s">
        <v>33</v>
      </c>
      <c r="C87" s="15">
        <v>859.0</v>
      </c>
      <c r="D87" s="15">
        <v>473.0</v>
      </c>
      <c r="E87" s="15">
        <v>209987.0</v>
      </c>
      <c r="F87" s="15">
        <v>4.46</v>
      </c>
      <c r="G87" s="15">
        <v>30214.0</v>
      </c>
      <c r="H87" s="28" t="str">
        <f t="shared" si="3"/>
        <v>FestiveRadiance</v>
      </c>
      <c r="I87" s="28" t="str">
        <f t="shared" si="2"/>
        <v>During Campaign</v>
      </c>
    </row>
    <row r="88">
      <c r="A88" s="100">
        <v>45593.0</v>
      </c>
      <c r="B88" s="14" t="s">
        <v>13</v>
      </c>
      <c r="C88" s="15">
        <v>191.0</v>
      </c>
      <c r="D88" s="15">
        <v>154.0</v>
      </c>
      <c r="E88" s="15">
        <v>240550.0</v>
      </c>
      <c r="F88" s="15">
        <v>5.22</v>
      </c>
      <c r="G88" s="15">
        <v>15827.0</v>
      </c>
      <c r="H88" s="28" t="str">
        <f t="shared" si="3"/>
        <v>FestiveRadiance</v>
      </c>
      <c r="I88" s="28" t="str">
        <f t="shared" si="2"/>
        <v>During Campaign</v>
      </c>
    </row>
    <row r="89">
      <c r="A89" s="100">
        <v>45593.0</v>
      </c>
      <c r="B89" s="14" t="s">
        <v>24</v>
      </c>
      <c r="C89" s="15">
        <v>1814.0</v>
      </c>
      <c r="D89" s="15">
        <v>157.0</v>
      </c>
      <c r="E89" s="15">
        <v>305827.0</v>
      </c>
      <c r="F89" s="15">
        <v>1.99</v>
      </c>
      <c r="G89" s="15">
        <v>46643.0</v>
      </c>
      <c r="H89" s="28" t="str">
        <f t="shared" si="3"/>
        <v>FestiveRadiance</v>
      </c>
      <c r="I89" s="28" t="str">
        <f t="shared" si="2"/>
        <v>During Campaign</v>
      </c>
    </row>
    <row r="90">
      <c r="A90" s="100">
        <v>45600.0</v>
      </c>
      <c r="B90" s="14" t="s">
        <v>27</v>
      </c>
      <c r="C90" s="15">
        <v>1466.0</v>
      </c>
      <c r="D90" s="15">
        <v>69.0</v>
      </c>
      <c r="E90" s="15">
        <v>54935.0</v>
      </c>
      <c r="F90" s="15">
        <v>6.85</v>
      </c>
      <c r="G90" s="15">
        <v>36484.0</v>
      </c>
      <c r="H90" s="28" t="str">
        <f t="shared" si="3"/>
        <v>No Campaign</v>
      </c>
      <c r="I90" s="28" t="str">
        <f t="shared" si="2"/>
        <v>No Campaign</v>
      </c>
    </row>
    <row r="91">
      <c r="A91" s="100">
        <v>45600.0</v>
      </c>
      <c r="B91" s="14" t="s">
        <v>33</v>
      </c>
      <c r="C91" s="15">
        <v>947.0</v>
      </c>
      <c r="D91" s="15">
        <v>407.0</v>
      </c>
      <c r="E91" s="15">
        <v>319186.0</v>
      </c>
      <c r="F91" s="15">
        <v>3.32</v>
      </c>
      <c r="G91" s="15">
        <v>4996.0</v>
      </c>
      <c r="H91" s="28" t="str">
        <f t="shared" si="3"/>
        <v>No Campaign</v>
      </c>
      <c r="I91" s="28" t="str">
        <f t="shared" si="2"/>
        <v>No Campaign</v>
      </c>
    </row>
    <row r="92">
      <c r="A92" s="100">
        <v>45600.0</v>
      </c>
      <c r="B92" s="14" t="s">
        <v>13</v>
      </c>
      <c r="C92" s="15">
        <v>1821.0</v>
      </c>
      <c r="D92" s="15">
        <v>218.0</v>
      </c>
      <c r="E92" s="15">
        <v>439080.0</v>
      </c>
      <c r="F92" s="15">
        <v>5.68</v>
      </c>
      <c r="G92" s="15">
        <v>36095.0</v>
      </c>
      <c r="H92" s="28" t="str">
        <f t="shared" si="3"/>
        <v>No Campaign</v>
      </c>
      <c r="I92" s="28" t="str">
        <f t="shared" si="2"/>
        <v>No Campaign</v>
      </c>
    </row>
    <row r="93">
      <c r="A93" s="100">
        <v>45600.0</v>
      </c>
      <c r="B93" s="14" t="s">
        <v>24</v>
      </c>
      <c r="C93" s="15">
        <v>1507.0</v>
      </c>
      <c r="D93" s="15">
        <v>463.0</v>
      </c>
      <c r="E93" s="15">
        <v>258944.0</v>
      </c>
      <c r="F93" s="15">
        <v>6.08</v>
      </c>
      <c r="G93" s="15">
        <v>16443.0</v>
      </c>
      <c r="H93" s="28" t="str">
        <f t="shared" si="3"/>
        <v>No Campaign</v>
      </c>
      <c r="I93" s="28" t="str">
        <f t="shared" si="2"/>
        <v>No Campaign</v>
      </c>
    </row>
    <row r="94">
      <c r="A94" s="100">
        <v>45607.0</v>
      </c>
      <c r="B94" s="14" t="s">
        <v>27</v>
      </c>
      <c r="C94" s="15">
        <v>1075.0</v>
      </c>
      <c r="D94" s="15">
        <v>173.0</v>
      </c>
      <c r="E94" s="15">
        <v>51395.0</v>
      </c>
      <c r="F94" s="15">
        <v>4.66</v>
      </c>
      <c r="G94" s="15">
        <v>47812.0</v>
      </c>
      <c r="H94" s="28" t="str">
        <f t="shared" si="3"/>
        <v>No Campaign</v>
      </c>
      <c r="I94" s="28" t="str">
        <f t="shared" si="2"/>
        <v>No Campaign</v>
      </c>
    </row>
    <row r="95">
      <c r="A95" s="100">
        <v>45607.0</v>
      </c>
      <c r="B95" s="14" t="s">
        <v>33</v>
      </c>
      <c r="C95" s="15">
        <v>171.0</v>
      </c>
      <c r="D95" s="15">
        <v>277.0</v>
      </c>
      <c r="E95" s="15">
        <v>309483.0</v>
      </c>
      <c r="F95" s="15">
        <v>8.7</v>
      </c>
      <c r="G95" s="15">
        <v>38452.0</v>
      </c>
      <c r="H95" s="28" t="str">
        <f t="shared" si="3"/>
        <v>No Campaign</v>
      </c>
      <c r="I95" s="28" t="str">
        <f t="shared" si="2"/>
        <v>No Campaign</v>
      </c>
    </row>
    <row r="96">
      <c r="A96" s="100">
        <v>45607.0</v>
      </c>
      <c r="B96" s="14" t="s">
        <v>13</v>
      </c>
      <c r="C96" s="15">
        <v>1487.0</v>
      </c>
      <c r="D96" s="15">
        <v>337.0</v>
      </c>
      <c r="E96" s="15">
        <v>87305.0</v>
      </c>
      <c r="F96" s="15">
        <v>2.46</v>
      </c>
      <c r="G96" s="15">
        <v>30428.0</v>
      </c>
      <c r="H96" s="28" t="str">
        <f t="shared" si="3"/>
        <v>No Campaign</v>
      </c>
      <c r="I96" s="28" t="str">
        <f t="shared" si="2"/>
        <v>No Campaign</v>
      </c>
    </row>
    <row r="97">
      <c r="A97" s="100">
        <v>45607.0</v>
      </c>
      <c r="B97" s="14" t="s">
        <v>24</v>
      </c>
      <c r="C97" s="15">
        <v>454.0</v>
      </c>
      <c r="D97" s="15">
        <v>105.0</v>
      </c>
      <c r="E97" s="15">
        <v>121091.0</v>
      </c>
      <c r="F97" s="15">
        <v>7.97</v>
      </c>
      <c r="G97" s="15">
        <v>9269.0</v>
      </c>
      <c r="H97" s="28" t="str">
        <f t="shared" si="3"/>
        <v>No Campaign</v>
      </c>
      <c r="I97" s="28" t="str">
        <f t="shared" si="2"/>
        <v>No Campaign</v>
      </c>
    </row>
    <row r="98">
      <c r="A98" s="100">
        <v>45614.0</v>
      </c>
      <c r="B98" s="14" t="s">
        <v>27</v>
      </c>
      <c r="C98" s="15">
        <v>187.0</v>
      </c>
      <c r="D98" s="15">
        <v>236.0</v>
      </c>
      <c r="E98" s="15">
        <v>51087.0</v>
      </c>
      <c r="F98" s="15">
        <v>9.41</v>
      </c>
      <c r="G98" s="15">
        <v>29533.0</v>
      </c>
      <c r="H98" s="28" t="str">
        <f t="shared" si="3"/>
        <v>No Campaign</v>
      </c>
      <c r="I98" s="28" t="str">
        <f t="shared" si="2"/>
        <v>No Campaign</v>
      </c>
    </row>
    <row r="99">
      <c r="A99" s="100">
        <v>45614.0</v>
      </c>
      <c r="B99" s="14" t="s">
        <v>33</v>
      </c>
      <c r="C99" s="15">
        <v>513.0</v>
      </c>
      <c r="D99" s="15">
        <v>441.0</v>
      </c>
      <c r="E99" s="15">
        <v>338847.0</v>
      </c>
      <c r="F99" s="15">
        <v>2.68</v>
      </c>
      <c r="G99" s="15">
        <v>39997.0</v>
      </c>
      <c r="H99" s="28" t="str">
        <f t="shared" si="3"/>
        <v>No Campaign</v>
      </c>
      <c r="I99" s="28" t="str">
        <f t="shared" si="2"/>
        <v>No Campaign</v>
      </c>
    </row>
    <row r="100">
      <c r="A100" s="100">
        <v>45614.0</v>
      </c>
      <c r="B100" s="14" t="s">
        <v>13</v>
      </c>
      <c r="C100" s="15">
        <v>628.0</v>
      </c>
      <c r="D100" s="15">
        <v>183.0</v>
      </c>
      <c r="E100" s="15">
        <v>487523.0</v>
      </c>
      <c r="F100" s="15">
        <v>7.32</v>
      </c>
      <c r="G100" s="15">
        <v>5391.0</v>
      </c>
      <c r="H100" s="28" t="str">
        <f t="shared" si="3"/>
        <v>No Campaign</v>
      </c>
      <c r="I100" s="28" t="str">
        <f t="shared" si="2"/>
        <v>No Campaign</v>
      </c>
    </row>
    <row r="101">
      <c r="A101" s="100">
        <v>45614.0</v>
      </c>
      <c r="B101" s="14" t="s">
        <v>24</v>
      </c>
      <c r="C101" s="15">
        <v>278.0</v>
      </c>
      <c r="D101" s="15">
        <v>218.0</v>
      </c>
      <c r="E101" s="15">
        <v>301695.0</v>
      </c>
      <c r="F101" s="15">
        <v>4.68</v>
      </c>
      <c r="G101" s="15">
        <v>22373.0</v>
      </c>
      <c r="H101" s="28" t="str">
        <f t="shared" si="3"/>
        <v>No Campaign</v>
      </c>
      <c r="I101" s="28" t="str">
        <f t="shared" si="2"/>
        <v>No Campaign</v>
      </c>
    </row>
    <row r="102">
      <c r="A102" s="100">
        <v>45621.0</v>
      </c>
      <c r="B102" s="14" t="s">
        <v>27</v>
      </c>
      <c r="C102" s="15">
        <v>1854.0</v>
      </c>
      <c r="D102" s="15">
        <v>161.0</v>
      </c>
      <c r="E102" s="15">
        <v>282466.0</v>
      </c>
      <c r="F102" s="15">
        <v>5.17</v>
      </c>
      <c r="G102" s="15">
        <v>1810.0</v>
      </c>
      <c r="H102" s="28" t="str">
        <f t="shared" si="3"/>
        <v>No Campaign</v>
      </c>
      <c r="I102" s="28" t="str">
        <f t="shared" si="2"/>
        <v>No Campaign</v>
      </c>
    </row>
    <row r="103">
      <c r="A103" s="100">
        <v>45621.0</v>
      </c>
      <c r="B103" s="14" t="s">
        <v>33</v>
      </c>
      <c r="C103" s="15">
        <v>1710.0</v>
      </c>
      <c r="D103" s="15">
        <v>378.0</v>
      </c>
      <c r="E103" s="15">
        <v>336661.0</v>
      </c>
      <c r="F103" s="15">
        <v>6.2</v>
      </c>
      <c r="G103" s="15">
        <v>28498.0</v>
      </c>
      <c r="H103" s="28" t="str">
        <f t="shared" si="3"/>
        <v>No Campaign</v>
      </c>
      <c r="I103" s="28" t="str">
        <f t="shared" si="2"/>
        <v>No Campaign</v>
      </c>
    </row>
    <row r="104">
      <c r="A104" s="100">
        <v>45621.0</v>
      </c>
      <c r="B104" s="14" t="s">
        <v>13</v>
      </c>
      <c r="C104" s="15">
        <v>330.0</v>
      </c>
      <c r="D104" s="15">
        <v>232.0</v>
      </c>
      <c r="E104" s="15">
        <v>88455.0</v>
      </c>
      <c r="F104" s="15">
        <v>2.69</v>
      </c>
      <c r="G104" s="15">
        <v>39530.0</v>
      </c>
      <c r="H104" s="28" t="str">
        <f t="shared" si="3"/>
        <v>No Campaign</v>
      </c>
      <c r="I104" s="28" t="str">
        <f t="shared" si="2"/>
        <v>No Campaign</v>
      </c>
    </row>
    <row r="105">
      <c r="A105" s="100">
        <v>45621.0</v>
      </c>
      <c r="B105" s="14" t="s">
        <v>24</v>
      </c>
      <c r="C105" s="15">
        <v>1293.0</v>
      </c>
      <c r="D105" s="15">
        <v>408.0</v>
      </c>
      <c r="E105" s="15">
        <v>62535.0</v>
      </c>
      <c r="F105" s="15">
        <v>8.9</v>
      </c>
      <c r="G105" s="15">
        <v>37876.0</v>
      </c>
      <c r="H105" s="28" t="str">
        <f t="shared" si="3"/>
        <v>No Campaign</v>
      </c>
      <c r="I105" s="28" t="str">
        <f t="shared" si="2"/>
        <v>No Campaign</v>
      </c>
    </row>
    <row r="106">
      <c r="A106" s="100">
        <v>45628.0</v>
      </c>
      <c r="B106" s="14" t="s">
        <v>27</v>
      </c>
      <c r="C106" s="15">
        <v>1696.0</v>
      </c>
      <c r="D106" s="15">
        <v>71.0</v>
      </c>
      <c r="E106" s="15">
        <v>421957.0</v>
      </c>
      <c r="F106" s="15">
        <v>3.79</v>
      </c>
      <c r="G106" s="15">
        <v>36103.0</v>
      </c>
      <c r="H106" s="28" t="str">
        <f t="shared" si="3"/>
        <v>No Campaign</v>
      </c>
      <c r="I106" s="28" t="str">
        <f t="shared" si="2"/>
        <v>No Campaign</v>
      </c>
    </row>
    <row r="107">
      <c r="A107" s="100">
        <v>45628.0</v>
      </c>
      <c r="B107" s="14" t="s">
        <v>33</v>
      </c>
      <c r="C107" s="15">
        <v>1902.0</v>
      </c>
      <c r="D107" s="15">
        <v>196.0</v>
      </c>
      <c r="E107" s="15">
        <v>470269.0</v>
      </c>
      <c r="F107" s="15">
        <v>4.79</v>
      </c>
      <c r="G107" s="15">
        <v>26103.0</v>
      </c>
      <c r="H107" s="28" t="str">
        <f t="shared" si="3"/>
        <v>No Campaign</v>
      </c>
      <c r="I107" s="28" t="str">
        <f t="shared" si="2"/>
        <v>No Campaign</v>
      </c>
    </row>
    <row r="108">
      <c r="A108" s="100">
        <v>45628.0</v>
      </c>
      <c r="B108" s="14" t="s">
        <v>13</v>
      </c>
      <c r="C108" s="15">
        <v>1441.0</v>
      </c>
      <c r="D108" s="15">
        <v>268.0</v>
      </c>
      <c r="E108" s="15">
        <v>309904.0</v>
      </c>
      <c r="F108" s="15">
        <v>6.37</v>
      </c>
      <c r="G108" s="15">
        <v>3455.0</v>
      </c>
      <c r="H108" s="28" t="str">
        <f t="shared" si="3"/>
        <v>No Campaign</v>
      </c>
      <c r="I108" s="28" t="str">
        <f t="shared" si="2"/>
        <v>No Campaign</v>
      </c>
    </row>
    <row r="109">
      <c r="A109" s="100">
        <v>45628.0</v>
      </c>
      <c r="B109" s="14" t="s">
        <v>24</v>
      </c>
      <c r="C109" s="15">
        <v>452.0</v>
      </c>
      <c r="D109" s="15">
        <v>161.0</v>
      </c>
      <c r="E109" s="15">
        <v>221274.0</v>
      </c>
      <c r="F109" s="15">
        <v>2.65</v>
      </c>
      <c r="G109" s="15">
        <v>40888.0</v>
      </c>
      <c r="H109" s="28" t="str">
        <f t="shared" si="3"/>
        <v>No Campaign</v>
      </c>
      <c r="I109" s="28" t="str">
        <f t="shared" si="2"/>
        <v>No Campaign</v>
      </c>
    </row>
    <row r="110">
      <c r="A110" s="100">
        <v>45635.0</v>
      </c>
      <c r="B110" s="14" t="s">
        <v>27</v>
      </c>
      <c r="C110" s="15">
        <v>1494.0</v>
      </c>
      <c r="D110" s="15">
        <v>375.0</v>
      </c>
      <c r="E110" s="15">
        <v>220616.0</v>
      </c>
      <c r="F110" s="15">
        <v>1.81</v>
      </c>
      <c r="G110" s="15">
        <v>22724.0</v>
      </c>
      <c r="H110" s="28" t="str">
        <f t="shared" si="3"/>
        <v>No Campaign</v>
      </c>
      <c r="I110" s="28" t="str">
        <f t="shared" si="2"/>
        <v>No Campaign</v>
      </c>
    </row>
    <row r="111">
      <c r="A111" s="100">
        <v>45635.0</v>
      </c>
      <c r="B111" s="14" t="s">
        <v>33</v>
      </c>
      <c r="C111" s="15">
        <v>1514.0</v>
      </c>
      <c r="D111" s="15">
        <v>141.0</v>
      </c>
      <c r="E111" s="15">
        <v>35842.0</v>
      </c>
      <c r="F111" s="15">
        <v>7.47</v>
      </c>
      <c r="G111" s="15">
        <v>18601.0</v>
      </c>
      <c r="H111" s="28" t="str">
        <f t="shared" si="3"/>
        <v>No Campaign</v>
      </c>
      <c r="I111" s="28" t="str">
        <f t="shared" si="2"/>
        <v>No Campaign</v>
      </c>
    </row>
    <row r="112">
      <c r="A112" s="100">
        <v>45635.0</v>
      </c>
      <c r="B112" s="14" t="s">
        <v>13</v>
      </c>
      <c r="C112" s="15">
        <v>1937.0</v>
      </c>
      <c r="D112" s="15">
        <v>210.0</v>
      </c>
      <c r="E112" s="15">
        <v>20607.0</v>
      </c>
      <c r="F112" s="15">
        <v>4.2</v>
      </c>
      <c r="G112" s="15">
        <v>20861.0</v>
      </c>
      <c r="H112" s="28" t="str">
        <f t="shared" si="3"/>
        <v>No Campaign</v>
      </c>
      <c r="I112" s="28" t="str">
        <f t="shared" si="2"/>
        <v>No Campaign</v>
      </c>
    </row>
    <row r="113">
      <c r="A113" s="100">
        <v>45635.0</v>
      </c>
      <c r="B113" s="14" t="s">
        <v>24</v>
      </c>
      <c r="C113" s="15">
        <v>736.0</v>
      </c>
      <c r="D113" s="15">
        <v>163.0</v>
      </c>
      <c r="E113" s="15">
        <v>451894.0</v>
      </c>
      <c r="F113" s="15">
        <v>5.43</v>
      </c>
      <c r="G113" s="15">
        <v>46625.0</v>
      </c>
      <c r="H113" s="28" t="str">
        <f t="shared" si="3"/>
        <v>No Campaign</v>
      </c>
      <c r="I113" s="28" t="str">
        <f t="shared" si="2"/>
        <v>No Campaign</v>
      </c>
    </row>
    <row r="114">
      <c r="A114" s="100">
        <v>45642.0</v>
      </c>
      <c r="B114" s="14" t="s">
        <v>27</v>
      </c>
      <c r="C114" s="15">
        <v>1502.0</v>
      </c>
      <c r="D114" s="15">
        <v>70.0</v>
      </c>
      <c r="E114" s="15">
        <v>465553.0</v>
      </c>
      <c r="F114" s="15">
        <v>3.32</v>
      </c>
      <c r="G114" s="15">
        <v>20692.0</v>
      </c>
      <c r="H114" s="28" t="str">
        <f t="shared" si="3"/>
        <v>No Campaign</v>
      </c>
      <c r="I114" s="28" t="str">
        <f t="shared" si="2"/>
        <v>No Campaign</v>
      </c>
    </row>
    <row r="115">
      <c r="A115" s="100">
        <v>45642.0</v>
      </c>
      <c r="B115" s="14" t="s">
        <v>33</v>
      </c>
      <c r="C115" s="15">
        <v>1623.0</v>
      </c>
      <c r="D115" s="15">
        <v>246.0</v>
      </c>
      <c r="E115" s="15">
        <v>415815.0</v>
      </c>
      <c r="F115" s="15">
        <v>8.11</v>
      </c>
      <c r="G115" s="15">
        <v>18656.0</v>
      </c>
      <c r="H115" s="28" t="str">
        <f t="shared" si="3"/>
        <v>No Campaign</v>
      </c>
      <c r="I115" s="28" t="str">
        <f t="shared" si="2"/>
        <v>No Campaign</v>
      </c>
    </row>
    <row r="116">
      <c r="A116" s="100">
        <v>45642.0</v>
      </c>
      <c r="B116" s="14" t="s">
        <v>13</v>
      </c>
      <c r="C116" s="15">
        <v>1592.0</v>
      </c>
      <c r="D116" s="15">
        <v>233.0</v>
      </c>
      <c r="E116" s="15">
        <v>327183.0</v>
      </c>
      <c r="F116" s="15">
        <v>6.66</v>
      </c>
      <c r="G116" s="15">
        <v>13316.0</v>
      </c>
      <c r="H116" s="28" t="str">
        <f t="shared" si="3"/>
        <v>No Campaign</v>
      </c>
      <c r="I116" s="28" t="str">
        <f t="shared" si="2"/>
        <v>No Campaign</v>
      </c>
    </row>
    <row r="117">
      <c r="A117" s="100">
        <v>45642.0</v>
      </c>
      <c r="B117" s="14" t="s">
        <v>24</v>
      </c>
      <c r="C117" s="15">
        <v>1004.0</v>
      </c>
      <c r="D117" s="15">
        <v>128.0</v>
      </c>
      <c r="E117" s="15">
        <v>488901.0</v>
      </c>
      <c r="F117" s="15">
        <v>8.09</v>
      </c>
      <c r="G117" s="15">
        <v>49558.0</v>
      </c>
      <c r="H117" s="28" t="str">
        <f t="shared" si="3"/>
        <v>No Campaign</v>
      </c>
      <c r="I117" s="28" t="str">
        <f t="shared" si="2"/>
        <v>No Campaign</v>
      </c>
    </row>
    <row r="118">
      <c r="A118" s="100">
        <v>45649.0</v>
      </c>
      <c r="B118" s="14" t="s">
        <v>27</v>
      </c>
      <c r="C118" s="15">
        <v>1092.0</v>
      </c>
      <c r="D118" s="15">
        <v>408.0</v>
      </c>
      <c r="E118" s="15">
        <v>280795.0</v>
      </c>
      <c r="F118" s="15">
        <v>8.44</v>
      </c>
      <c r="G118" s="15">
        <v>4683.0</v>
      </c>
      <c r="H118" s="28" t="str">
        <f t="shared" si="3"/>
        <v>No Campaign</v>
      </c>
      <c r="I118" s="28" t="str">
        <f t="shared" si="2"/>
        <v>No Campaign</v>
      </c>
    </row>
    <row r="119">
      <c r="A119" s="100">
        <v>45649.0</v>
      </c>
      <c r="B119" s="14" t="s">
        <v>33</v>
      </c>
      <c r="C119" s="15">
        <v>1155.0</v>
      </c>
      <c r="D119" s="15">
        <v>425.0</v>
      </c>
      <c r="E119" s="15">
        <v>93347.0</v>
      </c>
      <c r="F119" s="15">
        <v>2.02</v>
      </c>
      <c r="G119" s="15">
        <v>47502.0</v>
      </c>
      <c r="H119" s="28" t="str">
        <f t="shared" si="3"/>
        <v>No Campaign</v>
      </c>
      <c r="I119" s="28" t="str">
        <f t="shared" si="2"/>
        <v>No Campaign</v>
      </c>
    </row>
    <row r="120">
      <c r="A120" s="100">
        <v>45649.0</v>
      </c>
      <c r="B120" s="14" t="s">
        <v>13</v>
      </c>
      <c r="C120" s="15">
        <v>1137.0</v>
      </c>
      <c r="D120" s="15">
        <v>226.0</v>
      </c>
      <c r="E120" s="15">
        <v>81119.0</v>
      </c>
      <c r="F120" s="15">
        <v>7.74</v>
      </c>
      <c r="G120" s="15">
        <v>35359.0</v>
      </c>
      <c r="H120" s="28" t="str">
        <f t="shared" si="3"/>
        <v>No Campaign</v>
      </c>
      <c r="I120" s="28" t="str">
        <f t="shared" si="2"/>
        <v>No Campaign</v>
      </c>
    </row>
    <row r="121">
      <c r="A121" s="100">
        <v>45649.0</v>
      </c>
      <c r="B121" s="14" t="s">
        <v>24</v>
      </c>
      <c r="C121" s="15">
        <v>1900.0</v>
      </c>
      <c r="D121" s="15">
        <v>311.0</v>
      </c>
      <c r="E121" s="15">
        <v>25177.0</v>
      </c>
      <c r="F121" s="15">
        <v>2.89</v>
      </c>
      <c r="G121" s="15">
        <v>14154.0</v>
      </c>
      <c r="H121" s="28" t="str">
        <f t="shared" si="3"/>
        <v>No Campaign</v>
      </c>
      <c r="I121" s="28" t="str">
        <f t="shared" si="2"/>
        <v>No Campaign</v>
      </c>
    </row>
    <row r="122">
      <c r="A122" s="100">
        <v>45656.0</v>
      </c>
      <c r="B122" s="14" t="s">
        <v>27</v>
      </c>
      <c r="C122" s="15">
        <v>1814.0</v>
      </c>
      <c r="D122" s="15">
        <v>49.0</v>
      </c>
      <c r="E122" s="15">
        <v>140804.0</v>
      </c>
      <c r="F122" s="15">
        <v>1.76</v>
      </c>
      <c r="G122" s="15">
        <v>4313.0</v>
      </c>
      <c r="H122" s="28" t="str">
        <f t="shared" si="3"/>
        <v>NewYearRefresh</v>
      </c>
      <c r="I122" s="28" t="str">
        <f t="shared" si="2"/>
        <v>During Campaign</v>
      </c>
    </row>
    <row r="123">
      <c r="A123" s="100">
        <v>45656.0</v>
      </c>
      <c r="B123" s="14" t="s">
        <v>33</v>
      </c>
      <c r="C123" s="15">
        <v>1980.0</v>
      </c>
      <c r="D123" s="15">
        <v>204.0</v>
      </c>
      <c r="E123" s="15">
        <v>379431.0</v>
      </c>
      <c r="F123" s="15">
        <v>3.09</v>
      </c>
      <c r="G123" s="15">
        <v>25140.0</v>
      </c>
      <c r="H123" s="28" t="str">
        <f t="shared" si="3"/>
        <v>NewYearRefresh</v>
      </c>
      <c r="I123" s="28" t="str">
        <f t="shared" si="2"/>
        <v>During Campaign</v>
      </c>
    </row>
    <row r="124">
      <c r="A124" s="100">
        <v>45656.0</v>
      </c>
      <c r="B124" s="14" t="s">
        <v>13</v>
      </c>
      <c r="C124" s="15">
        <v>1786.0</v>
      </c>
      <c r="D124" s="15">
        <v>257.0</v>
      </c>
      <c r="E124" s="15">
        <v>274831.0</v>
      </c>
      <c r="F124" s="15">
        <v>4.68</v>
      </c>
      <c r="G124" s="15">
        <v>9118.0</v>
      </c>
      <c r="H124" s="28" t="str">
        <f t="shared" si="3"/>
        <v>NewYearRefresh</v>
      </c>
      <c r="I124" s="28" t="str">
        <f t="shared" si="2"/>
        <v>During Campaign</v>
      </c>
    </row>
    <row r="125">
      <c r="A125" s="100">
        <v>45656.0</v>
      </c>
      <c r="B125" s="14" t="s">
        <v>24</v>
      </c>
      <c r="C125" s="15">
        <v>1495.0</v>
      </c>
      <c r="D125" s="15">
        <v>35.0</v>
      </c>
      <c r="E125" s="15">
        <v>136845.0</v>
      </c>
      <c r="F125" s="15">
        <v>4.48</v>
      </c>
      <c r="G125" s="15">
        <v>39931.0</v>
      </c>
      <c r="H125" s="28" t="str">
        <f t="shared" si="3"/>
        <v>NewYearRefresh</v>
      </c>
      <c r="I125" s="28" t="str">
        <f t="shared" si="2"/>
        <v>During Campaign</v>
      </c>
    </row>
    <row r="126">
      <c r="A126" s="100">
        <v>45663.0</v>
      </c>
      <c r="B126" s="14" t="s">
        <v>27</v>
      </c>
      <c r="C126" s="15">
        <v>1013.0</v>
      </c>
      <c r="D126" s="15">
        <v>110.0</v>
      </c>
      <c r="E126" s="15">
        <v>466382.0</v>
      </c>
      <c r="F126" s="15">
        <v>5.3</v>
      </c>
      <c r="G126" s="15">
        <v>37132.0</v>
      </c>
      <c r="H126" s="28" t="str">
        <f t="shared" si="3"/>
        <v>NewYearRefresh</v>
      </c>
      <c r="I126" s="28" t="str">
        <f t="shared" si="2"/>
        <v>During Campaign</v>
      </c>
    </row>
    <row r="127">
      <c r="A127" s="100">
        <v>45663.0</v>
      </c>
      <c r="B127" s="14" t="s">
        <v>33</v>
      </c>
      <c r="C127" s="15">
        <v>816.0</v>
      </c>
      <c r="D127" s="15">
        <v>196.0</v>
      </c>
      <c r="E127" s="15">
        <v>95728.0</v>
      </c>
      <c r="F127" s="15">
        <v>8.2</v>
      </c>
      <c r="G127" s="15">
        <v>17951.0</v>
      </c>
      <c r="H127" s="28" t="str">
        <f t="shared" si="3"/>
        <v>NewYearRefresh</v>
      </c>
      <c r="I127" s="28" t="str">
        <f t="shared" si="2"/>
        <v>During Campaign</v>
      </c>
    </row>
    <row r="128">
      <c r="A128" s="100">
        <v>45663.0</v>
      </c>
      <c r="B128" s="14" t="s">
        <v>13</v>
      </c>
      <c r="C128" s="15">
        <v>1633.0</v>
      </c>
      <c r="D128" s="15">
        <v>445.0</v>
      </c>
      <c r="E128" s="15">
        <v>371156.0</v>
      </c>
      <c r="F128" s="15">
        <v>2.22</v>
      </c>
      <c r="G128" s="15">
        <v>2798.0</v>
      </c>
      <c r="H128" s="28" t="str">
        <f t="shared" si="3"/>
        <v>NewYearRefresh</v>
      </c>
      <c r="I128" s="28" t="str">
        <f t="shared" si="2"/>
        <v>During Campaign</v>
      </c>
    </row>
    <row r="129">
      <c r="A129" s="100">
        <v>45663.0</v>
      </c>
      <c r="B129" s="14" t="s">
        <v>24</v>
      </c>
      <c r="C129" s="15">
        <v>891.0</v>
      </c>
      <c r="D129" s="15">
        <v>45.0</v>
      </c>
      <c r="E129" s="15">
        <v>95410.0</v>
      </c>
      <c r="F129" s="15">
        <v>8.33</v>
      </c>
      <c r="G129" s="15">
        <v>15045.0</v>
      </c>
      <c r="H129" s="28" t="str">
        <f t="shared" si="3"/>
        <v>NewYearRefresh</v>
      </c>
      <c r="I129" s="28" t="str">
        <f t="shared" si="2"/>
        <v>During Campaign</v>
      </c>
    </row>
    <row r="130">
      <c r="A130" s="100">
        <v>45670.0</v>
      </c>
      <c r="B130" s="14" t="s">
        <v>27</v>
      </c>
      <c r="C130" s="15">
        <v>1855.0</v>
      </c>
      <c r="D130" s="15">
        <v>133.0</v>
      </c>
      <c r="E130" s="15">
        <v>349413.0</v>
      </c>
      <c r="F130" s="15">
        <v>3.3</v>
      </c>
      <c r="G130" s="15">
        <v>14548.0</v>
      </c>
      <c r="H130" s="28" t="str">
        <f t="shared" si="3"/>
        <v>No Campaign</v>
      </c>
      <c r="I130" s="28" t="str">
        <f t="shared" si="2"/>
        <v>No Campaign</v>
      </c>
    </row>
    <row r="131">
      <c r="A131" s="100">
        <v>45670.0</v>
      </c>
      <c r="B131" s="14" t="s">
        <v>33</v>
      </c>
      <c r="C131" s="15">
        <v>651.0</v>
      </c>
      <c r="D131" s="15">
        <v>353.0</v>
      </c>
      <c r="E131" s="15">
        <v>224699.0</v>
      </c>
      <c r="F131" s="15">
        <v>5.61</v>
      </c>
      <c r="G131" s="15">
        <v>45708.0</v>
      </c>
      <c r="H131" s="28" t="str">
        <f t="shared" si="3"/>
        <v>No Campaign</v>
      </c>
      <c r="I131" s="28" t="str">
        <f t="shared" si="2"/>
        <v>No Campaign</v>
      </c>
    </row>
    <row r="132">
      <c r="A132" s="100">
        <v>45670.0</v>
      </c>
      <c r="B132" s="14" t="s">
        <v>13</v>
      </c>
      <c r="C132" s="15">
        <v>118.0</v>
      </c>
      <c r="D132" s="15">
        <v>262.0</v>
      </c>
      <c r="E132" s="15">
        <v>487896.0</v>
      </c>
      <c r="F132" s="15">
        <v>2.56</v>
      </c>
      <c r="G132" s="15">
        <v>12350.0</v>
      </c>
      <c r="H132" s="28" t="str">
        <f t="shared" si="3"/>
        <v>No Campaign</v>
      </c>
      <c r="I132" s="28" t="str">
        <f t="shared" si="2"/>
        <v>No Campaign</v>
      </c>
    </row>
    <row r="133">
      <c r="A133" s="100">
        <v>45670.0</v>
      </c>
      <c r="B133" s="14" t="s">
        <v>24</v>
      </c>
      <c r="C133" s="15">
        <v>1331.0</v>
      </c>
      <c r="D133" s="15">
        <v>430.0</v>
      </c>
      <c r="E133" s="15">
        <v>14437.0</v>
      </c>
      <c r="F133" s="15">
        <v>3.29</v>
      </c>
      <c r="G133" s="15">
        <v>40868.0</v>
      </c>
      <c r="H133" s="28" t="str">
        <f t="shared" si="3"/>
        <v>No Campaign</v>
      </c>
      <c r="I133" s="28" t="str">
        <f t="shared" si="2"/>
        <v>No Campaign</v>
      </c>
    </row>
    <row r="134">
      <c r="A134" s="100">
        <v>45677.0</v>
      </c>
      <c r="B134" s="14" t="s">
        <v>27</v>
      </c>
      <c r="C134" s="15">
        <v>1748.0</v>
      </c>
      <c r="D134" s="15">
        <v>176.0</v>
      </c>
      <c r="E134" s="15">
        <v>383681.0</v>
      </c>
      <c r="F134" s="15">
        <v>9.24</v>
      </c>
      <c r="G134" s="15">
        <v>43122.0</v>
      </c>
      <c r="H134" s="28" t="str">
        <f t="shared" si="3"/>
        <v>No Campaign</v>
      </c>
      <c r="I134" s="28" t="str">
        <f t="shared" si="2"/>
        <v>No Campaign</v>
      </c>
    </row>
    <row r="135">
      <c r="A135" s="100">
        <v>45677.0</v>
      </c>
      <c r="B135" s="14" t="s">
        <v>33</v>
      </c>
      <c r="C135" s="15">
        <v>663.0</v>
      </c>
      <c r="D135" s="15">
        <v>236.0</v>
      </c>
      <c r="E135" s="15">
        <v>479490.0</v>
      </c>
      <c r="F135" s="15">
        <v>4.51</v>
      </c>
      <c r="G135" s="15">
        <v>23853.0</v>
      </c>
      <c r="H135" s="28" t="str">
        <f t="shared" si="3"/>
        <v>No Campaign</v>
      </c>
      <c r="I135" s="28" t="str">
        <f t="shared" si="2"/>
        <v>No Campaign</v>
      </c>
    </row>
    <row r="136">
      <c r="A136" s="100">
        <v>45677.0</v>
      </c>
      <c r="B136" s="14" t="s">
        <v>13</v>
      </c>
      <c r="C136" s="15">
        <v>1040.0</v>
      </c>
      <c r="D136" s="15">
        <v>149.0</v>
      </c>
      <c r="E136" s="15">
        <v>124404.0</v>
      </c>
      <c r="F136" s="15">
        <v>5.23</v>
      </c>
      <c r="G136" s="15">
        <v>45380.0</v>
      </c>
      <c r="H136" s="28" t="str">
        <f t="shared" si="3"/>
        <v>No Campaign</v>
      </c>
      <c r="I136" s="28" t="str">
        <f t="shared" si="2"/>
        <v>No Campaign</v>
      </c>
    </row>
    <row r="137">
      <c r="A137" s="100">
        <v>45677.0</v>
      </c>
      <c r="B137" s="14" t="s">
        <v>24</v>
      </c>
      <c r="C137" s="15">
        <v>1166.0</v>
      </c>
      <c r="D137" s="15">
        <v>442.0</v>
      </c>
      <c r="E137" s="15">
        <v>336949.0</v>
      </c>
      <c r="F137" s="15">
        <v>4.68</v>
      </c>
      <c r="G137" s="15">
        <v>7705.0</v>
      </c>
      <c r="H137" s="28" t="str">
        <f t="shared" si="3"/>
        <v>No Campaign</v>
      </c>
      <c r="I137" s="28" t="str">
        <f t="shared" si="2"/>
        <v>No Campaign</v>
      </c>
    </row>
    <row r="138">
      <c r="A138" s="100">
        <v>45684.0</v>
      </c>
      <c r="B138" s="14" t="s">
        <v>27</v>
      </c>
      <c r="C138" s="15">
        <v>115.0</v>
      </c>
      <c r="D138" s="15">
        <v>281.0</v>
      </c>
      <c r="E138" s="15">
        <v>357265.0</v>
      </c>
      <c r="F138" s="15">
        <v>9.23</v>
      </c>
      <c r="G138" s="15">
        <v>25525.0</v>
      </c>
      <c r="H138" s="28" t="str">
        <f t="shared" si="3"/>
        <v>No Campaign</v>
      </c>
      <c r="I138" s="28" t="str">
        <f t="shared" si="2"/>
        <v>No Campaign</v>
      </c>
    </row>
    <row r="139">
      <c r="A139" s="100">
        <v>45684.0</v>
      </c>
      <c r="B139" s="14" t="s">
        <v>33</v>
      </c>
      <c r="C139" s="15">
        <v>1249.0</v>
      </c>
      <c r="D139" s="15">
        <v>351.0</v>
      </c>
      <c r="E139" s="15">
        <v>321307.0</v>
      </c>
      <c r="F139" s="15">
        <v>6.37</v>
      </c>
      <c r="G139" s="15">
        <v>20560.0</v>
      </c>
      <c r="H139" s="28" t="str">
        <f t="shared" si="3"/>
        <v>No Campaign</v>
      </c>
      <c r="I139" s="28" t="str">
        <f t="shared" si="2"/>
        <v>No Campaign</v>
      </c>
    </row>
    <row r="140">
      <c r="A140" s="100">
        <v>45684.0</v>
      </c>
      <c r="B140" s="14" t="s">
        <v>13</v>
      </c>
      <c r="C140" s="15">
        <v>1501.0</v>
      </c>
      <c r="D140" s="15">
        <v>75.0</v>
      </c>
      <c r="E140" s="15">
        <v>262569.0</v>
      </c>
      <c r="F140" s="15">
        <v>2.01</v>
      </c>
      <c r="G140" s="15">
        <v>19119.0</v>
      </c>
      <c r="H140" s="28" t="str">
        <f t="shared" si="3"/>
        <v>No Campaign</v>
      </c>
      <c r="I140" s="28" t="str">
        <f t="shared" si="2"/>
        <v>No Campaign</v>
      </c>
    </row>
    <row r="141">
      <c r="A141" s="100">
        <v>45684.0</v>
      </c>
      <c r="B141" s="14" t="s">
        <v>24</v>
      </c>
      <c r="C141" s="15">
        <v>1411.0</v>
      </c>
      <c r="D141" s="15">
        <v>186.0</v>
      </c>
      <c r="E141" s="15">
        <v>461669.0</v>
      </c>
      <c r="F141" s="15">
        <v>3.72</v>
      </c>
      <c r="G141" s="15">
        <v>43999.0</v>
      </c>
      <c r="H141" s="28" t="str">
        <f t="shared" si="3"/>
        <v>No Campaign</v>
      </c>
      <c r="I141" s="28" t="str">
        <f t="shared" si="2"/>
        <v>No Campaign</v>
      </c>
    </row>
    <row r="142">
      <c r="A142" s="100">
        <v>45691.0</v>
      </c>
      <c r="B142" s="14" t="s">
        <v>27</v>
      </c>
      <c r="C142" s="15">
        <v>1556.0</v>
      </c>
      <c r="D142" s="15">
        <v>476.0</v>
      </c>
      <c r="E142" s="15">
        <v>351556.0</v>
      </c>
      <c r="F142" s="15">
        <v>3.89</v>
      </c>
      <c r="G142" s="15">
        <v>10825.0</v>
      </c>
      <c r="H142" s="28" t="str">
        <f t="shared" si="3"/>
        <v>No Campaign</v>
      </c>
      <c r="I142" s="28" t="str">
        <f t="shared" si="2"/>
        <v>No Campaign</v>
      </c>
    </row>
    <row r="143">
      <c r="A143" s="100">
        <v>45691.0</v>
      </c>
      <c r="B143" s="14" t="s">
        <v>33</v>
      </c>
      <c r="C143" s="15">
        <v>1159.0</v>
      </c>
      <c r="D143" s="15">
        <v>411.0</v>
      </c>
      <c r="E143" s="15">
        <v>135987.0</v>
      </c>
      <c r="F143" s="15">
        <v>8.7</v>
      </c>
      <c r="G143" s="15">
        <v>40323.0</v>
      </c>
      <c r="H143" s="28" t="str">
        <f t="shared" si="3"/>
        <v>No Campaign</v>
      </c>
      <c r="I143" s="28" t="str">
        <f t="shared" si="2"/>
        <v>No Campaign</v>
      </c>
    </row>
    <row r="144">
      <c r="A144" s="100">
        <v>45691.0</v>
      </c>
      <c r="B144" s="14" t="s">
        <v>13</v>
      </c>
      <c r="C144" s="15">
        <v>927.0</v>
      </c>
      <c r="D144" s="15">
        <v>358.0</v>
      </c>
      <c r="E144" s="15">
        <v>177554.0</v>
      </c>
      <c r="F144" s="15">
        <v>6.95</v>
      </c>
      <c r="G144" s="15">
        <v>48270.0</v>
      </c>
      <c r="H144" s="28" t="str">
        <f t="shared" si="3"/>
        <v>No Campaign</v>
      </c>
      <c r="I144" s="28" t="str">
        <f t="shared" si="2"/>
        <v>No Campaign</v>
      </c>
    </row>
    <row r="145">
      <c r="A145" s="100">
        <v>45691.0</v>
      </c>
      <c r="B145" s="14" t="s">
        <v>24</v>
      </c>
      <c r="C145" s="15">
        <v>152.0</v>
      </c>
      <c r="D145" s="15">
        <v>355.0</v>
      </c>
      <c r="E145" s="15">
        <v>270766.0</v>
      </c>
      <c r="F145" s="15">
        <v>9.48</v>
      </c>
      <c r="G145" s="15">
        <v>18001.0</v>
      </c>
      <c r="H145" s="28" t="str">
        <f t="shared" si="3"/>
        <v>No Campaign</v>
      </c>
      <c r="I145" s="28" t="str">
        <f t="shared" si="2"/>
        <v>No Campaign</v>
      </c>
    </row>
    <row r="146">
      <c r="A146" s="100">
        <v>45698.0</v>
      </c>
      <c r="B146" s="14" t="s">
        <v>27</v>
      </c>
      <c r="C146" s="15">
        <v>1957.0</v>
      </c>
      <c r="D146" s="15">
        <v>234.0</v>
      </c>
      <c r="E146" s="15">
        <v>222126.0</v>
      </c>
      <c r="F146" s="15">
        <v>4.61</v>
      </c>
      <c r="G146" s="15">
        <v>3314.0</v>
      </c>
      <c r="H146" s="28" t="str">
        <f t="shared" si="3"/>
        <v>No Campaign</v>
      </c>
      <c r="I146" s="28" t="str">
        <f t="shared" si="2"/>
        <v>No Campaign</v>
      </c>
    </row>
    <row r="147">
      <c r="A147" s="100">
        <v>45698.0</v>
      </c>
      <c r="B147" s="14" t="s">
        <v>33</v>
      </c>
      <c r="C147" s="15">
        <v>1294.0</v>
      </c>
      <c r="D147" s="15">
        <v>382.0</v>
      </c>
      <c r="E147" s="15">
        <v>309914.0</v>
      </c>
      <c r="F147" s="15">
        <v>8.03</v>
      </c>
      <c r="G147" s="15">
        <v>23489.0</v>
      </c>
      <c r="H147" s="28" t="str">
        <f t="shared" si="3"/>
        <v>No Campaign</v>
      </c>
      <c r="I147" s="28" t="str">
        <f t="shared" si="2"/>
        <v>No Campaign</v>
      </c>
    </row>
    <row r="148">
      <c r="A148" s="100">
        <v>45698.0</v>
      </c>
      <c r="B148" s="14" t="s">
        <v>13</v>
      </c>
      <c r="C148" s="15">
        <v>1587.0</v>
      </c>
      <c r="D148" s="15">
        <v>385.0</v>
      </c>
      <c r="E148" s="15">
        <v>126582.0</v>
      </c>
      <c r="F148" s="15">
        <v>6.99</v>
      </c>
      <c r="G148" s="15">
        <v>42832.0</v>
      </c>
      <c r="H148" s="28" t="str">
        <f t="shared" si="3"/>
        <v>No Campaign</v>
      </c>
      <c r="I148" s="28" t="str">
        <f t="shared" si="2"/>
        <v>No Campaign</v>
      </c>
    </row>
    <row r="149">
      <c r="A149" s="100">
        <v>45698.0</v>
      </c>
      <c r="B149" s="14" t="s">
        <v>24</v>
      </c>
      <c r="C149" s="15">
        <v>1707.0</v>
      </c>
      <c r="D149" s="15">
        <v>263.0</v>
      </c>
      <c r="E149" s="15">
        <v>485280.0</v>
      </c>
      <c r="F149" s="15">
        <v>9.03</v>
      </c>
      <c r="G149" s="15">
        <v>24494.0</v>
      </c>
      <c r="H149" s="28" t="str">
        <f t="shared" si="3"/>
        <v>No Campaign</v>
      </c>
      <c r="I149" s="28" t="str">
        <f t="shared" si="2"/>
        <v>No Campaign</v>
      </c>
    </row>
    <row r="150">
      <c r="A150" s="100">
        <v>45705.0</v>
      </c>
      <c r="B150" s="14" t="s">
        <v>27</v>
      </c>
      <c r="C150" s="15">
        <v>1138.0</v>
      </c>
      <c r="D150" s="15">
        <v>173.0</v>
      </c>
      <c r="E150" s="15">
        <v>453243.0</v>
      </c>
      <c r="F150" s="15">
        <v>2.86</v>
      </c>
      <c r="G150" s="15">
        <v>44097.0</v>
      </c>
      <c r="H150" s="28" t="str">
        <f t="shared" si="3"/>
        <v>No Campaign</v>
      </c>
      <c r="I150" s="28" t="str">
        <f t="shared" si="2"/>
        <v>No Campaign</v>
      </c>
    </row>
    <row r="151">
      <c r="A151" s="100">
        <v>45705.0</v>
      </c>
      <c r="B151" s="14" t="s">
        <v>33</v>
      </c>
      <c r="C151" s="15">
        <v>1895.0</v>
      </c>
      <c r="D151" s="15">
        <v>305.0</v>
      </c>
      <c r="E151" s="15">
        <v>104967.0</v>
      </c>
      <c r="F151" s="15">
        <v>3.85</v>
      </c>
      <c r="G151" s="15">
        <v>31853.0</v>
      </c>
      <c r="H151" s="28" t="str">
        <f t="shared" si="3"/>
        <v>No Campaign</v>
      </c>
      <c r="I151" s="28" t="str">
        <f t="shared" si="2"/>
        <v>No Campaign</v>
      </c>
    </row>
    <row r="152">
      <c r="A152" s="100">
        <v>45705.0</v>
      </c>
      <c r="B152" s="14" t="s">
        <v>13</v>
      </c>
      <c r="C152" s="15">
        <v>362.0</v>
      </c>
      <c r="D152" s="15">
        <v>399.0</v>
      </c>
      <c r="E152" s="15">
        <v>145608.0</v>
      </c>
      <c r="F152" s="15">
        <v>7.3</v>
      </c>
      <c r="G152" s="15">
        <v>37636.0</v>
      </c>
      <c r="H152" s="28" t="str">
        <f t="shared" si="3"/>
        <v>No Campaign</v>
      </c>
      <c r="I152" s="28" t="str">
        <f t="shared" si="2"/>
        <v>No Campaign</v>
      </c>
    </row>
    <row r="153">
      <c r="A153" s="100">
        <v>45705.0</v>
      </c>
      <c r="B153" s="14" t="s">
        <v>24</v>
      </c>
      <c r="C153" s="15">
        <v>1662.0</v>
      </c>
      <c r="D153" s="15">
        <v>487.0</v>
      </c>
      <c r="E153" s="15">
        <v>105980.0</v>
      </c>
      <c r="F153" s="15">
        <v>9.08</v>
      </c>
      <c r="G153" s="15">
        <v>22996.0</v>
      </c>
      <c r="H153" s="28" t="str">
        <f t="shared" si="3"/>
        <v>No Campaign</v>
      </c>
      <c r="I153" s="28" t="str">
        <f t="shared" si="2"/>
        <v>No Campaign</v>
      </c>
    </row>
    <row r="154">
      <c r="A154" s="100">
        <v>45712.0</v>
      </c>
      <c r="B154" s="14" t="s">
        <v>27</v>
      </c>
      <c r="C154" s="15">
        <v>1440.0</v>
      </c>
      <c r="D154" s="15">
        <v>65.0</v>
      </c>
      <c r="E154" s="15">
        <v>126524.0</v>
      </c>
      <c r="F154" s="15">
        <v>4.34</v>
      </c>
      <c r="G154" s="15">
        <v>49772.0</v>
      </c>
      <c r="H154" s="28" t="str">
        <f t="shared" si="3"/>
        <v>No Campaign</v>
      </c>
      <c r="I154" s="28" t="str">
        <f t="shared" si="2"/>
        <v>No Campaign</v>
      </c>
    </row>
    <row r="155">
      <c r="A155" s="100">
        <v>45712.0</v>
      </c>
      <c r="B155" s="14" t="s">
        <v>33</v>
      </c>
      <c r="C155" s="15">
        <v>1884.0</v>
      </c>
      <c r="D155" s="15">
        <v>177.0</v>
      </c>
      <c r="E155" s="15">
        <v>230448.0</v>
      </c>
      <c r="F155" s="15">
        <v>7.8</v>
      </c>
      <c r="G155" s="15">
        <v>22713.0</v>
      </c>
      <c r="H155" s="28" t="str">
        <f t="shared" si="3"/>
        <v>No Campaign</v>
      </c>
      <c r="I155" s="28" t="str">
        <f t="shared" si="2"/>
        <v>No Campaign</v>
      </c>
    </row>
    <row r="156">
      <c r="A156" s="100">
        <v>45712.0</v>
      </c>
      <c r="B156" s="14" t="s">
        <v>13</v>
      </c>
      <c r="C156" s="15">
        <v>861.0</v>
      </c>
      <c r="D156" s="15">
        <v>153.0</v>
      </c>
      <c r="E156" s="15">
        <v>317007.0</v>
      </c>
      <c r="F156" s="15">
        <v>3.85</v>
      </c>
      <c r="G156" s="15">
        <v>8718.0</v>
      </c>
      <c r="H156" s="28" t="str">
        <f t="shared" si="3"/>
        <v>No Campaign</v>
      </c>
      <c r="I156" s="28" t="str">
        <f t="shared" si="2"/>
        <v>No Campaign</v>
      </c>
    </row>
    <row r="157">
      <c r="A157" s="100">
        <v>45712.0</v>
      </c>
      <c r="B157" s="14" t="s">
        <v>24</v>
      </c>
      <c r="C157" s="15">
        <v>1063.0</v>
      </c>
      <c r="D157" s="15">
        <v>47.0</v>
      </c>
      <c r="E157" s="15">
        <v>464239.0</v>
      </c>
      <c r="F157" s="15">
        <v>6.58</v>
      </c>
      <c r="G157" s="15">
        <v>39031.0</v>
      </c>
      <c r="H157" s="28" t="str">
        <f t="shared" si="3"/>
        <v>No Campaign</v>
      </c>
      <c r="I157" s="28" t="str">
        <f t="shared" si="2"/>
        <v>No Campaign</v>
      </c>
    </row>
    <row r="158">
      <c r="A158" s="100">
        <v>45719.0</v>
      </c>
      <c r="B158" s="14" t="s">
        <v>27</v>
      </c>
      <c r="C158" s="15">
        <v>1371.0</v>
      </c>
      <c r="D158" s="15">
        <v>56.0</v>
      </c>
      <c r="E158" s="15">
        <v>257579.0</v>
      </c>
      <c r="F158" s="15">
        <v>8.62</v>
      </c>
      <c r="G158" s="15">
        <v>33799.0</v>
      </c>
      <c r="H158" s="28" t="str">
        <f t="shared" si="3"/>
        <v>DailyWellness</v>
      </c>
      <c r="I158" s="28" t="str">
        <f t="shared" si="2"/>
        <v>During Campaign</v>
      </c>
    </row>
    <row r="159">
      <c r="A159" s="100">
        <v>45719.0</v>
      </c>
      <c r="B159" s="14" t="s">
        <v>33</v>
      </c>
      <c r="C159" s="15">
        <v>345.0</v>
      </c>
      <c r="D159" s="15">
        <v>464.0</v>
      </c>
      <c r="E159" s="15">
        <v>366881.0</v>
      </c>
      <c r="F159" s="15">
        <v>4.55</v>
      </c>
      <c r="G159" s="15">
        <v>20553.0</v>
      </c>
      <c r="H159" s="28" t="str">
        <f t="shared" si="3"/>
        <v>DailyWellness</v>
      </c>
      <c r="I159" s="28" t="str">
        <f t="shared" si="2"/>
        <v>During Campaign</v>
      </c>
    </row>
    <row r="160">
      <c r="A160" s="100">
        <v>45719.0</v>
      </c>
      <c r="B160" s="14" t="s">
        <v>13</v>
      </c>
      <c r="C160" s="15">
        <v>946.0</v>
      </c>
      <c r="D160" s="15">
        <v>47.0</v>
      </c>
      <c r="E160" s="15">
        <v>466575.0</v>
      </c>
      <c r="F160" s="15">
        <v>8.33</v>
      </c>
      <c r="G160" s="15">
        <v>10002.0</v>
      </c>
      <c r="H160" s="28" t="str">
        <f t="shared" si="3"/>
        <v>DailyWellness</v>
      </c>
      <c r="I160" s="28" t="str">
        <f t="shared" si="2"/>
        <v>During Campaign</v>
      </c>
    </row>
    <row r="161">
      <c r="A161" s="100">
        <v>45719.0</v>
      </c>
      <c r="B161" s="14" t="s">
        <v>24</v>
      </c>
      <c r="C161" s="15">
        <v>510.0</v>
      </c>
      <c r="D161" s="15">
        <v>195.0</v>
      </c>
      <c r="E161" s="15">
        <v>224534.0</v>
      </c>
      <c r="F161" s="15">
        <v>9.4</v>
      </c>
      <c r="G161" s="15">
        <v>30987.0</v>
      </c>
      <c r="H161" s="28" t="str">
        <f t="shared" si="3"/>
        <v>DailyWellness</v>
      </c>
      <c r="I161" s="28" t="str">
        <f t="shared" si="2"/>
        <v>During Campaign</v>
      </c>
    </row>
    <row r="162">
      <c r="A162" s="100">
        <v>45726.0</v>
      </c>
      <c r="B162" s="14" t="s">
        <v>27</v>
      </c>
      <c r="C162" s="15">
        <v>393.0</v>
      </c>
      <c r="D162" s="15">
        <v>181.0</v>
      </c>
      <c r="E162" s="15">
        <v>462142.0</v>
      </c>
      <c r="F162" s="15">
        <v>7.23</v>
      </c>
      <c r="G162" s="15">
        <v>6296.0</v>
      </c>
      <c r="H162" s="28" t="str">
        <f t="shared" si="3"/>
        <v>DailyWellness</v>
      </c>
      <c r="I162" s="28" t="str">
        <f t="shared" si="2"/>
        <v>During Campaign</v>
      </c>
    </row>
    <row r="163">
      <c r="A163" s="100">
        <v>45726.0</v>
      </c>
      <c r="B163" s="14" t="s">
        <v>33</v>
      </c>
      <c r="C163" s="15">
        <v>1098.0</v>
      </c>
      <c r="D163" s="15">
        <v>190.0</v>
      </c>
      <c r="E163" s="15">
        <v>340842.0</v>
      </c>
      <c r="F163" s="15">
        <v>9.39</v>
      </c>
      <c r="G163" s="15">
        <v>21539.0</v>
      </c>
      <c r="H163" s="28" t="str">
        <f t="shared" si="3"/>
        <v>DailyWellness</v>
      </c>
      <c r="I163" s="28" t="str">
        <f t="shared" si="2"/>
        <v>During Campaign</v>
      </c>
    </row>
    <row r="164">
      <c r="A164" s="100">
        <v>45726.0</v>
      </c>
      <c r="B164" s="14" t="s">
        <v>13</v>
      </c>
      <c r="C164" s="15">
        <v>1399.0</v>
      </c>
      <c r="D164" s="15">
        <v>49.0</v>
      </c>
      <c r="E164" s="15">
        <v>12471.0</v>
      </c>
      <c r="F164" s="15">
        <v>5.12</v>
      </c>
      <c r="G164" s="15">
        <v>14722.0</v>
      </c>
      <c r="H164" s="28" t="str">
        <f t="shared" si="3"/>
        <v>DailyWellness</v>
      </c>
      <c r="I164" s="28" t="str">
        <f t="shared" si="2"/>
        <v>During Campaign</v>
      </c>
    </row>
    <row r="165">
      <c r="A165" s="100">
        <v>45726.0</v>
      </c>
      <c r="B165" s="14" t="s">
        <v>24</v>
      </c>
      <c r="C165" s="15">
        <v>1658.0</v>
      </c>
      <c r="D165" s="15">
        <v>416.0</v>
      </c>
      <c r="E165" s="15">
        <v>98397.0</v>
      </c>
      <c r="F165" s="15">
        <v>6.11</v>
      </c>
      <c r="G165" s="15">
        <v>11383.0</v>
      </c>
      <c r="H165" s="99" t="s">
        <v>358</v>
      </c>
      <c r="I165" s="28" t="str">
        <f t="shared" si="2"/>
        <v>During Campaign</v>
      </c>
    </row>
    <row r="166">
      <c r="A166" s="100">
        <v>45733.0</v>
      </c>
      <c r="B166" s="14" t="s">
        <v>27</v>
      </c>
      <c r="C166" s="15">
        <v>1102.0</v>
      </c>
      <c r="D166" s="15">
        <v>422.0</v>
      </c>
      <c r="E166" s="15">
        <v>410330.0</v>
      </c>
      <c r="F166" s="15">
        <v>7.74</v>
      </c>
      <c r="G166" s="15">
        <v>9480.0</v>
      </c>
      <c r="H166" s="28" t="str">
        <f t="shared" ref="H166:H201" si="4">IF(AND(A166&gt;=DATE(2024,6,15),A166&lt;=DATE(2024,7,15)),"SummerSplash",
IF(AND(A166&gt;=DATE(2024,10,1),A166&lt;=DATE(2024,10,31)),"FestiveRadiance",
IF(AND(A166&gt;=DATE(2024,12,25),A166&lt;=DATE(2025,1,10)),"NewYearRefresh",
IF(AND(A166&gt;=DATE(2025,3,1),A166&lt;=DATE(2025,3,31)),"DailyWellness",
"No Campaign"))))
</f>
        <v>DailyWellness</v>
      </c>
      <c r="I166" s="28" t="str">
        <f t="shared" si="2"/>
        <v>During Campaign</v>
      </c>
    </row>
    <row r="167">
      <c r="A167" s="100">
        <v>45733.0</v>
      </c>
      <c r="B167" s="14" t="s">
        <v>33</v>
      </c>
      <c r="C167" s="15">
        <v>1358.0</v>
      </c>
      <c r="D167" s="15">
        <v>242.0</v>
      </c>
      <c r="E167" s="15">
        <v>342129.0</v>
      </c>
      <c r="F167" s="15">
        <v>4.94</v>
      </c>
      <c r="G167" s="15">
        <v>29116.0</v>
      </c>
      <c r="H167" s="28" t="str">
        <f t="shared" si="4"/>
        <v>DailyWellness</v>
      </c>
      <c r="I167" s="28" t="str">
        <f t="shared" si="2"/>
        <v>During Campaign</v>
      </c>
    </row>
    <row r="168">
      <c r="A168" s="100">
        <v>45733.0</v>
      </c>
      <c r="B168" s="14" t="s">
        <v>13</v>
      </c>
      <c r="C168" s="15">
        <v>1077.0</v>
      </c>
      <c r="D168" s="15">
        <v>216.0</v>
      </c>
      <c r="E168" s="15">
        <v>12447.0</v>
      </c>
      <c r="F168" s="15">
        <v>1.8</v>
      </c>
      <c r="G168" s="15">
        <v>14068.0</v>
      </c>
      <c r="H168" s="28" t="str">
        <f t="shared" si="4"/>
        <v>DailyWellness</v>
      </c>
      <c r="I168" s="28" t="str">
        <f t="shared" si="2"/>
        <v>During Campaign</v>
      </c>
    </row>
    <row r="169">
      <c r="A169" s="100">
        <v>45733.0</v>
      </c>
      <c r="B169" s="14" t="s">
        <v>24</v>
      </c>
      <c r="C169" s="15">
        <v>1596.0</v>
      </c>
      <c r="D169" s="15">
        <v>211.0</v>
      </c>
      <c r="E169" s="15">
        <v>17380.0</v>
      </c>
      <c r="F169" s="15">
        <v>8.64</v>
      </c>
      <c r="G169" s="15">
        <v>35801.0</v>
      </c>
      <c r="H169" s="28" t="str">
        <f t="shared" si="4"/>
        <v>DailyWellness</v>
      </c>
      <c r="I169" s="28" t="str">
        <f t="shared" si="2"/>
        <v>During Campaign</v>
      </c>
    </row>
    <row r="170">
      <c r="A170" s="100">
        <v>45740.0</v>
      </c>
      <c r="B170" s="14" t="s">
        <v>27</v>
      </c>
      <c r="C170" s="15">
        <v>490.0</v>
      </c>
      <c r="D170" s="15">
        <v>29.0</v>
      </c>
      <c r="E170" s="15">
        <v>364810.0</v>
      </c>
      <c r="F170" s="15">
        <v>1.53</v>
      </c>
      <c r="G170" s="15">
        <v>49077.0</v>
      </c>
      <c r="H170" s="28" t="str">
        <f t="shared" si="4"/>
        <v>DailyWellness</v>
      </c>
      <c r="I170" s="28" t="str">
        <f t="shared" si="2"/>
        <v>During Campaign</v>
      </c>
    </row>
    <row r="171">
      <c r="A171" s="100">
        <v>45740.0</v>
      </c>
      <c r="B171" s="14" t="s">
        <v>33</v>
      </c>
      <c r="C171" s="15">
        <v>609.0</v>
      </c>
      <c r="D171" s="15">
        <v>135.0</v>
      </c>
      <c r="E171" s="15">
        <v>373606.0</v>
      </c>
      <c r="F171" s="15">
        <v>8.52</v>
      </c>
      <c r="G171" s="15">
        <v>21453.0</v>
      </c>
      <c r="H171" s="28" t="str">
        <f t="shared" si="4"/>
        <v>DailyWellness</v>
      </c>
      <c r="I171" s="28" t="str">
        <f t="shared" si="2"/>
        <v>During Campaign</v>
      </c>
    </row>
    <row r="172">
      <c r="A172" s="100">
        <v>45740.0</v>
      </c>
      <c r="B172" s="14" t="s">
        <v>13</v>
      </c>
      <c r="C172" s="15">
        <v>364.0</v>
      </c>
      <c r="D172" s="15">
        <v>72.0</v>
      </c>
      <c r="E172" s="15">
        <v>211090.0</v>
      </c>
      <c r="F172" s="15">
        <v>5.53</v>
      </c>
      <c r="G172" s="15">
        <v>21061.0</v>
      </c>
      <c r="H172" s="28" t="str">
        <f t="shared" si="4"/>
        <v>DailyWellness</v>
      </c>
      <c r="I172" s="28" t="str">
        <f t="shared" si="2"/>
        <v>During Campaign</v>
      </c>
    </row>
    <row r="173">
      <c r="A173" s="100">
        <v>45740.0</v>
      </c>
      <c r="B173" s="14" t="s">
        <v>24</v>
      </c>
      <c r="C173" s="15">
        <v>442.0</v>
      </c>
      <c r="D173" s="15">
        <v>53.0</v>
      </c>
      <c r="E173" s="15">
        <v>441931.0</v>
      </c>
      <c r="F173" s="15">
        <v>1.87</v>
      </c>
      <c r="G173" s="15">
        <v>20059.0</v>
      </c>
      <c r="H173" s="28" t="str">
        <f t="shared" si="4"/>
        <v>DailyWellness</v>
      </c>
      <c r="I173" s="28" t="str">
        <f t="shared" si="2"/>
        <v>During Campaign</v>
      </c>
    </row>
    <row r="174">
      <c r="A174" s="100">
        <v>45747.0</v>
      </c>
      <c r="B174" s="14" t="s">
        <v>27</v>
      </c>
      <c r="C174" s="15">
        <v>1033.0</v>
      </c>
      <c r="D174" s="15">
        <v>392.0</v>
      </c>
      <c r="E174" s="15">
        <v>282780.0</v>
      </c>
      <c r="F174" s="15">
        <v>6.27</v>
      </c>
      <c r="G174" s="15">
        <v>23140.0</v>
      </c>
      <c r="H174" s="28" t="str">
        <f t="shared" si="4"/>
        <v>DailyWellness</v>
      </c>
      <c r="I174" s="28" t="str">
        <f t="shared" si="2"/>
        <v>During Campaign</v>
      </c>
    </row>
    <row r="175">
      <c r="A175" s="100">
        <v>45747.0</v>
      </c>
      <c r="B175" s="14" t="s">
        <v>33</v>
      </c>
      <c r="C175" s="15">
        <v>988.0</v>
      </c>
      <c r="D175" s="15">
        <v>474.0</v>
      </c>
      <c r="E175" s="15">
        <v>370070.0</v>
      </c>
      <c r="F175" s="15">
        <v>9.46</v>
      </c>
      <c r="G175" s="15">
        <v>23461.0</v>
      </c>
      <c r="H175" s="28" t="str">
        <f t="shared" si="4"/>
        <v>DailyWellness</v>
      </c>
      <c r="I175" s="28" t="str">
        <f t="shared" si="2"/>
        <v>During Campaign</v>
      </c>
    </row>
    <row r="176">
      <c r="A176" s="100">
        <v>45747.0</v>
      </c>
      <c r="B176" s="14" t="s">
        <v>13</v>
      </c>
      <c r="C176" s="15">
        <v>1946.0</v>
      </c>
      <c r="D176" s="15">
        <v>270.0</v>
      </c>
      <c r="E176" s="15">
        <v>198350.0</v>
      </c>
      <c r="F176" s="15">
        <v>7.5</v>
      </c>
      <c r="G176" s="15">
        <v>11805.0</v>
      </c>
      <c r="H176" s="28" t="str">
        <f t="shared" si="4"/>
        <v>DailyWellness</v>
      </c>
      <c r="I176" s="28" t="str">
        <f t="shared" si="2"/>
        <v>During Campaign</v>
      </c>
    </row>
    <row r="177">
      <c r="A177" s="100">
        <v>45747.0</v>
      </c>
      <c r="B177" s="14" t="s">
        <v>24</v>
      </c>
      <c r="C177" s="15">
        <v>1957.0</v>
      </c>
      <c r="D177" s="15">
        <v>490.0</v>
      </c>
      <c r="E177" s="15">
        <v>435726.0</v>
      </c>
      <c r="F177" s="15">
        <v>4.73</v>
      </c>
      <c r="G177" s="15">
        <v>15969.0</v>
      </c>
      <c r="H177" s="28" t="str">
        <f t="shared" si="4"/>
        <v>DailyWellness</v>
      </c>
      <c r="I177" s="28" t="str">
        <f t="shared" si="2"/>
        <v>During Campaign</v>
      </c>
    </row>
    <row r="178">
      <c r="A178" s="100">
        <v>45754.0</v>
      </c>
      <c r="B178" s="14" t="s">
        <v>27</v>
      </c>
      <c r="C178" s="15">
        <v>559.0</v>
      </c>
      <c r="D178" s="15">
        <v>392.0</v>
      </c>
      <c r="E178" s="15">
        <v>78789.0</v>
      </c>
      <c r="F178" s="15">
        <v>3.19</v>
      </c>
      <c r="G178" s="15">
        <v>2436.0</v>
      </c>
      <c r="H178" s="28" t="str">
        <f t="shared" si="4"/>
        <v>No Campaign</v>
      </c>
      <c r="I178" s="28" t="str">
        <f t="shared" si="2"/>
        <v>After Campaign</v>
      </c>
    </row>
    <row r="179">
      <c r="A179" s="100">
        <v>45754.0</v>
      </c>
      <c r="B179" s="14" t="s">
        <v>33</v>
      </c>
      <c r="C179" s="15">
        <v>1307.0</v>
      </c>
      <c r="D179" s="15">
        <v>278.0</v>
      </c>
      <c r="E179" s="15">
        <v>98596.0</v>
      </c>
      <c r="F179" s="15">
        <v>2.49</v>
      </c>
      <c r="G179" s="15">
        <v>47603.0</v>
      </c>
      <c r="H179" s="28" t="str">
        <f t="shared" si="4"/>
        <v>No Campaign</v>
      </c>
      <c r="I179" s="28" t="str">
        <f t="shared" si="2"/>
        <v>After Campaign</v>
      </c>
    </row>
    <row r="180">
      <c r="A180" s="100">
        <v>45754.0</v>
      </c>
      <c r="B180" s="14" t="s">
        <v>13</v>
      </c>
      <c r="C180" s="15">
        <v>1432.0</v>
      </c>
      <c r="D180" s="15">
        <v>425.0</v>
      </c>
      <c r="E180" s="15">
        <v>29589.0</v>
      </c>
      <c r="F180" s="15">
        <v>4.5</v>
      </c>
      <c r="G180" s="15">
        <v>42964.0</v>
      </c>
      <c r="H180" s="28" t="str">
        <f t="shared" si="4"/>
        <v>No Campaign</v>
      </c>
      <c r="I180" s="28" t="str">
        <f t="shared" si="2"/>
        <v>After Campaign</v>
      </c>
    </row>
    <row r="181">
      <c r="A181" s="100">
        <v>45754.0</v>
      </c>
      <c r="B181" s="14" t="s">
        <v>24</v>
      </c>
      <c r="C181" s="15">
        <v>623.0</v>
      </c>
      <c r="D181" s="15">
        <v>414.0</v>
      </c>
      <c r="E181" s="15">
        <v>290354.0</v>
      </c>
      <c r="F181" s="15">
        <v>6.49</v>
      </c>
      <c r="G181" s="15">
        <v>39923.0</v>
      </c>
      <c r="H181" s="28" t="str">
        <f t="shared" si="4"/>
        <v>No Campaign</v>
      </c>
      <c r="I181" s="28" t="str">
        <f t="shared" si="2"/>
        <v>After Campaign</v>
      </c>
    </row>
    <row r="182">
      <c r="A182" s="100">
        <v>45761.0</v>
      </c>
      <c r="B182" s="14" t="s">
        <v>27</v>
      </c>
      <c r="C182" s="15">
        <v>198.0</v>
      </c>
      <c r="D182" s="15">
        <v>358.0</v>
      </c>
      <c r="E182" s="15">
        <v>66682.0</v>
      </c>
      <c r="F182" s="15">
        <v>6.73</v>
      </c>
      <c r="G182" s="15">
        <v>2293.0</v>
      </c>
      <c r="H182" s="28" t="str">
        <f t="shared" si="4"/>
        <v>No Campaign</v>
      </c>
      <c r="I182" s="28" t="str">
        <f t="shared" si="2"/>
        <v>After Campaign</v>
      </c>
    </row>
    <row r="183">
      <c r="A183" s="100">
        <v>45761.0</v>
      </c>
      <c r="B183" s="14" t="s">
        <v>33</v>
      </c>
      <c r="C183" s="15">
        <v>198.0</v>
      </c>
      <c r="D183" s="15">
        <v>373.0</v>
      </c>
      <c r="E183" s="15">
        <v>70707.0</v>
      </c>
      <c r="F183" s="15">
        <v>4.83</v>
      </c>
      <c r="G183" s="15">
        <v>25920.0</v>
      </c>
      <c r="H183" s="28" t="str">
        <f t="shared" si="4"/>
        <v>No Campaign</v>
      </c>
      <c r="I183" s="28" t="str">
        <f t="shared" si="2"/>
        <v>After Campaign</v>
      </c>
    </row>
    <row r="184">
      <c r="A184" s="100">
        <v>45761.0</v>
      </c>
      <c r="B184" s="14" t="s">
        <v>13</v>
      </c>
      <c r="C184" s="15">
        <v>353.0</v>
      </c>
      <c r="D184" s="15">
        <v>300.0</v>
      </c>
      <c r="E184" s="15">
        <v>142507.0</v>
      </c>
      <c r="F184" s="15">
        <v>5.3</v>
      </c>
      <c r="G184" s="15">
        <v>11035.0</v>
      </c>
      <c r="H184" s="28" t="str">
        <f t="shared" si="4"/>
        <v>No Campaign</v>
      </c>
      <c r="I184" s="28" t="str">
        <f t="shared" si="2"/>
        <v>After Campaign</v>
      </c>
    </row>
    <row r="185">
      <c r="A185" s="100">
        <v>45761.0</v>
      </c>
      <c r="B185" s="14" t="s">
        <v>24</v>
      </c>
      <c r="C185" s="15">
        <v>520.0</v>
      </c>
      <c r="D185" s="15">
        <v>375.0</v>
      </c>
      <c r="E185" s="15">
        <v>369525.0</v>
      </c>
      <c r="F185" s="15">
        <v>6.54</v>
      </c>
      <c r="G185" s="15">
        <v>20733.0</v>
      </c>
      <c r="H185" s="28" t="str">
        <f t="shared" si="4"/>
        <v>No Campaign</v>
      </c>
      <c r="I185" s="28" t="str">
        <f t="shared" si="2"/>
        <v>After Campaign</v>
      </c>
    </row>
    <row r="186">
      <c r="A186" s="100">
        <v>45768.0</v>
      </c>
      <c r="B186" s="14" t="s">
        <v>27</v>
      </c>
      <c r="C186" s="15">
        <v>961.0</v>
      </c>
      <c r="D186" s="15">
        <v>358.0</v>
      </c>
      <c r="E186" s="15">
        <v>62942.0</v>
      </c>
      <c r="F186" s="15">
        <v>6.8</v>
      </c>
      <c r="G186" s="15">
        <v>18693.0</v>
      </c>
      <c r="H186" s="28" t="str">
        <f t="shared" si="4"/>
        <v>No Campaign</v>
      </c>
      <c r="I186" s="28" t="str">
        <f t="shared" si="2"/>
        <v>After Campaign</v>
      </c>
    </row>
    <row r="187">
      <c r="A187" s="100">
        <v>45768.0</v>
      </c>
      <c r="B187" s="14" t="s">
        <v>33</v>
      </c>
      <c r="C187" s="15">
        <v>1375.0</v>
      </c>
      <c r="D187" s="15">
        <v>330.0</v>
      </c>
      <c r="E187" s="15">
        <v>377382.0</v>
      </c>
      <c r="F187" s="15">
        <v>2.6</v>
      </c>
      <c r="G187" s="15">
        <v>7875.0</v>
      </c>
      <c r="H187" s="28" t="str">
        <f t="shared" si="4"/>
        <v>No Campaign</v>
      </c>
      <c r="I187" s="28" t="str">
        <f t="shared" si="2"/>
        <v>After Campaign</v>
      </c>
    </row>
    <row r="188">
      <c r="A188" s="100">
        <v>45768.0</v>
      </c>
      <c r="B188" s="14" t="s">
        <v>13</v>
      </c>
      <c r="C188" s="15">
        <v>1147.0</v>
      </c>
      <c r="D188" s="15">
        <v>388.0</v>
      </c>
      <c r="E188" s="15">
        <v>333851.0</v>
      </c>
      <c r="F188" s="15">
        <v>2.44</v>
      </c>
      <c r="G188" s="15">
        <v>8471.0</v>
      </c>
      <c r="H188" s="28" t="str">
        <f t="shared" si="4"/>
        <v>No Campaign</v>
      </c>
      <c r="I188" s="28" t="str">
        <f t="shared" si="2"/>
        <v>After Campaign</v>
      </c>
    </row>
    <row r="189">
      <c r="A189" s="100">
        <v>45768.0</v>
      </c>
      <c r="B189" s="14" t="s">
        <v>24</v>
      </c>
      <c r="C189" s="15">
        <v>1707.0</v>
      </c>
      <c r="D189" s="15">
        <v>74.0</v>
      </c>
      <c r="E189" s="15">
        <v>270958.0</v>
      </c>
      <c r="F189" s="15">
        <v>3.09</v>
      </c>
      <c r="G189" s="15">
        <v>14090.0</v>
      </c>
      <c r="H189" s="28" t="str">
        <f t="shared" si="4"/>
        <v>No Campaign</v>
      </c>
      <c r="I189" s="28" t="str">
        <f t="shared" si="2"/>
        <v>After Campaign</v>
      </c>
    </row>
    <row r="190">
      <c r="A190" s="100">
        <v>45775.0</v>
      </c>
      <c r="B190" s="14" t="s">
        <v>27</v>
      </c>
      <c r="C190" s="15">
        <v>1693.0</v>
      </c>
      <c r="D190" s="15">
        <v>154.0</v>
      </c>
      <c r="E190" s="15">
        <v>445944.0</v>
      </c>
      <c r="F190" s="15">
        <v>5.69</v>
      </c>
      <c r="G190" s="15">
        <v>14216.0</v>
      </c>
      <c r="H190" s="28" t="str">
        <f t="shared" si="4"/>
        <v>No Campaign</v>
      </c>
      <c r="I190" s="28" t="str">
        <f t="shared" si="2"/>
        <v>After Campaign</v>
      </c>
    </row>
    <row r="191">
      <c r="A191" s="100">
        <v>45775.0</v>
      </c>
      <c r="B191" s="14" t="s">
        <v>33</v>
      </c>
      <c r="C191" s="15">
        <v>833.0</v>
      </c>
      <c r="D191" s="15">
        <v>380.0</v>
      </c>
      <c r="E191" s="15">
        <v>224830.0</v>
      </c>
      <c r="F191" s="15">
        <v>3.86</v>
      </c>
      <c r="G191" s="15">
        <v>3582.0</v>
      </c>
      <c r="H191" s="28" t="str">
        <f t="shared" si="4"/>
        <v>No Campaign</v>
      </c>
      <c r="I191" s="28" t="str">
        <f t="shared" si="2"/>
        <v>After Campaign</v>
      </c>
    </row>
    <row r="192">
      <c r="A192" s="100">
        <v>45775.0</v>
      </c>
      <c r="B192" s="14" t="s">
        <v>13</v>
      </c>
      <c r="C192" s="15">
        <v>1222.0</v>
      </c>
      <c r="D192" s="15">
        <v>274.0</v>
      </c>
      <c r="E192" s="15">
        <v>487289.0</v>
      </c>
      <c r="F192" s="15">
        <v>3.16</v>
      </c>
      <c r="G192" s="15">
        <v>32500.0</v>
      </c>
      <c r="H192" s="28" t="str">
        <f t="shared" si="4"/>
        <v>No Campaign</v>
      </c>
      <c r="I192" s="28" t="str">
        <f t="shared" si="2"/>
        <v>After Campaign</v>
      </c>
    </row>
    <row r="193">
      <c r="A193" s="100">
        <v>45775.0</v>
      </c>
      <c r="B193" s="14" t="s">
        <v>24</v>
      </c>
      <c r="C193" s="15">
        <v>777.0</v>
      </c>
      <c r="D193" s="15">
        <v>140.0</v>
      </c>
      <c r="E193" s="15">
        <v>11435.0</v>
      </c>
      <c r="F193" s="15">
        <v>1.6</v>
      </c>
      <c r="G193" s="15">
        <v>6832.0</v>
      </c>
      <c r="H193" s="28" t="str">
        <f t="shared" si="4"/>
        <v>No Campaign</v>
      </c>
      <c r="I193" s="28" t="str">
        <f t="shared" si="2"/>
        <v>After Campaign</v>
      </c>
    </row>
    <row r="194">
      <c r="A194" s="100">
        <v>45782.0</v>
      </c>
      <c r="B194" s="14" t="s">
        <v>27</v>
      </c>
      <c r="C194" s="15">
        <v>1957.0</v>
      </c>
      <c r="D194" s="15">
        <v>76.0</v>
      </c>
      <c r="E194" s="15">
        <v>447902.0</v>
      </c>
      <c r="F194" s="15">
        <v>6.09</v>
      </c>
      <c r="G194" s="15">
        <v>33381.0</v>
      </c>
      <c r="H194" s="28" t="str">
        <f t="shared" si="4"/>
        <v>No Campaign</v>
      </c>
      <c r="I194" s="28" t="str">
        <f t="shared" si="2"/>
        <v>After Campaign</v>
      </c>
    </row>
    <row r="195">
      <c r="A195" s="100">
        <v>45782.0</v>
      </c>
      <c r="B195" s="14" t="s">
        <v>33</v>
      </c>
      <c r="C195" s="15">
        <v>405.0</v>
      </c>
      <c r="D195" s="15">
        <v>66.0</v>
      </c>
      <c r="E195" s="15">
        <v>418696.0</v>
      </c>
      <c r="F195" s="15">
        <v>5.59</v>
      </c>
      <c r="G195" s="15">
        <v>48419.0</v>
      </c>
      <c r="H195" s="28" t="str">
        <f t="shared" si="4"/>
        <v>No Campaign</v>
      </c>
      <c r="I195" s="28" t="str">
        <f t="shared" si="2"/>
        <v>After Campaign</v>
      </c>
    </row>
    <row r="196">
      <c r="A196" s="100">
        <v>45782.0</v>
      </c>
      <c r="B196" s="14" t="s">
        <v>13</v>
      </c>
      <c r="C196" s="15">
        <v>1581.0</v>
      </c>
      <c r="D196" s="15">
        <v>71.0</v>
      </c>
      <c r="E196" s="15">
        <v>484364.0</v>
      </c>
      <c r="F196" s="15">
        <v>3.55</v>
      </c>
      <c r="G196" s="15">
        <v>16149.0</v>
      </c>
      <c r="H196" s="28" t="str">
        <f t="shared" si="4"/>
        <v>No Campaign</v>
      </c>
      <c r="I196" s="28" t="str">
        <f t="shared" si="2"/>
        <v>After Campaign</v>
      </c>
    </row>
    <row r="197">
      <c r="A197" s="100">
        <v>45782.0</v>
      </c>
      <c r="B197" s="14" t="s">
        <v>24</v>
      </c>
      <c r="C197" s="15">
        <v>1035.0</v>
      </c>
      <c r="D197" s="15">
        <v>171.0</v>
      </c>
      <c r="E197" s="15">
        <v>148477.0</v>
      </c>
      <c r="F197" s="15">
        <v>5.21</v>
      </c>
      <c r="G197" s="15">
        <v>7541.0</v>
      </c>
      <c r="H197" s="28" t="str">
        <f t="shared" si="4"/>
        <v>No Campaign</v>
      </c>
      <c r="I197" s="28" t="str">
        <f t="shared" si="2"/>
        <v>After Campaign</v>
      </c>
    </row>
    <row r="198">
      <c r="A198" s="100">
        <v>45789.0</v>
      </c>
      <c r="B198" s="14" t="s">
        <v>27</v>
      </c>
      <c r="C198" s="15">
        <v>1765.0</v>
      </c>
      <c r="D198" s="15">
        <v>109.0</v>
      </c>
      <c r="E198" s="15">
        <v>468301.0</v>
      </c>
      <c r="F198" s="15">
        <v>1.82</v>
      </c>
      <c r="G198" s="15">
        <v>20042.0</v>
      </c>
      <c r="H198" s="28" t="str">
        <f t="shared" si="4"/>
        <v>No Campaign</v>
      </c>
      <c r="I198" s="28" t="str">
        <f t="shared" si="2"/>
        <v>After Campaign</v>
      </c>
    </row>
    <row r="199">
      <c r="A199" s="100">
        <v>45789.0</v>
      </c>
      <c r="B199" s="14" t="s">
        <v>33</v>
      </c>
      <c r="C199" s="15">
        <v>837.0</v>
      </c>
      <c r="D199" s="15">
        <v>430.0</v>
      </c>
      <c r="E199" s="15">
        <v>364820.0</v>
      </c>
      <c r="F199" s="15">
        <v>4.0</v>
      </c>
      <c r="G199" s="15">
        <v>49400.0</v>
      </c>
      <c r="H199" s="28" t="str">
        <f t="shared" si="4"/>
        <v>No Campaign</v>
      </c>
      <c r="I199" s="28" t="str">
        <f t="shared" si="2"/>
        <v>After Campaign</v>
      </c>
    </row>
    <row r="200">
      <c r="A200" s="100">
        <v>45789.0</v>
      </c>
      <c r="B200" s="14" t="s">
        <v>13</v>
      </c>
      <c r="C200" s="15">
        <v>337.0</v>
      </c>
      <c r="D200" s="15">
        <v>68.0</v>
      </c>
      <c r="E200" s="15">
        <v>456298.0</v>
      </c>
      <c r="F200" s="15">
        <v>7.57</v>
      </c>
      <c r="G200" s="15">
        <v>4007.0</v>
      </c>
      <c r="H200" s="28" t="str">
        <f t="shared" si="4"/>
        <v>No Campaign</v>
      </c>
      <c r="I200" s="28" t="str">
        <f t="shared" si="2"/>
        <v>After Campaign</v>
      </c>
    </row>
    <row r="201">
      <c r="A201" s="100">
        <v>45789.0</v>
      </c>
      <c r="B201" s="14" t="s">
        <v>24</v>
      </c>
      <c r="C201" s="15">
        <v>119.0</v>
      </c>
      <c r="D201" s="15">
        <v>456.0</v>
      </c>
      <c r="E201" s="15">
        <v>82558.0</v>
      </c>
      <c r="F201" s="15">
        <v>6.81</v>
      </c>
      <c r="G201" s="15">
        <v>12174.0</v>
      </c>
      <c r="H201" s="28" t="str">
        <f t="shared" si="4"/>
        <v>No Campaign</v>
      </c>
      <c r="I201" s="28" t="str">
        <f t="shared" si="2"/>
        <v>After Campaign</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5"/>
    <col customWidth="1" min="4" max="4" width="19.38"/>
    <col customWidth="1" min="5" max="5" width="19.88"/>
    <col customWidth="1" min="6" max="6" width="45.88"/>
  </cols>
  <sheetData>
    <row r="1">
      <c r="A1" s="1" t="s">
        <v>358</v>
      </c>
      <c r="B1" s="98" t="s">
        <v>360</v>
      </c>
      <c r="C1" s="101" t="s">
        <v>359</v>
      </c>
      <c r="D1" s="99" t="s">
        <v>453</v>
      </c>
      <c r="E1" s="99" t="s">
        <v>454</v>
      </c>
      <c r="F1" s="99" t="s">
        <v>455</v>
      </c>
    </row>
    <row r="2">
      <c r="A2" s="18" t="s">
        <v>365</v>
      </c>
      <c r="B2" s="102">
        <v>45488.0</v>
      </c>
      <c r="C2" s="103">
        <v>45458.0</v>
      </c>
      <c r="D2" s="29">
        <f t="array" ref="D2">INDEX('Task1-2 cleaned'!$E:$E, MATCH(MAXIFS('Task1-2 cleaned'!$A:$A, 'Task1-2 cleaned'!$A:$A, "&lt;="&amp;C2), 'Task1-2 cleaned'!$A:$A, 0))
</f>
        <v>49157</v>
      </c>
      <c r="E2" s="29">
        <f t="array" ref="E2">INDEX('Task1-2 cleaned'!$E:$E, MATCH(MAXIFS('Task1-2 cleaned'!$A:$A, 'Task1-2 cleaned'!$A:$A, "&lt;="&amp;B2), 'Task1-2 cleaned'!$A:$A, 0))
</f>
        <v>154169</v>
      </c>
      <c r="F2" s="29">
        <f t="shared" ref="F2:F5" si="1">E2 - D2
</f>
        <v>105012</v>
      </c>
    </row>
    <row r="3">
      <c r="A3" s="18" t="s">
        <v>368</v>
      </c>
      <c r="B3" s="102">
        <v>45596.0</v>
      </c>
      <c r="C3" s="103">
        <v>45566.0</v>
      </c>
      <c r="D3" s="29">
        <f t="array" ref="D3">INDEX('Task1-2 cleaned'!$E:$E, MATCH(MAXIFS('Task1-2 cleaned'!$A:$A, 'Task1-2 cleaned'!$A:$A, "&lt;="&amp;C3), 'Task1-2 cleaned'!$A:$A, 0))
</f>
        <v>370269</v>
      </c>
      <c r="E3" s="29">
        <f t="array" ref="E3">INDEX('Task1-2 cleaned'!$E:$E, MATCH(MAXIFS('Task1-2 cleaned'!$A:$A, 'Task1-2 cleaned'!$A:$A, "&lt;="&amp;B3), 'Task1-2 cleaned'!$A:$A, 0))
</f>
        <v>346522</v>
      </c>
      <c r="F3" s="29">
        <f t="shared" si="1"/>
        <v>-23747</v>
      </c>
    </row>
    <row r="4">
      <c r="A4" s="18" t="s">
        <v>372</v>
      </c>
      <c r="B4" s="102">
        <v>45667.0</v>
      </c>
      <c r="C4" s="103">
        <v>45651.0</v>
      </c>
      <c r="D4" s="29">
        <f t="array" ref="D4">INDEX('Task1-2 cleaned'!$E:$E, MATCH(MAXIFS('Task1-2 cleaned'!$A:$A, 'Task1-2 cleaned'!$A:$A, "&lt;="&amp;C4), 'Task1-2 cleaned'!$A:$A, 0))
</f>
        <v>280795</v>
      </c>
      <c r="E4" s="29">
        <f t="array" ref="E4">INDEX('Task1-2 cleaned'!$E:$E, MATCH(MAXIFS('Task1-2 cleaned'!$A:$A, 'Task1-2 cleaned'!$A:$A, "&lt;="&amp;B4), 'Task1-2 cleaned'!$A:$A, 0))
</f>
        <v>466382</v>
      </c>
      <c r="F4" s="29">
        <f t="shared" si="1"/>
        <v>185587</v>
      </c>
    </row>
    <row r="5">
      <c r="A5" s="18" t="s">
        <v>375</v>
      </c>
      <c r="B5" s="102">
        <v>45747.0</v>
      </c>
      <c r="C5" s="103">
        <v>45717.0</v>
      </c>
      <c r="D5" s="29">
        <f t="array" ref="D5">INDEX('Task1-2 cleaned'!$E:$E, MATCH(MAXIFS('Task1-2 cleaned'!$A:$A, 'Task1-2 cleaned'!$A:$A, "&lt;="&amp;C5), 'Task1-2 cleaned'!$A:$A, 0))
</f>
        <v>126524</v>
      </c>
      <c r="E5" s="29">
        <f t="array" ref="E5">INDEX('Task1-2 cleaned'!$E:$E, MATCH(MAXIFS('Task1-2 cleaned'!$A:$A, 'Task1-2 cleaned'!$A:$A, "&lt;="&amp;B5), 'Task1-2 cleaned'!$A:$A, 0))
</f>
        <v>282780</v>
      </c>
      <c r="F5" s="29">
        <f t="shared" si="1"/>
        <v>156256</v>
      </c>
    </row>
    <row r="6">
      <c r="A6" s="23"/>
      <c r="B6" s="104"/>
      <c r="C6" s="104"/>
      <c r="D6" s="28"/>
      <c r="E6" s="28"/>
      <c r="F6" s="28"/>
    </row>
    <row r="12">
      <c r="F12" s="105" t="s">
        <v>456</v>
      </c>
    </row>
    <row r="13">
      <c r="F13" s="106" t="s">
        <v>457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5.75"/>
    <col customWidth="1" min="6" max="6" width="18.13"/>
    <col customWidth="1" min="7" max="7" width="20.0"/>
  </cols>
  <sheetData>
    <row r="1">
      <c r="A1" s="107" t="s">
        <v>352</v>
      </c>
      <c r="B1" s="31" t="s">
        <v>458</v>
      </c>
      <c r="C1" s="31" t="s">
        <v>459</v>
      </c>
      <c r="D1" s="99" t="s">
        <v>460</v>
      </c>
    </row>
    <row r="2">
      <c r="A2" s="108">
        <v>45446.0</v>
      </c>
      <c r="B2" s="45">
        <v>1012.0</v>
      </c>
      <c r="C2" s="45">
        <v>4566.0</v>
      </c>
      <c r="D2" s="29">
        <f t="shared" ref="D2:D52" si="1">C2 - B2
</f>
        <v>3554</v>
      </c>
    </row>
    <row r="3">
      <c r="A3" s="108">
        <v>45453.0</v>
      </c>
      <c r="B3" s="45">
        <v>1006.0</v>
      </c>
      <c r="C3" s="45">
        <v>3986.0</v>
      </c>
      <c r="D3" s="29">
        <f t="shared" si="1"/>
        <v>2980</v>
      </c>
    </row>
    <row r="4">
      <c r="A4" s="108">
        <v>45460.0</v>
      </c>
      <c r="B4" s="45">
        <v>632.0</v>
      </c>
      <c r="C4" s="45">
        <v>4539.0</v>
      </c>
      <c r="D4" s="29">
        <f t="shared" si="1"/>
        <v>3907</v>
      </c>
    </row>
    <row r="5">
      <c r="A5" s="108">
        <v>45467.0</v>
      </c>
      <c r="B5" s="45">
        <v>1225.0</v>
      </c>
      <c r="C5" s="45">
        <v>4236.0</v>
      </c>
      <c r="D5" s="29">
        <f t="shared" si="1"/>
        <v>3011</v>
      </c>
    </row>
    <row r="6">
      <c r="A6" s="108">
        <v>45474.0</v>
      </c>
      <c r="B6" s="45">
        <v>1002.0</v>
      </c>
      <c r="C6" s="45">
        <v>2295.0</v>
      </c>
      <c r="D6" s="29">
        <f t="shared" si="1"/>
        <v>1293</v>
      </c>
    </row>
    <row r="7">
      <c r="A7" s="108">
        <v>45481.0</v>
      </c>
      <c r="B7" s="45">
        <v>935.0</v>
      </c>
      <c r="C7" s="45">
        <v>3977.0</v>
      </c>
      <c r="D7" s="29">
        <f t="shared" si="1"/>
        <v>3042</v>
      </c>
    </row>
    <row r="8">
      <c r="A8" s="108">
        <v>45488.0</v>
      </c>
      <c r="B8" s="45">
        <v>788.0</v>
      </c>
      <c r="C8" s="45">
        <v>3058.0</v>
      </c>
      <c r="D8" s="29">
        <f t="shared" si="1"/>
        <v>2270</v>
      </c>
    </row>
    <row r="9">
      <c r="A9" s="108">
        <v>45495.0</v>
      </c>
      <c r="B9" s="45">
        <v>1651.0</v>
      </c>
      <c r="C9" s="45">
        <v>4404.0</v>
      </c>
      <c r="D9" s="29">
        <f t="shared" si="1"/>
        <v>2753</v>
      </c>
    </row>
    <row r="10">
      <c r="A10" s="108">
        <v>45502.0</v>
      </c>
      <c r="B10" s="45">
        <v>952.0</v>
      </c>
      <c r="C10" s="45">
        <v>3145.0</v>
      </c>
      <c r="D10" s="29">
        <f t="shared" si="1"/>
        <v>2193</v>
      </c>
    </row>
    <row r="11">
      <c r="A11" s="108">
        <v>45509.0</v>
      </c>
      <c r="B11" s="45">
        <v>1343.0</v>
      </c>
      <c r="C11" s="45">
        <v>2145.0</v>
      </c>
      <c r="D11" s="29">
        <f t="shared" si="1"/>
        <v>802</v>
      </c>
    </row>
    <row r="12">
      <c r="A12" s="108">
        <v>45516.0</v>
      </c>
      <c r="B12" s="45">
        <v>1029.0</v>
      </c>
      <c r="C12" s="45">
        <v>4757.0</v>
      </c>
      <c r="D12" s="29">
        <f t="shared" si="1"/>
        <v>3728</v>
      </c>
    </row>
    <row r="13">
      <c r="A13" s="108">
        <v>45523.0</v>
      </c>
      <c r="B13" s="45">
        <v>276.0</v>
      </c>
      <c r="C13" s="45">
        <v>3265.0</v>
      </c>
      <c r="D13" s="29">
        <f t="shared" si="1"/>
        <v>2989</v>
      </c>
      <c r="G13" s="109" t="s">
        <v>461</v>
      </c>
    </row>
    <row r="14">
      <c r="A14" s="108">
        <v>45530.0</v>
      </c>
      <c r="B14" s="45">
        <v>752.0</v>
      </c>
      <c r="C14" s="45">
        <v>3655.0</v>
      </c>
      <c r="D14" s="29">
        <f t="shared" si="1"/>
        <v>2903</v>
      </c>
    </row>
    <row r="15">
      <c r="A15" s="108">
        <v>45537.0</v>
      </c>
      <c r="B15" s="45">
        <v>1412.0</v>
      </c>
      <c r="C15" s="45">
        <v>4234.0</v>
      </c>
      <c r="D15" s="29">
        <f t="shared" si="1"/>
        <v>2822</v>
      </c>
    </row>
    <row r="16">
      <c r="A16" s="108">
        <v>45544.0</v>
      </c>
      <c r="B16" s="45">
        <v>1234.0</v>
      </c>
      <c r="C16" s="45">
        <v>5594.0</v>
      </c>
      <c r="D16" s="29">
        <f t="shared" si="1"/>
        <v>4360</v>
      </c>
    </row>
    <row r="17">
      <c r="A17" s="108">
        <v>45551.0</v>
      </c>
      <c r="B17" s="45">
        <v>1248.0</v>
      </c>
      <c r="C17" s="45">
        <v>2816.0</v>
      </c>
      <c r="D17" s="29">
        <f t="shared" si="1"/>
        <v>1568</v>
      </c>
    </row>
    <row r="18">
      <c r="A18" s="108">
        <v>45558.0</v>
      </c>
      <c r="B18" s="45">
        <v>811.0</v>
      </c>
      <c r="C18" s="45">
        <v>4144.0</v>
      </c>
      <c r="D18" s="29">
        <f t="shared" si="1"/>
        <v>3333</v>
      </c>
    </row>
    <row r="19">
      <c r="A19" s="108">
        <v>45565.0</v>
      </c>
      <c r="B19" s="45">
        <v>1202.0</v>
      </c>
      <c r="C19" s="45">
        <v>4353.0</v>
      </c>
      <c r="D19" s="29">
        <f t="shared" si="1"/>
        <v>3151</v>
      </c>
    </row>
    <row r="20">
      <c r="A20" s="108">
        <v>45572.0</v>
      </c>
      <c r="B20" s="45">
        <v>853.0</v>
      </c>
      <c r="C20" s="45">
        <v>4612.0</v>
      </c>
      <c r="D20" s="29">
        <f t="shared" si="1"/>
        <v>3759</v>
      </c>
    </row>
    <row r="21">
      <c r="A21" s="108">
        <v>45579.0</v>
      </c>
      <c r="B21" s="45">
        <v>929.0</v>
      </c>
      <c r="C21" s="45">
        <v>2785.0</v>
      </c>
      <c r="D21" s="29">
        <f t="shared" si="1"/>
        <v>1856</v>
      </c>
    </row>
    <row r="22">
      <c r="A22" s="108">
        <v>45586.0</v>
      </c>
      <c r="B22" s="45">
        <v>794.0</v>
      </c>
      <c r="C22" s="45">
        <v>3615.0</v>
      </c>
      <c r="D22" s="29">
        <f t="shared" si="1"/>
        <v>2821</v>
      </c>
    </row>
    <row r="23">
      <c r="A23" s="108">
        <v>45593.0</v>
      </c>
      <c r="B23" s="45">
        <v>850.0</v>
      </c>
      <c r="C23" s="45">
        <v>3506.0</v>
      </c>
      <c r="D23" s="29">
        <f t="shared" si="1"/>
        <v>2656</v>
      </c>
    </row>
    <row r="24">
      <c r="A24" s="108">
        <v>45600.0</v>
      </c>
      <c r="B24" s="45">
        <v>1157.0</v>
      </c>
      <c r="C24" s="45">
        <v>5741.0</v>
      </c>
      <c r="D24" s="29">
        <f t="shared" si="1"/>
        <v>4584</v>
      </c>
    </row>
    <row r="25">
      <c r="A25" s="108">
        <v>45607.0</v>
      </c>
      <c r="B25" s="45">
        <v>892.0</v>
      </c>
      <c r="C25" s="45">
        <v>3187.0</v>
      </c>
      <c r="D25" s="29">
        <f t="shared" si="1"/>
        <v>2295</v>
      </c>
    </row>
    <row r="26">
      <c r="A26" s="108">
        <v>45614.0</v>
      </c>
      <c r="B26" s="45">
        <v>1078.0</v>
      </c>
      <c r="C26" s="45">
        <v>1606.0</v>
      </c>
      <c r="D26" s="29">
        <f t="shared" si="1"/>
        <v>528</v>
      </c>
    </row>
    <row r="27">
      <c r="A27" s="108">
        <v>45621.0</v>
      </c>
      <c r="B27" s="45">
        <v>1179.0</v>
      </c>
      <c r="C27" s="45">
        <v>5187.0</v>
      </c>
      <c r="D27" s="29">
        <f t="shared" si="1"/>
        <v>4008</v>
      </c>
    </row>
    <row r="28">
      <c r="A28" s="108">
        <v>45628.0</v>
      </c>
      <c r="B28" s="45">
        <v>696.0</v>
      </c>
      <c r="C28" s="45">
        <v>5491.0</v>
      </c>
      <c r="D28" s="29">
        <f t="shared" si="1"/>
        <v>4795</v>
      </c>
    </row>
    <row r="29">
      <c r="A29" s="108">
        <v>45635.0</v>
      </c>
      <c r="B29" s="45">
        <v>889.0</v>
      </c>
      <c r="C29" s="45">
        <v>5681.0</v>
      </c>
      <c r="D29" s="29">
        <f t="shared" si="1"/>
        <v>4792</v>
      </c>
    </row>
    <row r="30">
      <c r="A30" s="108">
        <v>45642.0</v>
      </c>
      <c r="B30" s="45">
        <v>677.0</v>
      </c>
      <c r="C30" s="45">
        <v>5721.0</v>
      </c>
      <c r="D30" s="29">
        <f t="shared" si="1"/>
        <v>5044</v>
      </c>
    </row>
    <row r="31">
      <c r="A31" s="108">
        <v>45649.0</v>
      </c>
      <c r="B31" s="45">
        <v>1370.0</v>
      </c>
      <c r="C31" s="45">
        <v>5284.0</v>
      </c>
      <c r="D31" s="29">
        <f t="shared" si="1"/>
        <v>3914</v>
      </c>
    </row>
    <row r="32">
      <c r="A32" s="108">
        <v>45656.0</v>
      </c>
      <c r="B32" s="45">
        <v>545.0</v>
      </c>
      <c r="C32" s="45">
        <v>7075.0</v>
      </c>
      <c r="D32" s="29">
        <f t="shared" si="1"/>
        <v>6530</v>
      </c>
    </row>
    <row r="33">
      <c r="A33" s="108">
        <v>45663.0</v>
      </c>
      <c r="B33" s="45">
        <v>796.0</v>
      </c>
      <c r="C33" s="45">
        <v>4353.0</v>
      </c>
      <c r="D33" s="29">
        <f t="shared" si="1"/>
        <v>3557</v>
      </c>
    </row>
    <row r="34">
      <c r="A34" s="108">
        <v>45670.0</v>
      </c>
      <c r="B34" s="45">
        <v>1178.0</v>
      </c>
      <c r="C34" s="45">
        <v>3955.0</v>
      </c>
      <c r="D34" s="29">
        <f t="shared" si="1"/>
        <v>2777</v>
      </c>
    </row>
    <row r="35">
      <c r="A35" s="108">
        <v>45677.0</v>
      </c>
      <c r="B35" s="45">
        <v>1003.0</v>
      </c>
      <c r="C35" s="45">
        <v>4617.0</v>
      </c>
      <c r="D35" s="29">
        <f t="shared" si="1"/>
        <v>3614</v>
      </c>
    </row>
    <row r="36">
      <c r="A36" s="108">
        <v>45684.0</v>
      </c>
      <c r="B36" s="45">
        <v>893.0</v>
      </c>
      <c r="C36" s="45">
        <v>4276.0</v>
      </c>
      <c r="D36" s="29">
        <f t="shared" si="1"/>
        <v>3383</v>
      </c>
    </row>
    <row r="37">
      <c r="A37" s="108">
        <v>45691.0</v>
      </c>
      <c r="B37" s="45">
        <v>1600.0</v>
      </c>
      <c r="C37" s="45">
        <v>3794.0</v>
      </c>
      <c r="D37" s="29">
        <f t="shared" si="1"/>
        <v>2194</v>
      </c>
    </row>
    <row r="38">
      <c r="A38" s="108">
        <v>45698.0</v>
      </c>
      <c r="B38" s="45">
        <v>1264.0</v>
      </c>
      <c r="C38" s="45">
        <v>6545.0</v>
      </c>
      <c r="D38" s="29">
        <f t="shared" si="1"/>
        <v>5281</v>
      </c>
    </row>
    <row r="39">
      <c r="A39" s="108">
        <v>45705.0</v>
      </c>
      <c r="B39" s="45">
        <v>1364.0</v>
      </c>
      <c r="C39" s="45">
        <v>5057.0</v>
      </c>
      <c r="D39" s="29">
        <f t="shared" si="1"/>
        <v>3693</v>
      </c>
    </row>
    <row r="40">
      <c r="A40" s="108">
        <v>45712.0</v>
      </c>
      <c r="B40" s="45">
        <v>442.0</v>
      </c>
      <c r="C40" s="45">
        <v>5248.0</v>
      </c>
      <c r="D40" s="29">
        <f t="shared" si="1"/>
        <v>4806</v>
      </c>
    </row>
    <row r="41">
      <c r="A41" s="108">
        <v>45719.0</v>
      </c>
      <c r="B41" s="45">
        <v>762.0</v>
      </c>
      <c r="C41" s="45">
        <v>3172.0</v>
      </c>
      <c r="D41" s="29">
        <f t="shared" si="1"/>
        <v>2410</v>
      </c>
    </row>
    <row r="42">
      <c r="A42" s="108">
        <v>45726.0</v>
      </c>
      <c r="B42" s="45">
        <v>836.0</v>
      </c>
      <c r="C42" s="45">
        <v>4548.0</v>
      </c>
      <c r="D42" s="29">
        <f t="shared" si="1"/>
        <v>3712</v>
      </c>
    </row>
    <row r="43">
      <c r="A43" s="108">
        <v>45733.0</v>
      </c>
      <c r="B43" s="45">
        <v>1091.0</v>
      </c>
      <c r="C43" s="45">
        <v>5133.0</v>
      </c>
      <c r="D43" s="29">
        <f t="shared" si="1"/>
        <v>4042</v>
      </c>
    </row>
    <row r="44">
      <c r="A44" s="108">
        <v>45740.0</v>
      </c>
      <c r="B44" s="45">
        <v>289.0</v>
      </c>
      <c r="C44" s="45">
        <v>1905.0</v>
      </c>
      <c r="D44" s="29">
        <f t="shared" si="1"/>
        <v>1616</v>
      </c>
    </row>
    <row r="45">
      <c r="A45" s="108">
        <v>45747.0</v>
      </c>
      <c r="B45" s="45">
        <v>1626.0</v>
      </c>
      <c r="C45" s="45">
        <v>5924.0</v>
      </c>
      <c r="D45" s="29">
        <f t="shared" si="1"/>
        <v>4298</v>
      </c>
    </row>
    <row r="46">
      <c r="A46" s="108">
        <v>45754.0</v>
      </c>
      <c r="B46" s="45">
        <v>1509.0</v>
      </c>
      <c r="C46" s="45">
        <v>3921.0</v>
      </c>
      <c r="D46" s="29">
        <f t="shared" si="1"/>
        <v>2412</v>
      </c>
    </row>
    <row r="47">
      <c r="A47" s="108">
        <v>45761.0</v>
      </c>
      <c r="B47" s="45">
        <v>1406.0</v>
      </c>
      <c r="C47" s="45">
        <v>1269.0</v>
      </c>
      <c r="D47" s="29">
        <f t="shared" si="1"/>
        <v>-137</v>
      </c>
    </row>
    <row r="48">
      <c r="A48" s="108">
        <v>45768.0</v>
      </c>
      <c r="B48" s="45">
        <v>1150.0</v>
      </c>
      <c r="C48" s="45">
        <v>5190.0</v>
      </c>
      <c r="D48" s="29">
        <f t="shared" si="1"/>
        <v>4040</v>
      </c>
    </row>
    <row r="49">
      <c r="A49" s="108">
        <v>45775.0</v>
      </c>
      <c r="B49" s="45">
        <v>948.0</v>
      </c>
      <c r="C49" s="45">
        <v>4525.0</v>
      </c>
      <c r="D49" s="29">
        <f t="shared" si="1"/>
        <v>3577</v>
      </c>
    </row>
    <row r="50">
      <c r="A50" s="108">
        <v>45782.0</v>
      </c>
      <c r="B50" s="45">
        <v>384.0</v>
      </c>
      <c r="C50" s="45">
        <v>4978.0</v>
      </c>
      <c r="D50" s="29">
        <f t="shared" si="1"/>
        <v>4594</v>
      </c>
    </row>
    <row r="51">
      <c r="A51" s="108">
        <v>45789.0</v>
      </c>
      <c r="B51" s="45">
        <v>1063.0</v>
      </c>
      <c r="C51" s="45">
        <v>3058.0</v>
      </c>
      <c r="D51" s="29">
        <f t="shared" si="1"/>
        <v>1995</v>
      </c>
    </row>
    <row r="52">
      <c r="A52" s="110" t="s">
        <v>387</v>
      </c>
      <c r="B52" s="46">
        <v>50023.0</v>
      </c>
      <c r="C52" s="46">
        <v>210128.0</v>
      </c>
      <c r="D52" s="29">
        <f t="shared" si="1"/>
        <v>160105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4.25"/>
  </cols>
  <sheetData>
    <row r="1">
      <c r="A1" s="12" t="s">
        <v>353</v>
      </c>
      <c r="B1" s="12" t="s">
        <v>357</v>
      </c>
    </row>
    <row r="2">
      <c r="A2" s="15">
        <v>1135.0</v>
      </c>
      <c r="B2" s="15">
        <v>5904.0</v>
      </c>
    </row>
    <row r="3">
      <c r="A3" s="15">
        <v>1312.0</v>
      </c>
      <c r="B3" s="15">
        <v>9566.0</v>
      </c>
    </row>
    <row r="4">
      <c r="A4" s="15">
        <v>584.0</v>
      </c>
      <c r="B4" s="15">
        <v>26752.0</v>
      </c>
    </row>
    <row r="5">
      <c r="A5" s="15">
        <v>1535.0</v>
      </c>
      <c r="B5" s="15">
        <v>30671.0</v>
      </c>
    </row>
    <row r="6">
      <c r="A6" s="15">
        <v>656.0</v>
      </c>
      <c r="B6" s="15">
        <v>9920.0</v>
      </c>
    </row>
    <row r="7">
      <c r="A7" s="15">
        <v>1697.0</v>
      </c>
      <c r="B7" s="15">
        <v>7924.0</v>
      </c>
    </row>
    <row r="8">
      <c r="A8" s="15">
        <v>436.0</v>
      </c>
      <c r="B8" s="15">
        <v>8912.0</v>
      </c>
    </row>
    <row r="9">
      <c r="A9" s="15">
        <v>1197.0</v>
      </c>
      <c r="B9" s="15">
        <v>21205.0</v>
      </c>
    </row>
    <row r="10">
      <c r="A10" s="15">
        <v>1048.0</v>
      </c>
      <c r="B10" s="15">
        <v>11329.0</v>
      </c>
    </row>
    <row r="11">
      <c r="A11" s="15">
        <v>1753.0</v>
      </c>
      <c r="B11" s="15">
        <v>46670.0</v>
      </c>
    </row>
    <row r="12">
      <c r="A12" s="15">
        <v>1335.0</v>
      </c>
      <c r="B12" s="15">
        <v>22482.0</v>
      </c>
    </row>
    <row r="13">
      <c r="A13" s="15">
        <v>403.0</v>
      </c>
      <c r="B13" s="15">
        <v>24313.0</v>
      </c>
    </row>
    <row r="14">
      <c r="A14" s="15">
        <v>911.0</v>
      </c>
      <c r="B14" s="15">
        <v>18050.0</v>
      </c>
    </row>
    <row r="15">
      <c r="A15" s="15">
        <v>1779.0</v>
      </c>
      <c r="B15" s="15">
        <v>30635.0</v>
      </c>
    </row>
    <row r="16">
      <c r="A16" s="15">
        <v>1238.0</v>
      </c>
      <c r="B16" s="15">
        <v>31280.0</v>
      </c>
    </row>
    <row r="17">
      <c r="A17" s="15">
        <v>308.0</v>
      </c>
      <c r="B17" s="15">
        <v>1783.0</v>
      </c>
      <c r="J17" s="111" t="s">
        <v>462</v>
      </c>
    </row>
    <row r="18">
      <c r="A18" s="15">
        <v>226.0</v>
      </c>
      <c r="B18" s="15">
        <v>9566.0</v>
      </c>
      <c r="J18" s="112">
        <f>CORREL(A2:A200, B2:B200)</f>
        <v>0.07449196099</v>
      </c>
    </row>
    <row r="19">
      <c r="A19" s="15">
        <v>505.0</v>
      </c>
      <c r="B19" s="15">
        <v>42307.0</v>
      </c>
    </row>
    <row r="20">
      <c r="A20" s="15">
        <v>1420.0</v>
      </c>
      <c r="B20" s="15">
        <v>5914.0</v>
      </c>
    </row>
    <row r="21">
      <c r="A21" s="15">
        <v>144.0</v>
      </c>
      <c r="B21" s="15">
        <v>30060.0</v>
      </c>
    </row>
    <row r="22">
      <c r="A22" s="15">
        <v>1757.0</v>
      </c>
      <c r="B22" s="15">
        <v>22728.0</v>
      </c>
    </row>
    <row r="23">
      <c r="A23" s="15">
        <v>350.0</v>
      </c>
      <c r="B23" s="15">
        <v>38610.0</v>
      </c>
    </row>
    <row r="24">
      <c r="A24" s="15">
        <v>987.0</v>
      </c>
      <c r="B24" s="15">
        <v>2932.0</v>
      </c>
    </row>
    <row r="25">
      <c r="A25" s="15">
        <v>883.0</v>
      </c>
      <c r="B25" s="15">
        <v>15071.0</v>
      </c>
    </row>
    <row r="26">
      <c r="A26" s="15">
        <v>1960.0</v>
      </c>
      <c r="B26" s="15">
        <v>10740.0</v>
      </c>
    </row>
    <row r="27">
      <c r="A27" s="15">
        <v>170.0</v>
      </c>
      <c r="B27" s="15">
        <v>43420.0</v>
      </c>
    </row>
    <row r="28">
      <c r="A28" s="15">
        <v>704.0</v>
      </c>
      <c r="B28" s="15">
        <v>32393.0</v>
      </c>
    </row>
    <row r="29">
      <c r="A29" s="15">
        <v>224.0</v>
      </c>
      <c r="B29" s="15">
        <v>28474.0</v>
      </c>
    </row>
    <row r="30">
      <c r="A30" s="15">
        <v>508.0</v>
      </c>
      <c r="B30" s="15">
        <v>17328.0</v>
      </c>
    </row>
    <row r="31">
      <c r="A31" s="15">
        <v>1391.0</v>
      </c>
      <c r="B31" s="15">
        <v>26067.0</v>
      </c>
    </row>
    <row r="32">
      <c r="A32" s="15">
        <v>1701.0</v>
      </c>
      <c r="B32" s="15">
        <v>32763.0</v>
      </c>
    </row>
    <row r="33">
      <c r="A33" s="15">
        <v>804.0</v>
      </c>
      <c r="B33" s="15">
        <v>26452.0</v>
      </c>
    </row>
    <row r="34">
      <c r="A34" s="15">
        <v>653.0</v>
      </c>
      <c r="B34" s="15">
        <v>15353.0</v>
      </c>
    </row>
    <row r="35">
      <c r="A35" s="15">
        <v>160.0</v>
      </c>
      <c r="B35" s="15">
        <v>4839.0</v>
      </c>
    </row>
    <row r="36">
      <c r="A36" s="15">
        <v>1756.0</v>
      </c>
      <c r="B36" s="15">
        <v>39272.0</v>
      </c>
    </row>
    <row r="37">
      <c r="A37" s="15">
        <v>576.0</v>
      </c>
      <c r="B37" s="15">
        <v>16804.0</v>
      </c>
    </row>
    <row r="38">
      <c r="A38" s="15">
        <v>645.0</v>
      </c>
      <c r="B38" s="15">
        <v>49303.0</v>
      </c>
    </row>
    <row r="39">
      <c r="A39" s="15">
        <v>214.0</v>
      </c>
      <c r="B39" s="15">
        <v>26455.0</v>
      </c>
    </row>
    <row r="40">
      <c r="A40" s="15">
        <v>826.0</v>
      </c>
      <c r="B40" s="15">
        <v>12384.0</v>
      </c>
    </row>
    <row r="41">
      <c r="A41" s="15">
        <v>460.0</v>
      </c>
      <c r="B41" s="15">
        <v>49372.0</v>
      </c>
    </row>
    <row r="42">
      <c r="A42" s="15">
        <v>1528.0</v>
      </c>
      <c r="B42" s="15">
        <v>47101.0</v>
      </c>
    </row>
    <row r="43">
      <c r="A43" s="15">
        <v>1534.0</v>
      </c>
      <c r="B43" s="15">
        <v>37903.0</v>
      </c>
    </row>
    <row r="44">
      <c r="A44" s="15">
        <v>485.0</v>
      </c>
      <c r="B44" s="15">
        <v>33258.0</v>
      </c>
    </row>
    <row r="45">
      <c r="A45" s="15">
        <v>1210.0</v>
      </c>
      <c r="B45" s="15">
        <v>6915.0</v>
      </c>
    </row>
    <row r="46">
      <c r="A46" s="15">
        <v>215.0</v>
      </c>
      <c r="B46" s="15">
        <v>35501.0</v>
      </c>
    </row>
    <row r="47">
      <c r="A47" s="15">
        <v>1078.0</v>
      </c>
      <c r="B47" s="15">
        <v>14203.0</v>
      </c>
    </row>
    <row r="48">
      <c r="A48" s="15">
        <v>1751.0</v>
      </c>
      <c r="B48" s="15">
        <v>22206.0</v>
      </c>
    </row>
    <row r="49">
      <c r="A49" s="15">
        <v>221.0</v>
      </c>
      <c r="B49" s="15">
        <v>10283.0</v>
      </c>
    </row>
    <row r="50">
      <c r="A50" s="15">
        <v>1685.0</v>
      </c>
      <c r="B50" s="15">
        <v>24913.0</v>
      </c>
    </row>
    <row r="51">
      <c r="A51" s="15">
        <v>248.0</v>
      </c>
      <c r="B51" s="15">
        <v>26925.0</v>
      </c>
    </row>
    <row r="52">
      <c r="A52" s="15">
        <v>1300.0</v>
      </c>
      <c r="B52" s="15">
        <v>9942.0</v>
      </c>
    </row>
    <row r="53">
      <c r="A53" s="15">
        <v>422.0</v>
      </c>
      <c r="B53" s="15">
        <v>32929.0</v>
      </c>
    </row>
    <row r="54">
      <c r="A54" s="15">
        <v>1429.0</v>
      </c>
      <c r="B54" s="15">
        <v>37829.0</v>
      </c>
    </row>
    <row r="55">
      <c r="A55" s="15">
        <v>1520.0</v>
      </c>
      <c r="B55" s="15">
        <v>24384.0</v>
      </c>
    </row>
    <row r="56">
      <c r="A56" s="15">
        <v>557.0</v>
      </c>
      <c r="B56" s="15">
        <v>25797.0</v>
      </c>
    </row>
    <row r="57">
      <c r="A57" s="15">
        <v>728.0</v>
      </c>
      <c r="B57" s="15">
        <v>12646.0</v>
      </c>
    </row>
    <row r="58">
      <c r="A58" s="15">
        <v>1592.0</v>
      </c>
      <c r="B58" s="15">
        <v>26663.0</v>
      </c>
    </row>
    <row r="59">
      <c r="A59" s="15">
        <v>1842.0</v>
      </c>
      <c r="B59" s="15">
        <v>40478.0</v>
      </c>
    </row>
    <row r="60">
      <c r="A60" s="15">
        <v>751.0</v>
      </c>
      <c r="B60" s="15">
        <v>15476.0</v>
      </c>
    </row>
    <row r="61">
      <c r="A61" s="15">
        <v>1409.0</v>
      </c>
      <c r="B61" s="15">
        <v>10217.0</v>
      </c>
    </row>
    <row r="62">
      <c r="A62" s="15">
        <v>778.0</v>
      </c>
      <c r="B62" s="15">
        <v>21939.0</v>
      </c>
    </row>
    <row r="63">
      <c r="A63" s="15">
        <v>443.0</v>
      </c>
      <c r="B63" s="15">
        <v>47462.0</v>
      </c>
    </row>
    <row r="64">
      <c r="A64" s="15">
        <v>1472.0</v>
      </c>
      <c r="B64" s="15">
        <v>30270.0</v>
      </c>
    </row>
    <row r="65">
      <c r="A65" s="15">
        <v>123.0</v>
      </c>
      <c r="B65" s="15">
        <v>5442.0</v>
      </c>
    </row>
    <row r="66">
      <c r="A66" s="15">
        <v>817.0</v>
      </c>
      <c r="B66" s="15">
        <v>1083.0</v>
      </c>
    </row>
    <row r="67">
      <c r="A67" s="15">
        <v>198.0</v>
      </c>
      <c r="B67" s="15">
        <v>11901.0</v>
      </c>
    </row>
    <row r="68">
      <c r="A68" s="15">
        <v>1911.0</v>
      </c>
      <c r="B68" s="15">
        <v>24018.0</v>
      </c>
    </row>
    <row r="69">
      <c r="A69" s="15">
        <v>1218.0</v>
      </c>
      <c r="B69" s="15">
        <v>38883.0</v>
      </c>
    </row>
    <row r="70">
      <c r="A70" s="15">
        <v>1433.0</v>
      </c>
      <c r="B70" s="15">
        <v>30575.0</v>
      </c>
    </row>
    <row r="71">
      <c r="A71" s="15">
        <v>250.0</v>
      </c>
      <c r="B71" s="15">
        <v>2315.0</v>
      </c>
    </row>
    <row r="72">
      <c r="A72" s="15">
        <v>752.0</v>
      </c>
      <c r="B72" s="15">
        <v>12148.0</v>
      </c>
    </row>
    <row r="73">
      <c r="A73" s="15">
        <v>1918.0</v>
      </c>
      <c r="B73" s="15">
        <v>36851.0</v>
      </c>
    </row>
    <row r="74">
      <c r="A74" s="15">
        <v>1939.0</v>
      </c>
      <c r="B74" s="15">
        <v>41215.0</v>
      </c>
    </row>
    <row r="75">
      <c r="A75" s="15">
        <v>1929.0</v>
      </c>
      <c r="B75" s="15">
        <v>43836.0</v>
      </c>
    </row>
    <row r="76">
      <c r="A76" s="15">
        <v>437.0</v>
      </c>
      <c r="B76" s="15">
        <v>4509.0</v>
      </c>
    </row>
    <row r="77">
      <c r="A77" s="15">
        <v>307.0</v>
      </c>
      <c r="B77" s="15">
        <v>27822.0</v>
      </c>
    </row>
    <row r="78">
      <c r="A78" s="15">
        <v>1527.0</v>
      </c>
      <c r="B78" s="15">
        <v>36397.0</v>
      </c>
    </row>
    <row r="79">
      <c r="A79" s="15">
        <v>643.0</v>
      </c>
      <c r="B79" s="15">
        <v>7285.0</v>
      </c>
    </row>
    <row r="80">
      <c r="A80" s="15">
        <v>201.0</v>
      </c>
      <c r="B80" s="15">
        <v>33174.0</v>
      </c>
    </row>
    <row r="81">
      <c r="A81" s="15">
        <v>414.0</v>
      </c>
      <c r="B81" s="15">
        <v>6742.0</v>
      </c>
    </row>
    <row r="82">
      <c r="A82" s="15">
        <v>703.0</v>
      </c>
      <c r="B82" s="15">
        <v>32478.0</v>
      </c>
    </row>
    <row r="83">
      <c r="A83" s="15">
        <v>508.0</v>
      </c>
      <c r="B83" s="15">
        <v>42824.0</v>
      </c>
    </row>
    <row r="84">
      <c r="A84" s="15">
        <v>697.0</v>
      </c>
      <c r="B84" s="15">
        <v>21208.0</v>
      </c>
    </row>
    <row r="85">
      <c r="A85" s="15">
        <v>1707.0</v>
      </c>
      <c r="B85" s="15">
        <v>44321.0</v>
      </c>
    </row>
    <row r="86">
      <c r="A86" s="15">
        <v>642.0</v>
      </c>
      <c r="B86" s="15">
        <v>13116.0</v>
      </c>
    </row>
    <row r="87">
      <c r="A87" s="15">
        <v>859.0</v>
      </c>
      <c r="B87" s="15">
        <v>30214.0</v>
      </c>
    </row>
    <row r="88">
      <c r="A88" s="15">
        <v>191.0</v>
      </c>
      <c r="B88" s="15">
        <v>15827.0</v>
      </c>
    </row>
    <row r="89">
      <c r="A89" s="15">
        <v>1814.0</v>
      </c>
      <c r="B89" s="15">
        <v>46643.0</v>
      </c>
    </row>
    <row r="90">
      <c r="A90" s="15">
        <v>1466.0</v>
      </c>
      <c r="B90" s="15">
        <v>36484.0</v>
      </c>
    </row>
    <row r="91">
      <c r="A91" s="15">
        <v>947.0</v>
      </c>
      <c r="B91" s="15">
        <v>4996.0</v>
      </c>
    </row>
    <row r="92">
      <c r="A92" s="15">
        <v>1821.0</v>
      </c>
      <c r="B92" s="15">
        <v>36095.0</v>
      </c>
    </row>
    <row r="93">
      <c r="A93" s="15">
        <v>1507.0</v>
      </c>
      <c r="B93" s="15">
        <v>16443.0</v>
      </c>
    </row>
    <row r="94">
      <c r="A94" s="15">
        <v>1075.0</v>
      </c>
      <c r="B94" s="15">
        <v>47812.0</v>
      </c>
    </row>
    <row r="95">
      <c r="A95" s="15">
        <v>171.0</v>
      </c>
      <c r="B95" s="15">
        <v>38452.0</v>
      </c>
    </row>
    <row r="96">
      <c r="A96" s="15">
        <v>1487.0</v>
      </c>
      <c r="B96" s="15">
        <v>30428.0</v>
      </c>
    </row>
    <row r="97">
      <c r="A97" s="15">
        <v>454.0</v>
      </c>
      <c r="B97" s="15">
        <v>9269.0</v>
      </c>
    </row>
    <row r="98">
      <c r="A98" s="15">
        <v>187.0</v>
      </c>
      <c r="B98" s="15">
        <v>29533.0</v>
      </c>
    </row>
    <row r="99">
      <c r="A99" s="15">
        <v>513.0</v>
      </c>
      <c r="B99" s="15">
        <v>39997.0</v>
      </c>
    </row>
    <row r="100">
      <c r="A100" s="15">
        <v>628.0</v>
      </c>
      <c r="B100" s="15">
        <v>5391.0</v>
      </c>
    </row>
    <row r="101">
      <c r="A101" s="15">
        <v>278.0</v>
      </c>
      <c r="B101" s="15">
        <v>22373.0</v>
      </c>
    </row>
    <row r="102">
      <c r="A102" s="15">
        <v>1854.0</v>
      </c>
      <c r="B102" s="15">
        <v>1810.0</v>
      </c>
    </row>
    <row r="103">
      <c r="A103" s="15">
        <v>1710.0</v>
      </c>
      <c r="B103" s="15">
        <v>28498.0</v>
      </c>
    </row>
    <row r="104">
      <c r="A104" s="15">
        <v>330.0</v>
      </c>
      <c r="B104" s="15">
        <v>39530.0</v>
      </c>
    </row>
    <row r="105">
      <c r="A105" s="15">
        <v>1293.0</v>
      </c>
      <c r="B105" s="15">
        <v>37876.0</v>
      </c>
    </row>
    <row r="106">
      <c r="A106" s="15">
        <v>1696.0</v>
      </c>
      <c r="B106" s="15">
        <v>36103.0</v>
      </c>
    </row>
    <row r="107">
      <c r="A107" s="15">
        <v>1902.0</v>
      </c>
      <c r="B107" s="15">
        <v>26103.0</v>
      </c>
    </row>
    <row r="108">
      <c r="A108" s="15">
        <v>1441.0</v>
      </c>
      <c r="B108" s="15">
        <v>3455.0</v>
      </c>
    </row>
    <row r="109">
      <c r="A109" s="15">
        <v>452.0</v>
      </c>
      <c r="B109" s="15">
        <v>40888.0</v>
      </c>
    </row>
    <row r="110">
      <c r="A110" s="15">
        <v>1494.0</v>
      </c>
      <c r="B110" s="15">
        <v>22724.0</v>
      </c>
    </row>
    <row r="111">
      <c r="A111" s="15">
        <v>1514.0</v>
      </c>
      <c r="B111" s="15">
        <v>18601.0</v>
      </c>
    </row>
    <row r="112">
      <c r="A112" s="15">
        <v>1937.0</v>
      </c>
      <c r="B112" s="15">
        <v>20861.0</v>
      </c>
    </row>
    <row r="113">
      <c r="A113" s="15">
        <v>736.0</v>
      </c>
      <c r="B113" s="15">
        <v>46625.0</v>
      </c>
    </row>
    <row r="114">
      <c r="A114" s="15">
        <v>1502.0</v>
      </c>
      <c r="B114" s="15">
        <v>20692.0</v>
      </c>
    </row>
    <row r="115">
      <c r="A115" s="15">
        <v>1623.0</v>
      </c>
      <c r="B115" s="15">
        <v>18656.0</v>
      </c>
    </row>
    <row r="116">
      <c r="A116" s="15">
        <v>1592.0</v>
      </c>
      <c r="B116" s="15">
        <v>13316.0</v>
      </c>
    </row>
    <row r="117">
      <c r="A117" s="15">
        <v>1004.0</v>
      </c>
      <c r="B117" s="15">
        <v>49558.0</v>
      </c>
    </row>
    <row r="118">
      <c r="A118" s="15">
        <v>1092.0</v>
      </c>
      <c r="B118" s="15">
        <v>4683.0</v>
      </c>
    </row>
    <row r="119">
      <c r="A119" s="15">
        <v>1155.0</v>
      </c>
      <c r="B119" s="15">
        <v>47502.0</v>
      </c>
    </row>
    <row r="120">
      <c r="A120" s="15">
        <v>1137.0</v>
      </c>
      <c r="B120" s="15">
        <v>35359.0</v>
      </c>
    </row>
    <row r="121">
      <c r="A121" s="15">
        <v>1900.0</v>
      </c>
      <c r="B121" s="15">
        <v>14154.0</v>
      </c>
    </row>
    <row r="122">
      <c r="A122" s="15">
        <v>1814.0</v>
      </c>
      <c r="B122" s="15">
        <v>4313.0</v>
      </c>
    </row>
    <row r="123">
      <c r="A123" s="15">
        <v>1980.0</v>
      </c>
      <c r="B123" s="15">
        <v>25140.0</v>
      </c>
    </row>
    <row r="124">
      <c r="A124" s="15">
        <v>1786.0</v>
      </c>
      <c r="B124" s="15">
        <v>9118.0</v>
      </c>
    </row>
    <row r="125">
      <c r="A125" s="15">
        <v>1495.0</v>
      </c>
      <c r="B125" s="15">
        <v>39931.0</v>
      </c>
    </row>
    <row r="126">
      <c r="A126" s="15">
        <v>1013.0</v>
      </c>
      <c r="B126" s="15">
        <v>37132.0</v>
      </c>
    </row>
    <row r="127">
      <c r="A127" s="15">
        <v>816.0</v>
      </c>
      <c r="B127" s="15">
        <v>17951.0</v>
      </c>
    </row>
    <row r="128">
      <c r="A128" s="15">
        <v>1633.0</v>
      </c>
      <c r="B128" s="15">
        <v>2798.0</v>
      </c>
    </row>
    <row r="129">
      <c r="A129" s="15">
        <v>891.0</v>
      </c>
      <c r="B129" s="15">
        <v>15045.0</v>
      </c>
    </row>
    <row r="130">
      <c r="A130" s="15">
        <v>1855.0</v>
      </c>
      <c r="B130" s="15">
        <v>14548.0</v>
      </c>
    </row>
    <row r="131">
      <c r="A131" s="15">
        <v>651.0</v>
      </c>
      <c r="B131" s="15">
        <v>45708.0</v>
      </c>
    </row>
    <row r="132">
      <c r="A132" s="15">
        <v>118.0</v>
      </c>
      <c r="B132" s="15">
        <v>12350.0</v>
      </c>
    </row>
    <row r="133">
      <c r="A133" s="15">
        <v>1331.0</v>
      </c>
      <c r="B133" s="15">
        <v>40868.0</v>
      </c>
    </row>
    <row r="134">
      <c r="A134" s="15">
        <v>1748.0</v>
      </c>
      <c r="B134" s="15">
        <v>43122.0</v>
      </c>
    </row>
    <row r="135">
      <c r="A135" s="15">
        <v>663.0</v>
      </c>
      <c r="B135" s="15">
        <v>23853.0</v>
      </c>
    </row>
    <row r="136">
      <c r="A136" s="15">
        <v>1040.0</v>
      </c>
      <c r="B136" s="15">
        <v>45380.0</v>
      </c>
    </row>
    <row r="137">
      <c r="A137" s="15">
        <v>1166.0</v>
      </c>
      <c r="B137" s="15">
        <v>7705.0</v>
      </c>
    </row>
    <row r="138">
      <c r="A138" s="15">
        <v>115.0</v>
      </c>
      <c r="B138" s="15">
        <v>25525.0</v>
      </c>
    </row>
    <row r="139">
      <c r="A139" s="15">
        <v>1249.0</v>
      </c>
      <c r="B139" s="15">
        <v>20560.0</v>
      </c>
    </row>
    <row r="140">
      <c r="A140" s="15">
        <v>1501.0</v>
      </c>
      <c r="B140" s="15">
        <v>19119.0</v>
      </c>
    </row>
    <row r="141">
      <c r="A141" s="15">
        <v>1411.0</v>
      </c>
      <c r="B141" s="15">
        <v>43999.0</v>
      </c>
    </row>
    <row r="142">
      <c r="A142" s="15">
        <v>1556.0</v>
      </c>
      <c r="B142" s="15">
        <v>10825.0</v>
      </c>
    </row>
    <row r="143">
      <c r="A143" s="15">
        <v>1159.0</v>
      </c>
      <c r="B143" s="15">
        <v>40323.0</v>
      </c>
    </row>
    <row r="144">
      <c r="A144" s="15">
        <v>927.0</v>
      </c>
      <c r="B144" s="15">
        <v>48270.0</v>
      </c>
    </row>
    <row r="145">
      <c r="A145" s="15">
        <v>152.0</v>
      </c>
      <c r="B145" s="15">
        <v>18001.0</v>
      </c>
    </row>
    <row r="146">
      <c r="A146" s="15">
        <v>1957.0</v>
      </c>
      <c r="B146" s="15">
        <v>3314.0</v>
      </c>
    </row>
    <row r="147">
      <c r="A147" s="15">
        <v>1294.0</v>
      </c>
      <c r="B147" s="15">
        <v>23489.0</v>
      </c>
    </row>
    <row r="148">
      <c r="A148" s="15">
        <v>1587.0</v>
      </c>
      <c r="B148" s="15">
        <v>42832.0</v>
      </c>
    </row>
    <row r="149">
      <c r="A149" s="15">
        <v>1707.0</v>
      </c>
      <c r="B149" s="15">
        <v>24494.0</v>
      </c>
    </row>
    <row r="150">
      <c r="A150" s="15">
        <v>1138.0</v>
      </c>
      <c r="B150" s="15">
        <v>44097.0</v>
      </c>
    </row>
    <row r="151">
      <c r="A151" s="15">
        <v>1895.0</v>
      </c>
      <c r="B151" s="15">
        <v>31853.0</v>
      </c>
    </row>
    <row r="152">
      <c r="A152" s="15">
        <v>362.0</v>
      </c>
      <c r="B152" s="15">
        <v>37636.0</v>
      </c>
    </row>
    <row r="153">
      <c r="A153" s="15">
        <v>1662.0</v>
      </c>
      <c r="B153" s="15">
        <v>22996.0</v>
      </c>
    </row>
    <row r="154">
      <c r="A154" s="15">
        <v>1440.0</v>
      </c>
      <c r="B154" s="15">
        <v>49772.0</v>
      </c>
    </row>
    <row r="155">
      <c r="A155" s="15">
        <v>1884.0</v>
      </c>
      <c r="B155" s="15">
        <v>22713.0</v>
      </c>
    </row>
    <row r="156">
      <c r="A156" s="15">
        <v>861.0</v>
      </c>
      <c r="B156" s="15">
        <v>8718.0</v>
      </c>
    </row>
    <row r="157">
      <c r="A157" s="15">
        <v>1063.0</v>
      </c>
      <c r="B157" s="15">
        <v>39031.0</v>
      </c>
    </row>
    <row r="158">
      <c r="A158" s="15">
        <v>1371.0</v>
      </c>
      <c r="B158" s="15">
        <v>33799.0</v>
      </c>
    </row>
    <row r="159">
      <c r="A159" s="15">
        <v>345.0</v>
      </c>
      <c r="B159" s="15">
        <v>20553.0</v>
      </c>
    </row>
    <row r="160">
      <c r="A160" s="15">
        <v>946.0</v>
      </c>
      <c r="B160" s="15">
        <v>10002.0</v>
      </c>
    </row>
    <row r="161">
      <c r="A161" s="15">
        <v>510.0</v>
      </c>
      <c r="B161" s="15">
        <v>30987.0</v>
      </c>
    </row>
    <row r="162">
      <c r="A162" s="15">
        <v>393.0</v>
      </c>
      <c r="B162" s="15">
        <v>6296.0</v>
      </c>
    </row>
    <row r="163">
      <c r="A163" s="15">
        <v>1098.0</v>
      </c>
      <c r="B163" s="15">
        <v>21539.0</v>
      </c>
    </row>
    <row r="164">
      <c r="A164" s="15">
        <v>1399.0</v>
      </c>
      <c r="B164" s="15">
        <v>14722.0</v>
      </c>
    </row>
    <row r="165">
      <c r="A165" s="15">
        <v>1658.0</v>
      </c>
      <c r="B165" s="15">
        <v>11383.0</v>
      </c>
    </row>
    <row r="166">
      <c r="A166" s="15">
        <v>1102.0</v>
      </c>
      <c r="B166" s="15">
        <v>9480.0</v>
      </c>
    </row>
    <row r="167">
      <c r="A167" s="15">
        <v>1358.0</v>
      </c>
      <c r="B167" s="15">
        <v>29116.0</v>
      </c>
    </row>
    <row r="168">
      <c r="A168" s="15">
        <v>1077.0</v>
      </c>
      <c r="B168" s="15">
        <v>14068.0</v>
      </c>
    </row>
    <row r="169">
      <c r="A169" s="15">
        <v>1596.0</v>
      </c>
      <c r="B169" s="15">
        <v>35801.0</v>
      </c>
    </row>
    <row r="170">
      <c r="A170" s="15">
        <v>490.0</v>
      </c>
      <c r="B170" s="15">
        <v>49077.0</v>
      </c>
    </row>
    <row r="171">
      <c r="A171" s="15">
        <v>609.0</v>
      </c>
      <c r="B171" s="15">
        <v>21453.0</v>
      </c>
    </row>
    <row r="172">
      <c r="A172" s="15">
        <v>364.0</v>
      </c>
      <c r="B172" s="15">
        <v>21061.0</v>
      </c>
    </row>
    <row r="173">
      <c r="A173" s="15">
        <v>442.0</v>
      </c>
      <c r="B173" s="15">
        <v>20059.0</v>
      </c>
    </row>
    <row r="174">
      <c r="A174" s="15">
        <v>1033.0</v>
      </c>
      <c r="B174" s="15">
        <v>23140.0</v>
      </c>
    </row>
    <row r="175">
      <c r="A175" s="15">
        <v>988.0</v>
      </c>
      <c r="B175" s="15">
        <v>23461.0</v>
      </c>
    </row>
    <row r="176">
      <c r="A176" s="15">
        <v>1946.0</v>
      </c>
      <c r="B176" s="15">
        <v>11805.0</v>
      </c>
    </row>
    <row r="177">
      <c r="A177" s="15">
        <v>1957.0</v>
      </c>
      <c r="B177" s="15">
        <v>15969.0</v>
      </c>
    </row>
    <row r="178">
      <c r="A178" s="15">
        <v>559.0</v>
      </c>
      <c r="B178" s="15">
        <v>2436.0</v>
      </c>
    </row>
    <row r="179">
      <c r="A179" s="15">
        <v>1307.0</v>
      </c>
      <c r="B179" s="15">
        <v>47603.0</v>
      </c>
    </row>
    <row r="180">
      <c r="A180" s="15">
        <v>1432.0</v>
      </c>
      <c r="B180" s="15">
        <v>42964.0</v>
      </c>
    </row>
    <row r="181">
      <c r="A181" s="15">
        <v>623.0</v>
      </c>
      <c r="B181" s="15">
        <v>39923.0</v>
      </c>
    </row>
    <row r="182">
      <c r="A182" s="15">
        <v>198.0</v>
      </c>
      <c r="B182" s="15">
        <v>2293.0</v>
      </c>
    </row>
    <row r="183">
      <c r="A183" s="15">
        <v>198.0</v>
      </c>
      <c r="B183" s="15">
        <v>25920.0</v>
      </c>
    </row>
    <row r="184">
      <c r="A184" s="15">
        <v>353.0</v>
      </c>
      <c r="B184" s="15">
        <v>11035.0</v>
      </c>
    </row>
    <row r="185">
      <c r="A185" s="15">
        <v>520.0</v>
      </c>
      <c r="B185" s="15">
        <v>20733.0</v>
      </c>
    </row>
    <row r="186">
      <c r="A186" s="15">
        <v>961.0</v>
      </c>
      <c r="B186" s="15">
        <v>18693.0</v>
      </c>
    </row>
    <row r="187">
      <c r="A187" s="15">
        <v>1375.0</v>
      </c>
      <c r="B187" s="15">
        <v>7875.0</v>
      </c>
    </row>
    <row r="188">
      <c r="A188" s="15">
        <v>1147.0</v>
      </c>
      <c r="B188" s="15">
        <v>8471.0</v>
      </c>
    </row>
    <row r="189">
      <c r="A189" s="15">
        <v>1707.0</v>
      </c>
      <c r="B189" s="15">
        <v>14090.0</v>
      </c>
    </row>
    <row r="190">
      <c r="A190" s="15">
        <v>1693.0</v>
      </c>
      <c r="B190" s="15">
        <v>14216.0</v>
      </c>
    </row>
    <row r="191">
      <c r="A191" s="15">
        <v>833.0</v>
      </c>
      <c r="B191" s="15">
        <v>3582.0</v>
      </c>
    </row>
    <row r="192">
      <c r="A192" s="15">
        <v>1222.0</v>
      </c>
      <c r="B192" s="15">
        <v>32500.0</v>
      </c>
    </row>
    <row r="193">
      <c r="A193" s="15">
        <v>777.0</v>
      </c>
      <c r="B193" s="15">
        <v>6832.0</v>
      </c>
    </row>
    <row r="194">
      <c r="A194" s="15">
        <v>1957.0</v>
      </c>
      <c r="B194" s="15">
        <v>33381.0</v>
      </c>
    </row>
    <row r="195">
      <c r="A195" s="15">
        <v>405.0</v>
      </c>
      <c r="B195" s="15">
        <v>48419.0</v>
      </c>
    </row>
    <row r="196">
      <c r="A196" s="15">
        <v>1581.0</v>
      </c>
      <c r="B196" s="15">
        <v>16149.0</v>
      </c>
    </row>
    <row r="197">
      <c r="A197" s="15">
        <v>1035.0</v>
      </c>
      <c r="B197" s="15">
        <v>7541.0</v>
      </c>
    </row>
    <row r="198">
      <c r="A198" s="15">
        <v>1765.0</v>
      </c>
      <c r="B198" s="15">
        <v>20042.0</v>
      </c>
    </row>
    <row r="199">
      <c r="A199" s="15">
        <v>837.0</v>
      </c>
      <c r="B199" s="15">
        <v>49400.0</v>
      </c>
    </row>
    <row r="200">
      <c r="A200" s="15">
        <v>337.0</v>
      </c>
      <c r="B200" s="15">
        <v>4007.0</v>
      </c>
    </row>
    <row r="201">
      <c r="A201" s="15">
        <v>119.0</v>
      </c>
      <c r="B201" s="15">
        <v>12174.0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5" max="5" width="21.38"/>
    <col customWidth="1" min="7" max="7" width="12.0"/>
    <col customWidth="1" min="8" max="8" width="20.25"/>
    <col customWidth="1" min="11" max="11" width="19.88"/>
  </cols>
  <sheetData>
    <row r="1">
      <c r="A1" s="68" t="s">
        <v>459</v>
      </c>
      <c r="B1" s="62" t="s">
        <v>1</v>
      </c>
      <c r="C1" s="64"/>
      <c r="D1" s="64"/>
      <c r="E1" s="64"/>
      <c r="F1" s="64"/>
    </row>
    <row r="2">
      <c r="A2" s="107" t="s">
        <v>352</v>
      </c>
      <c r="B2" s="31" t="s">
        <v>33</v>
      </c>
      <c r="C2" s="31" t="s">
        <v>27</v>
      </c>
      <c r="D2" s="31" t="s">
        <v>13</v>
      </c>
      <c r="E2" s="31" t="s">
        <v>24</v>
      </c>
      <c r="F2" s="31" t="s">
        <v>387</v>
      </c>
    </row>
    <row r="3">
      <c r="A3" s="108">
        <v>45446.0</v>
      </c>
      <c r="B3" s="45">
        <v>1312.0</v>
      </c>
      <c r="C3" s="45">
        <v>1135.0</v>
      </c>
      <c r="D3" s="45">
        <v>584.0</v>
      </c>
      <c r="E3" s="45">
        <v>1535.0</v>
      </c>
      <c r="F3" s="45">
        <v>4566.0</v>
      </c>
    </row>
    <row r="4">
      <c r="A4" s="108">
        <v>45453.0</v>
      </c>
      <c r="B4" s="45">
        <v>1697.0</v>
      </c>
      <c r="C4" s="45">
        <v>656.0</v>
      </c>
      <c r="D4" s="45">
        <v>436.0</v>
      </c>
      <c r="E4" s="45">
        <v>1197.0</v>
      </c>
      <c r="F4" s="45">
        <v>3986.0</v>
      </c>
    </row>
    <row r="5">
      <c r="A5" s="108">
        <v>45460.0</v>
      </c>
      <c r="B5" s="45">
        <v>1753.0</v>
      </c>
      <c r="C5" s="45">
        <v>1048.0</v>
      </c>
      <c r="D5" s="45">
        <v>1335.0</v>
      </c>
      <c r="E5" s="45">
        <v>403.0</v>
      </c>
      <c r="F5" s="45">
        <v>4539.0</v>
      </c>
    </row>
    <row r="6">
      <c r="A6" s="108">
        <v>45467.0</v>
      </c>
      <c r="B6" s="45">
        <v>1779.0</v>
      </c>
      <c r="C6" s="45">
        <v>911.0</v>
      </c>
      <c r="D6" s="45">
        <v>1238.0</v>
      </c>
      <c r="E6" s="45">
        <v>308.0</v>
      </c>
      <c r="F6" s="45">
        <v>4236.0</v>
      </c>
    </row>
    <row r="7">
      <c r="A7" s="108">
        <v>45474.0</v>
      </c>
      <c r="B7" s="45">
        <v>505.0</v>
      </c>
      <c r="C7" s="45">
        <v>226.0</v>
      </c>
      <c r="D7" s="45">
        <v>1420.0</v>
      </c>
      <c r="E7" s="45">
        <v>144.0</v>
      </c>
      <c r="F7" s="45">
        <v>2295.0</v>
      </c>
      <c r="I7" s="109" t="s">
        <v>463</v>
      </c>
    </row>
    <row r="8">
      <c r="A8" s="108">
        <v>45481.0</v>
      </c>
      <c r="B8" s="45">
        <v>350.0</v>
      </c>
      <c r="C8" s="45">
        <v>1757.0</v>
      </c>
      <c r="D8" s="45">
        <v>987.0</v>
      </c>
      <c r="E8" s="45">
        <v>883.0</v>
      </c>
      <c r="F8" s="45">
        <v>3977.0</v>
      </c>
    </row>
    <row r="9">
      <c r="A9" s="108">
        <v>45488.0</v>
      </c>
      <c r="B9" s="45">
        <v>170.0</v>
      </c>
      <c r="C9" s="45">
        <v>1960.0</v>
      </c>
      <c r="D9" s="45">
        <v>704.0</v>
      </c>
      <c r="E9" s="45">
        <v>224.0</v>
      </c>
      <c r="F9" s="45">
        <v>3058.0</v>
      </c>
    </row>
    <row r="10">
      <c r="A10" s="108">
        <v>45495.0</v>
      </c>
      <c r="B10" s="45">
        <v>1391.0</v>
      </c>
      <c r="C10" s="45">
        <v>508.0</v>
      </c>
      <c r="D10" s="45">
        <v>1701.0</v>
      </c>
      <c r="E10" s="45">
        <v>804.0</v>
      </c>
      <c r="F10" s="45">
        <v>4404.0</v>
      </c>
    </row>
    <row r="11">
      <c r="A11" s="108">
        <v>45502.0</v>
      </c>
      <c r="B11" s="45">
        <v>160.0</v>
      </c>
      <c r="C11" s="45">
        <v>653.0</v>
      </c>
      <c r="D11" s="45">
        <v>1756.0</v>
      </c>
      <c r="E11" s="45">
        <v>576.0</v>
      </c>
      <c r="F11" s="45">
        <v>3145.0</v>
      </c>
    </row>
    <row r="12">
      <c r="A12" s="108">
        <v>45509.0</v>
      </c>
      <c r="B12" s="45">
        <v>214.0</v>
      </c>
      <c r="C12" s="45">
        <v>645.0</v>
      </c>
      <c r="D12" s="45">
        <v>826.0</v>
      </c>
      <c r="E12" s="45">
        <v>460.0</v>
      </c>
      <c r="F12" s="45">
        <v>2145.0</v>
      </c>
    </row>
    <row r="13">
      <c r="A13" s="108">
        <v>45516.0</v>
      </c>
      <c r="B13" s="45">
        <v>1534.0</v>
      </c>
      <c r="C13" s="45">
        <v>1528.0</v>
      </c>
      <c r="D13" s="45">
        <v>485.0</v>
      </c>
      <c r="E13" s="45">
        <v>1210.0</v>
      </c>
      <c r="F13" s="45">
        <v>4757.0</v>
      </c>
    </row>
    <row r="14">
      <c r="A14" s="108">
        <v>45523.0</v>
      </c>
      <c r="B14" s="45">
        <v>1078.0</v>
      </c>
      <c r="C14" s="45">
        <v>215.0</v>
      </c>
      <c r="D14" s="45">
        <v>1751.0</v>
      </c>
      <c r="E14" s="45">
        <v>221.0</v>
      </c>
      <c r="F14" s="45">
        <v>3265.0</v>
      </c>
    </row>
    <row r="15">
      <c r="A15" s="108">
        <v>45530.0</v>
      </c>
      <c r="B15" s="45">
        <v>248.0</v>
      </c>
      <c r="C15" s="45">
        <v>1685.0</v>
      </c>
      <c r="D15" s="45">
        <v>1300.0</v>
      </c>
      <c r="E15" s="45">
        <v>422.0</v>
      </c>
      <c r="F15" s="45">
        <v>3655.0</v>
      </c>
    </row>
    <row r="16">
      <c r="A16" s="108">
        <v>45537.0</v>
      </c>
      <c r="B16" s="45">
        <v>1520.0</v>
      </c>
      <c r="C16" s="45">
        <v>1429.0</v>
      </c>
      <c r="D16" s="45">
        <v>557.0</v>
      </c>
      <c r="E16" s="45">
        <v>728.0</v>
      </c>
      <c r="F16" s="45">
        <v>4234.0</v>
      </c>
    </row>
    <row r="17">
      <c r="A17" s="108">
        <v>45544.0</v>
      </c>
      <c r="B17" s="45">
        <v>1842.0</v>
      </c>
      <c r="C17" s="45">
        <v>1592.0</v>
      </c>
      <c r="D17" s="45">
        <v>751.0</v>
      </c>
      <c r="E17" s="45">
        <v>1409.0</v>
      </c>
      <c r="F17" s="45">
        <v>5594.0</v>
      </c>
    </row>
    <row r="18">
      <c r="A18" s="108">
        <v>45551.0</v>
      </c>
      <c r="B18" s="45">
        <v>443.0</v>
      </c>
      <c r="C18" s="45">
        <v>778.0</v>
      </c>
      <c r="D18" s="45">
        <v>1472.0</v>
      </c>
      <c r="E18" s="45">
        <v>123.0</v>
      </c>
      <c r="F18" s="45">
        <v>2816.0</v>
      </c>
    </row>
    <row r="19">
      <c r="A19" s="108">
        <v>45558.0</v>
      </c>
      <c r="B19" s="45">
        <v>198.0</v>
      </c>
      <c r="C19" s="45">
        <v>817.0</v>
      </c>
      <c r="D19" s="45">
        <v>1911.0</v>
      </c>
      <c r="E19" s="45">
        <v>1218.0</v>
      </c>
      <c r="F19" s="45">
        <v>4144.0</v>
      </c>
    </row>
    <row r="20">
      <c r="A20" s="108">
        <v>45565.0</v>
      </c>
      <c r="B20" s="45">
        <v>250.0</v>
      </c>
      <c r="C20" s="45">
        <v>1433.0</v>
      </c>
      <c r="D20" s="45">
        <v>752.0</v>
      </c>
      <c r="E20" s="45">
        <v>1918.0</v>
      </c>
      <c r="F20" s="45">
        <v>4353.0</v>
      </c>
    </row>
    <row r="21">
      <c r="A21" s="108">
        <v>45572.0</v>
      </c>
      <c r="B21" s="45">
        <v>1929.0</v>
      </c>
      <c r="C21" s="45">
        <v>1939.0</v>
      </c>
      <c r="D21" s="45">
        <v>437.0</v>
      </c>
      <c r="E21" s="45">
        <v>307.0</v>
      </c>
      <c r="F21" s="45">
        <v>4612.0</v>
      </c>
    </row>
    <row r="22">
      <c r="A22" s="108">
        <v>45579.0</v>
      </c>
      <c r="B22" s="45">
        <v>643.0</v>
      </c>
      <c r="C22" s="45">
        <v>1527.0</v>
      </c>
      <c r="D22" s="45">
        <v>201.0</v>
      </c>
      <c r="E22" s="45">
        <v>414.0</v>
      </c>
      <c r="F22" s="45">
        <v>2785.0</v>
      </c>
    </row>
    <row r="23">
      <c r="A23" s="108">
        <v>45586.0</v>
      </c>
      <c r="B23" s="45">
        <v>508.0</v>
      </c>
      <c r="C23" s="45">
        <v>703.0</v>
      </c>
      <c r="D23" s="45">
        <v>697.0</v>
      </c>
      <c r="E23" s="45">
        <v>1707.0</v>
      </c>
      <c r="F23" s="45">
        <v>3615.0</v>
      </c>
    </row>
    <row r="24">
      <c r="A24" s="108">
        <v>45593.0</v>
      </c>
      <c r="B24" s="45">
        <v>859.0</v>
      </c>
      <c r="C24" s="45">
        <v>642.0</v>
      </c>
      <c r="D24" s="45">
        <v>191.0</v>
      </c>
      <c r="E24" s="45">
        <v>1814.0</v>
      </c>
      <c r="F24" s="45">
        <v>3506.0</v>
      </c>
    </row>
    <row r="25">
      <c r="A25" s="108">
        <v>45600.0</v>
      </c>
      <c r="B25" s="45">
        <v>947.0</v>
      </c>
      <c r="C25" s="45">
        <v>1466.0</v>
      </c>
      <c r="D25" s="45">
        <v>1821.0</v>
      </c>
      <c r="E25" s="45">
        <v>1507.0</v>
      </c>
      <c r="F25" s="45">
        <v>5741.0</v>
      </c>
    </row>
    <row r="26">
      <c r="A26" s="108">
        <v>45607.0</v>
      </c>
      <c r="B26" s="45">
        <v>171.0</v>
      </c>
      <c r="C26" s="45">
        <v>1075.0</v>
      </c>
      <c r="D26" s="45">
        <v>1487.0</v>
      </c>
      <c r="E26" s="45">
        <v>454.0</v>
      </c>
      <c r="F26" s="45">
        <v>3187.0</v>
      </c>
    </row>
    <row r="27">
      <c r="A27" s="108">
        <v>45614.0</v>
      </c>
      <c r="B27" s="45">
        <v>513.0</v>
      </c>
      <c r="C27" s="45">
        <v>187.0</v>
      </c>
      <c r="D27" s="45">
        <v>628.0</v>
      </c>
      <c r="E27" s="45">
        <v>278.0</v>
      </c>
      <c r="F27" s="45">
        <v>1606.0</v>
      </c>
    </row>
    <row r="28">
      <c r="A28" s="108">
        <v>45621.0</v>
      </c>
      <c r="B28" s="45">
        <v>1710.0</v>
      </c>
      <c r="C28" s="45">
        <v>1854.0</v>
      </c>
      <c r="D28" s="45">
        <v>330.0</v>
      </c>
      <c r="E28" s="45">
        <v>1293.0</v>
      </c>
      <c r="F28" s="45">
        <v>5187.0</v>
      </c>
    </row>
    <row r="29">
      <c r="A29" s="108">
        <v>45628.0</v>
      </c>
      <c r="B29" s="45">
        <v>1902.0</v>
      </c>
      <c r="C29" s="45">
        <v>1696.0</v>
      </c>
      <c r="D29" s="45">
        <v>1441.0</v>
      </c>
      <c r="E29" s="45">
        <v>452.0</v>
      </c>
      <c r="F29" s="45">
        <v>5491.0</v>
      </c>
    </row>
    <row r="30">
      <c r="A30" s="108">
        <v>45635.0</v>
      </c>
      <c r="B30" s="45">
        <v>1514.0</v>
      </c>
      <c r="C30" s="45">
        <v>1494.0</v>
      </c>
      <c r="D30" s="45">
        <v>1937.0</v>
      </c>
      <c r="E30" s="45">
        <v>736.0</v>
      </c>
      <c r="F30" s="45">
        <v>5681.0</v>
      </c>
    </row>
    <row r="31">
      <c r="A31" s="108">
        <v>45642.0</v>
      </c>
      <c r="B31" s="45">
        <v>1623.0</v>
      </c>
      <c r="C31" s="45">
        <v>1502.0</v>
      </c>
      <c r="D31" s="45">
        <v>1592.0</v>
      </c>
      <c r="E31" s="45">
        <v>1004.0</v>
      </c>
      <c r="F31" s="45">
        <v>5721.0</v>
      </c>
    </row>
    <row r="32">
      <c r="A32" s="108">
        <v>45649.0</v>
      </c>
      <c r="B32" s="45">
        <v>1155.0</v>
      </c>
      <c r="C32" s="45">
        <v>1092.0</v>
      </c>
      <c r="D32" s="45">
        <v>1137.0</v>
      </c>
      <c r="E32" s="45">
        <v>1900.0</v>
      </c>
      <c r="F32" s="45">
        <v>5284.0</v>
      </c>
    </row>
    <row r="33">
      <c r="A33" s="108">
        <v>45656.0</v>
      </c>
      <c r="B33" s="45">
        <v>1980.0</v>
      </c>
      <c r="C33" s="45">
        <v>1814.0</v>
      </c>
      <c r="D33" s="45">
        <v>1786.0</v>
      </c>
      <c r="E33" s="45">
        <v>1495.0</v>
      </c>
      <c r="F33" s="45">
        <v>7075.0</v>
      </c>
    </row>
    <row r="34">
      <c r="A34" s="108">
        <v>45663.0</v>
      </c>
      <c r="B34" s="45">
        <v>816.0</v>
      </c>
      <c r="C34" s="45">
        <v>1013.0</v>
      </c>
      <c r="D34" s="45">
        <v>1633.0</v>
      </c>
      <c r="E34" s="45">
        <v>891.0</v>
      </c>
      <c r="F34" s="45">
        <v>4353.0</v>
      </c>
    </row>
    <row r="35">
      <c r="A35" s="108">
        <v>45670.0</v>
      </c>
      <c r="B35" s="45">
        <v>651.0</v>
      </c>
      <c r="C35" s="45">
        <v>1855.0</v>
      </c>
      <c r="D35" s="45">
        <v>118.0</v>
      </c>
      <c r="E35" s="45">
        <v>1331.0</v>
      </c>
      <c r="F35" s="45">
        <v>3955.0</v>
      </c>
    </row>
    <row r="36">
      <c r="A36" s="108">
        <v>45677.0</v>
      </c>
      <c r="B36" s="45">
        <v>663.0</v>
      </c>
      <c r="C36" s="45">
        <v>1748.0</v>
      </c>
      <c r="D36" s="45">
        <v>1040.0</v>
      </c>
      <c r="E36" s="45">
        <v>1166.0</v>
      </c>
      <c r="F36" s="45">
        <v>4617.0</v>
      </c>
    </row>
    <row r="37">
      <c r="A37" s="108">
        <v>45684.0</v>
      </c>
      <c r="B37" s="45">
        <v>1249.0</v>
      </c>
      <c r="C37" s="45">
        <v>115.0</v>
      </c>
      <c r="D37" s="45">
        <v>1501.0</v>
      </c>
      <c r="E37" s="45">
        <v>1411.0</v>
      </c>
      <c r="F37" s="45">
        <v>4276.0</v>
      </c>
    </row>
    <row r="38">
      <c r="A38" s="108">
        <v>45691.0</v>
      </c>
      <c r="B38" s="45">
        <v>1159.0</v>
      </c>
      <c r="C38" s="45">
        <v>1556.0</v>
      </c>
      <c r="D38" s="45">
        <v>927.0</v>
      </c>
      <c r="E38" s="45">
        <v>152.0</v>
      </c>
      <c r="F38" s="45">
        <v>3794.0</v>
      </c>
    </row>
    <row r="39">
      <c r="A39" s="108">
        <v>45698.0</v>
      </c>
      <c r="B39" s="45">
        <v>1294.0</v>
      </c>
      <c r="C39" s="45">
        <v>1957.0</v>
      </c>
      <c r="D39" s="45">
        <v>1587.0</v>
      </c>
      <c r="E39" s="45">
        <v>1707.0</v>
      </c>
      <c r="F39" s="45">
        <v>6545.0</v>
      </c>
    </row>
    <row r="40">
      <c r="A40" s="108">
        <v>45705.0</v>
      </c>
      <c r="B40" s="45">
        <v>1895.0</v>
      </c>
      <c r="C40" s="45">
        <v>1138.0</v>
      </c>
      <c r="D40" s="45">
        <v>362.0</v>
      </c>
      <c r="E40" s="45">
        <v>1662.0</v>
      </c>
      <c r="F40" s="45">
        <v>5057.0</v>
      </c>
    </row>
    <row r="41">
      <c r="A41" s="108">
        <v>45712.0</v>
      </c>
      <c r="B41" s="45">
        <v>1884.0</v>
      </c>
      <c r="C41" s="45">
        <v>1440.0</v>
      </c>
      <c r="D41" s="45">
        <v>861.0</v>
      </c>
      <c r="E41" s="45">
        <v>1063.0</v>
      </c>
      <c r="F41" s="45">
        <v>5248.0</v>
      </c>
    </row>
    <row r="42">
      <c r="A42" s="108">
        <v>45719.0</v>
      </c>
      <c r="B42" s="45">
        <v>345.0</v>
      </c>
      <c r="C42" s="45">
        <v>1371.0</v>
      </c>
      <c r="D42" s="45">
        <v>946.0</v>
      </c>
      <c r="E42" s="45">
        <v>510.0</v>
      </c>
      <c r="F42" s="45">
        <v>3172.0</v>
      </c>
    </row>
    <row r="43">
      <c r="A43" s="108">
        <v>45726.0</v>
      </c>
      <c r="B43" s="45">
        <v>1098.0</v>
      </c>
      <c r="C43" s="45">
        <v>393.0</v>
      </c>
      <c r="D43" s="45">
        <v>1399.0</v>
      </c>
      <c r="E43" s="45">
        <v>1658.0</v>
      </c>
      <c r="F43" s="45">
        <v>4548.0</v>
      </c>
    </row>
    <row r="44">
      <c r="A44" s="108">
        <v>45733.0</v>
      </c>
      <c r="B44" s="45">
        <v>1358.0</v>
      </c>
      <c r="C44" s="45">
        <v>1102.0</v>
      </c>
      <c r="D44" s="45">
        <v>1077.0</v>
      </c>
      <c r="E44" s="45">
        <v>1596.0</v>
      </c>
      <c r="F44" s="45">
        <v>5133.0</v>
      </c>
    </row>
    <row r="45">
      <c r="A45" s="108">
        <v>45740.0</v>
      </c>
      <c r="B45" s="45">
        <v>609.0</v>
      </c>
      <c r="C45" s="45">
        <v>490.0</v>
      </c>
      <c r="D45" s="45">
        <v>364.0</v>
      </c>
      <c r="E45" s="45">
        <v>442.0</v>
      </c>
      <c r="F45" s="45">
        <v>1905.0</v>
      </c>
    </row>
    <row r="46">
      <c r="A46" s="108">
        <v>45747.0</v>
      </c>
      <c r="B46" s="45">
        <v>988.0</v>
      </c>
      <c r="C46" s="45">
        <v>1033.0</v>
      </c>
      <c r="D46" s="45">
        <v>1946.0</v>
      </c>
      <c r="E46" s="45">
        <v>1957.0</v>
      </c>
      <c r="F46" s="45">
        <v>5924.0</v>
      </c>
    </row>
    <row r="47">
      <c r="A47" s="108">
        <v>45754.0</v>
      </c>
      <c r="B47" s="45">
        <v>1307.0</v>
      </c>
      <c r="C47" s="45">
        <v>559.0</v>
      </c>
      <c r="D47" s="45">
        <v>1432.0</v>
      </c>
      <c r="E47" s="45">
        <v>623.0</v>
      </c>
      <c r="F47" s="45">
        <v>3921.0</v>
      </c>
    </row>
    <row r="48">
      <c r="A48" s="108">
        <v>45761.0</v>
      </c>
      <c r="B48" s="45">
        <v>198.0</v>
      </c>
      <c r="C48" s="45">
        <v>198.0</v>
      </c>
      <c r="D48" s="45">
        <v>353.0</v>
      </c>
      <c r="E48" s="45">
        <v>520.0</v>
      </c>
      <c r="F48" s="45">
        <v>1269.0</v>
      </c>
    </row>
    <row r="49">
      <c r="A49" s="108">
        <v>45768.0</v>
      </c>
      <c r="B49" s="45">
        <v>1375.0</v>
      </c>
      <c r="C49" s="45">
        <v>961.0</v>
      </c>
      <c r="D49" s="45">
        <v>1147.0</v>
      </c>
      <c r="E49" s="45">
        <v>1707.0</v>
      </c>
      <c r="F49" s="45">
        <v>5190.0</v>
      </c>
    </row>
    <row r="50">
      <c r="A50" s="108">
        <v>45775.0</v>
      </c>
      <c r="B50" s="45">
        <v>833.0</v>
      </c>
      <c r="C50" s="45">
        <v>1693.0</v>
      </c>
      <c r="D50" s="45">
        <v>1222.0</v>
      </c>
      <c r="E50" s="45">
        <v>777.0</v>
      </c>
      <c r="F50" s="45">
        <v>4525.0</v>
      </c>
    </row>
    <row r="51">
      <c r="A51" s="108">
        <v>45782.0</v>
      </c>
      <c r="B51" s="45">
        <v>405.0</v>
      </c>
      <c r="C51" s="45">
        <v>1957.0</v>
      </c>
      <c r="D51" s="45">
        <v>1581.0</v>
      </c>
      <c r="E51" s="45">
        <v>1035.0</v>
      </c>
      <c r="F51" s="45">
        <v>4978.0</v>
      </c>
    </row>
    <row r="52">
      <c r="A52" s="108">
        <v>45789.0</v>
      </c>
      <c r="B52" s="45">
        <v>837.0</v>
      </c>
      <c r="C52" s="45">
        <v>1765.0</v>
      </c>
      <c r="D52" s="45">
        <v>337.0</v>
      </c>
      <c r="E52" s="45">
        <v>119.0</v>
      </c>
      <c r="F52" s="45">
        <v>3058.0</v>
      </c>
    </row>
    <row r="53">
      <c r="A53" s="110" t="s">
        <v>387</v>
      </c>
      <c r="B53" s="46">
        <v>50862.0</v>
      </c>
      <c r="C53" s="46">
        <v>58311.0</v>
      </c>
      <c r="D53" s="46">
        <v>53484.0</v>
      </c>
      <c r="E53" s="46">
        <v>47471.0</v>
      </c>
      <c r="F53" s="46">
        <v>210128.0</v>
      </c>
    </row>
    <row r="54">
      <c r="E54" s="28"/>
      <c r="F54" s="28"/>
      <c r="G54" s="28"/>
      <c r="H54" s="113" t="s">
        <v>464</v>
      </c>
      <c r="I54" s="28"/>
      <c r="J54" s="28"/>
      <c r="K54" s="114" t="s">
        <v>465</v>
      </c>
      <c r="L54" s="28"/>
    </row>
    <row r="55">
      <c r="E55" s="114" t="s">
        <v>466</v>
      </c>
      <c r="F55" s="28"/>
      <c r="G55" s="28"/>
      <c r="H55" s="28"/>
      <c r="I55" s="28"/>
      <c r="J55" s="28"/>
      <c r="K55" s="28"/>
      <c r="L55" s="28"/>
    </row>
    <row r="56">
      <c r="E56" s="115">
        <f>AVERAGE(D3:D52)
</f>
        <v>1069.68</v>
      </c>
      <c r="F56" s="28"/>
      <c r="G56" s="116" t="s">
        <v>13</v>
      </c>
      <c r="H56" s="117">
        <f>MAX(D2:D50)</f>
        <v>1946</v>
      </c>
      <c r="I56" s="28"/>
      <c r="J56" s="28"/>
      <c r="K56" s="118">
        <f t="array" ref="K56">INDEX(A2:A50, MATCH(MAX(D2:D50), D2:D50, 0))</f>
        <v>45747</v>
      </c>
      <c r="L56" s="28"/>
    </row>
    <row r="57">
      <c r="E57" s="115">
        <f>AVERAGE(B3:B52)
</f>
        <v>1017.24</v>
      </c>
      <c r="F57" s="28"/>
      <c r="G57" s="116" t="s">
        <v>33</v>
      </c>
      <c r="H57" s="117">
        <f>MAX(B2:B52)</f>
        <v>1980</v>
      </c>
      <c r="I57" s="28"/>
      <c r="J57" s="28"/>
      <c r="K57" s="118">
        <f t="array" ref="K57">INDEX(A2:A50, MATCH(MAX(B2:B52), B2:B52, 0))</f>
        <v>45656</v>
      </c>
      <c r="L57" s="28"/>
    </row>
    <row r="58">
      <c r="E58" s="115">
        <f>AVERAGE(C3:C52)
</f>
        <v>1166.22</v>
      </c>
      <c r="F58" s="28"/>
      <c r="G58" s="116" t="s">
        <v>467</v>
      </c>
      <c r="H58" s="117">
        <f>MAX(C2:C52)</f>
        <v>1960</v>
      </c>
      <c r="I58" s="28"/>
      <c r="J58" s="28"/>
      <c r="K58" s="119">
        <f t="array" ref="K58">INDEX(A2:A50, MATCH(MAX(C2:C52), C2:C52, 0))</f>
        <v>45488</v>
      </c>
      <c r="L58" s="28"/>
    </row>
    <row r="59">
      <c r="E59" s="115">
        <f>AVERAGE(E3:E52)
</f>
        <v>949.42</v>
      </c>
      <c r="F59" s="28"/>
      <c r="G59" s="116" t="s">
        <v>468</v>
      </c>
      <c r="H59" s="117">
        <f>MAX(E2:E52)</f>
        <v>1957</v>
      </c>
      <c r="I59" s="28"/>
      <c r="J59" s="28"/>
      <c r="K59" s="118">
        <f t="array" ref="K59">INDEX(A2:A50, MATCH(MAX(E2:E52), E2:E52, 0))</f>
        <v>45747</v>
      </c>
      <c r="L59" s="28"/>
    </row>
    <row r="60">
      <c r="E60" s="28"/>
      <c r="F60" s="28"/>
      <c r="G60" s="28"/>
      <c r="H60" s="28"/>
      <c r="I60" s="28"/>
      <c r="J60" s="28"/>
      <c r="K60" s="28"/>
      <c r="L60" s="2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9">
      <c r="C9" s="120" t="s">
        <v>469</v>
      </c>
    </row>
  </sheetData>
  <drawing r:id="rId1"/>
</worksheet>
</file>